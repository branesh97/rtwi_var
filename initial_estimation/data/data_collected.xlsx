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anesh/Library/Mobile Documents/com~apple~CloudDocs/Monash/Master of Applied Econometrics/ETX5441 - Macroeconometrics - 2026 S2/Exchange rate factors/data/"/>
    </mc:Choice>
  </mc:AlternateContent>
  <xr:revisionPtr revIDLastSave="0" documentId="13_ncr:1_{84045FB0-A4B1-3E46-A0A3-15147D16A9C7}" xr6:coauthVersionLast="47" xr6:coauthVersionMax="47" xr10:uidLastSave="{00000000-0000-0000-0000-000000000000}"/>
  <bookViews>
    <workbookView xWindow="0" yWindow="660" windowWidth="29400" windowHeight="17240" xr2:uid="{B703CD43-9EB5-C04C-8B73-879B6D633A85}"/>
  </bookViews>
  <sheets>
    <sheet name="data" sheetId="4" r:id="rId1"/>
    <sheet name="monthly" sheetId="2" r:id="rId2"/>
    <sheet name="quarterly" sheetId="3" r:id="rId3"/>
    <sheet name="replication_manalo_et_al" sheetId="1" r:id="rId4"/>
  </sheets>
  <definedNames>
    <definedName name="quarterly_data">quarterly!$A$1:$J$227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H227" i="4" l="1"/>
  <c r="AG227" i="4"/>
  <c r="AF227" i="4"/>
  <c r="AE227" i="4"/>
  <c r="AD227" i="4"/>
  <c r="AC227" i="4"/>
  <c r="AB227" i="4"/>
  <c r="AA227" i="4"/>
  <c r="Z227" i="4"/>
  <c r="Y227" i="4"/>
  <c r="X227" i="4"/>
  <c r="W227" i="4"/>
  <c r="V227" i="4"/>
  <c r="U227" i="4"/>
  <c r="T227" i="4"/>
  <c r="S227" i="4"/>
  <c r="R227" i="4"/>
  <c r="Q227" i="4"/>
  <c r="P227" i="4"/>
  <c r="O227" i="4"/>
  <c r="N227" i="4"/>
  <c r="M227" i="4"/>
  <c r="L227" i="4"/>
  <c r="AH226" i="4"/>
  <c r="AG226" i="4"/>
  <c r="AF226" i="4"/>
  <c r="AE226" i="4"/>
  <c r="AD226" i="4"/>
  <c r="AC226" i="4"/>
  <c r="AB226" i="4"/>
  <c r="AA226" i="4"/>
  <c r="Z226" i="4"/>
  <c r="Y226" i="4"/>
  <c r="X226" i="4"/>
  <c r="W226" i="4"/>
  <c r="V226" i="4"/>
  <c r="U226" i="4"/>
  <c r="T226" i="4"/>
  <c r="S226" i="4"/>
  <c r="R226" i="4"/>
  <c r="Q226" i="4"/>
  <c r="P226" i="4"/>
  <c r="O226" i="4"/>
  <c r="N226" i="4"/>
  <c r="M226" i="4"/>
  <c r="L226" i="4"/>
  <c r="AH225" i="4"/>
  <c r="AG225" i="4"/>
  <c r="AF225" i="4"/>
  <c r="AE225" i="4"/>
  <c r="AD225" i="4"/>
  <c r="AC225" i="4"/>
  <c r="AB225" i="4"/>
  <c r="AA225" i="4"/>
  <c r="Z225" i="4"/>
  <c r="Y225" i="4"/>
  <c r="X225" i="4"/>
  <c r="W225" i="4"/>
  <c r="V225" i="4"/>
  <c r="U225" i="4"/>
  <c r="T225" i="4"/>
  <c r="S225" i="4"/>
  <c r="R225" i="4"/>
  <c r="Q225" i="4"/>
  <c r="P225" i="4"/>
  <c r="O225" i="4"/>
  <c r="N225" i="4"/>
  <c r="M225" i="4"/>
  <c r="L225" i="4"/>
  <c r="AH224" i="4"/>
  <c r="AG224" i="4"/>
  <c r="AF224" i="4"/>
  <c r="AE224" i="4"/>
  <c r="AD224" i="4"/>
  <c r="AC224" i="4"/>
  <c r="AB224" i="4"/>
  <c r="AA224" i="4"/>
  <c r="Z224" i="4"/>
  <c r="Y224" i="4"/>
  <c r="X224" i="4"/>
  <c r="W224" i="4"/>
  <c r="V224" i="4"/>
  <c r="U224" i="4"/>
  <c r="T224" i="4"/>
  <c r="S224" i="4"/>
  <c r="R224" i="4"/>
  <c r="Q224" i="4"/>
  <c r="P224" i="4"/>
  <c r="O224" i="4"/>
  <c r="N224" i="4"/>
  <c r="M224" i="4"/>
  <c r="L224" i="4"/>
  <c r="AH223" i="4"/>
  <c r="AG223" i="4"/>
  <c r="AF223" i="4"/>
  <c r="AE223" i="4"/>
  <c r="AD223" i="4"/>
  <c r="AC223" i="4"/>
  <c r="AB223" i="4"/>
  <c r="AA223" i="4"/>
  <c r="Z223" i="4"/>
  <c r="Y223" i="4"/>
  <c r="X223" i="4"/>
  <c r="W223" i="4"/>
  <c r="V223" i="4"/>
  <c r="U223" i="4"/>
  <c r="T223" i="4"/>
  <c r="S223" i="4"/>
  <c r="R223" i="4"/>
  <c r="Q223" i="4"/>
  <c r="P223" i="4"/>
  <c r="O223" i="4"/>
  <c r="N223" i="4"/>
  <c r="M223" i="4"/>
  <c r="L223" i="4"/>
  <c r="AH222" i="4"/>
  <c r="AG222" i="4"/>
  <c r="AF222" i="4"/>
  <c r="AE222" i="4"/>
  <c r="AD222" i="4"/>
  <c r="AC222" i="4"/>
  <c r="AB222" i="4"/>
  <c r="AA222" i="4"/>
  <c r="Z222" i="4"/>
  <c r="Y222" i="4"/>
  <c r="X222" i="4"/>
  <c r="W222" i="4"/>
  <c r="V222" i="4"/>
  <c r="U222" i="4"/>
  <c r="T222" i="4"/>
  <c r="S222" i="4"/>
  <c r="R222" i="4"/>
  <c r="Q222" i="4"/>
  <c r="P222" i="4"/>
  <c r="O222" i="4"/>
  <c r="N222" i="4"/>
  <c r="M222" i="4"/>
  <c r="L222" i="4"/>
  <c r="AH221" i="4"/>
  <c r="AG221" i="4"/>
  <c r="AF221" i="4"/>
  <c r="AE221" i="4"/>
  <c r="AD221" i="4"/>
  <c r="AC221" i="4"/>
  <c r="AB221" i="4"/>
  <c r="AA221" i="4"/>
  <c r="Z221" i="4"/>
  <c r="Y221" i="4"/>
  <c r="X221" i="4"/>
  <c r="W221" i="4"/>
  <c r="V221" i="4"/>
  <c r="U221" i="4"/>
  <c r="T221" i="4"/>
  <c r="S221" i="4"/>
  <c r="R221" i="4"/>
  <c r="Q221" i="4"/>
  <c r="P221" i="4"/>
  <c r="O221" i="4"/>
  <c r="N221" i="4"/>
  <c r="M221" i="4"/>
  <c r="L221" i="4"/>
  <c r="AH220" i="4"/>
  <c r="AG220" i="4"/>
  <c r="AF220" i="4"/>
  <c r="AE220" i="4"/>
  <c r="AD220" i="4"/>
  <c r="AC220" i="4"/>
  <c r="AB220" i="4"/>
  <c r="AA220" i="4"/>
  <c r="Z220" i="4"/>
  <c r="Y220" i="4"/>
  <c r="X220" i="4"/>
  <c r="W220" i="4"/>
  <c r="V220" i="4"/>
  <c r="U220" i="4"/>
  <c r="T220" i="4"/>
  <c r="S220" i="4"/>
  <c r="R220" i="4"/>
  <c r="Q220" i="4"/>
  <c r="P220" i="4"/>
  <c r="O220" i="4"/>
  <c r="N220" i="4"/>
  <c r="M220" i="4"/>
  <c r="L220" i="4"/>
  <c r="AH219" i="4"/>
  <c r="AG219" i="4"/>
  <c r="AF219" i="4"/>
  <c r="AE219" i="4"/>
  <c r="AD219" i="4"/>
  <c r="AC219" i="4"/>
  <c r="AB219" i="4"/>
  <c r="AA219" i="4"/>
  <c r="Z219" i="4"/>
  <c r="Y219" i="4"/>
  <c r="X219" i="4"/>
  <c r="W219" i="4"/>
  <c r="V219" i="4"/>
  <c r="U219" i="4"/>
  <c r="T219" i="4"/>
  <c r="S219" i="4"/>
  <c r="R219" i="4"/>
  <c r="Q219" i="4"/>
  <c r="P219" i="4"/>
  <c r="O219" i="4"/>
  <c r="N219" i="4"/>
  <c r="M219" i="4"/>
  <c r="L219" i="4"/>
  <c r="AH218" i="4"/>
  <c r="AG218" i="4"/>
  <c r="AF218" i="4"/>
  <c r="AE218" i="4"/>
  <c r="AD218" i="4"/>
  <c r="AC218" i="4"/>
  <c r="AB218" i="4"/>
  <c r="AA218" i="4"/>
  <c r="Z218" i="4"/>
  <c r="Y218" i="4"/>
  <c r="X218" i="4"/>
  <c r="W218" i="4"/>
  <c r="V218" i="4"/>
  <c r="U218" i="4"/>
  <c r="T218" i="4"/>
  <c r="S218" i="4"/>
  <c r="R218" i="4"/>
  <c r="Q218" i="4"/>
  <c r="P218" i="4"/>
  <c r="O218" i="4"/>
  <c r="N218" i="4"/>
  <c r="M218" i="4"/>
  <c r="L218" i="4"/>
  <c r="AH217" i="4"/>
  <c r="AG217" i="4"/>
  <c r="AF217" i="4"/>
  <c r="AE217" i="4"/>
  <c r="AD217" i="4"/>
  <c r="AC217" i="4"/>
  <c r="AB217" i="4"/>
  <c r="AA217" i="4"/>
  <c r="Z217" i="4"/>
  <c r="Y217" i="4"/>
  <c r="X217" i="4"/>
  <c r="W217" i="4"/>
  <c r="V217" i="4"/>
  <c r="U217" i="4"/>
  <c r="T217" i="4"/>
  <c r="S217" i="4"/>
  <c r="R217" i="4"/>
  <c r="Q217" i="4"/>
  <c r="P217" i="4"/>
  <c r="O217" i="4"/>
  <c r="N217" i="4"/>
  <c r="M217" i="4"/>
  <c r="L217" i="4"/>
  <c r="AH216" i="4"/>
  <c r="AG216" i="4"/>
  <c r="AF216" i="4"/>
  <c r="AE216" i="4"/>
  <c r="AD216" i="4"/>
  <c r="AC216" i="4"/>
  <c r="AB216" i="4"/>
  <c r="AA216" i="4"/>
  <c r="Z216" i="4"/>
  <c r="Y216" i="4"/>
  <c r="X216" i="4"/>
  <c r="W216" i="4"/>
  <c r="V216" i="4"/>
  <c r="U216" i="4"/>
  <c r="T216" i="4"/>
  <c r="S216" i="4"/>
  <c r="R216" i="4"/>
  <c r="Q216" i="4"/>
  <c r="P216" i="4"/>
  <c r="O216" i="4"/>
  <c r="N216" i="4"/>
  <c r="M216" i="4"/>
  <c r="L216" i="4"/>
  <c r="AH215" i="4"/>
  <c r="AG215" i="4"/>
  <c r="AF215" i="4"/>
  <c r="AE215" i="4"/>
  <c r="AD215" i="4"/>
  <c r="AC215" i="4"/>
  <c r="AB215" i="4"/>
  <c r="AA215" i="4"/>
  <c r="Z215" i="4"/>
  <c r="Y215" i="4"/>
  <c r="X215" i="4"/>
  <c r="W215" i="4"/>
  <c r="V215" i="4"/>
  <c r="U215" i="4"/>
  <c r="T215" i="4"/>
  <c r="S215" i="4"/>
  <c r="R215" i="4"/>
  <c r="Q215" i="4"/>
  <c r="P215" i="4"/>
  <c r="O215" i="4"/>
  <c r="N215" i="4"/>
  <c r="M215" i="4"/>
  <c r="L215" i="4"/>
  <c r="AH214" i="4"/>
  <c r="AG214" i="4"/>
  <c r="AF214" i="4"/>
  <c r="AE214" i="4"/>
  <c r="AD214" i="4"/>
  <c r="AC214" i="4"/>
  <c r="AB214" i="4"/>
  <c r="AA214" i="4"/>
  <c r="Z214" i="4"/>
  <c r="Y214" i="4"/>
  <c r="X214" i="4"/>
  <c r="W214" i="4"/>
  <c r="V214" i="4"/>
  <c r="U214" i="4"/>
  <c r="T214" i="4"/>
  <c r="S214" i="4"/>
  <c r="R214" i="4"/>
  <c r="Q214" i="4"/>
  <c r="P214" i="4"/>
  <c r="O214" i="4"/>
  <c r="N214" i="4"/>
  <c r="M214" i="4"/>
  <c r="L214" i="4"/>
  <c r="AH213" i="4"/>
  <c r="AG213" i="4"/>
  <c r="AF213" i="4"/>
  <c r="AE213" i="4"/>
  <c r="AD213" i="4"/>
  <c r="AC213" i="4"/>
  <c r="AB213" i="4"/>
  <c r="AA213" i="4"/>
  <c r="Z213" i="4"/>
  <c r="Y213" i="4"/>
  <c r="X213" i="4"/>
  <c r="W213" i="4"/>
  <c r="V213" i="4"/>
  <c r="U213" i="4"/>
  <c r="T213" i="4"/>
  <c r="S213" i="4"/>
  <c r="R213" i="4"/>
  <c r="Q213" i="4"/>
  <c r="P213" i="4"/>
  <c r="O213" i="4"/>
  <c r="N213" i="4"/>
  <c r="M213" i="4"/>
  <c r="L213" i="4"/>
  <c r="AH212" i="4"/>
  <c r="AG212" i="4"/>
  <c r="AF212" i="4"/>
  <c r="AE212" i="4"/>
  <c r="AD212" i="4"/>
  <c r="AC212" i="4"/>
  <c r="AB212" i="4"/>
  <c r="AA212" i="4"/>
  <c r="Z212" i="4"/>
  <c r="Y212" i="4"/>
  <c r="X212" i="4"/>
  <c r="W212" i="4"/>
  <c r="V212" i="4"/>
  <c r="U212" i="4"/>
  <c r="T212" i="4"/>
  <c r="S212" i="4"/>
  <c r="R212" i="4"/>
  <c r="Q212" i="4"/>
  <c r="P212" i="4"/>
  <c r="O212" i="4"/>
  <c r="N212" i="4"/>
  <c r="M212" i="4"/>
  <c r="L212" i="4"/>
  <c r="AH211" i="4"/>
  <c r="AG211" i="4"/>
  <c r="AF211" i="4"/>
  <c r="AE211" i="4"/>
  <c r="AD211" i="4"/>
  <c r="AC211" i="4"/>
  <c r="AB211" i="4"/>
  <c r="AA211" i="4"/>
  <c r="Z211" i="4"/>
  <c r="Y211" i="4"/>
  <c r="X211" i="4"/>
  <c r="W211" i="4"/>
  <c r="V211" i="4"/>
  <c r="U211" i="4"/>
  <c r="T211" i="4"/>
  <c r="S211" i="4"/>
  <c r="R211" i="4"/>
  <c r="Q211" i="4"/>
  <c r="P211" i="4"/>
  <c r="O211" i="4"/>
  <c r="N211" i="4"/>
  <c r="M211" i="4"/>
  <c r="L211" i="4"/>
  <c r="AH210" i="4"/>
  <c r="AG210" i="4"/>
  <c r="AF210" i="4"/>
  <c r="AE210" i="4"/>
  <c r="AD210" i="4"/>
  <c r="AC210" i="4"/>
  <c r="AB210" i="4"/>
  <c r="AA210" i="4"/>
  <c r="Z210" i="4"/>
  <c r="Y210" i="4"/>
  <c r="X210" i="4"/>
  <c r="W210" i="4"/>
  <c r="V210" i="4"/>
  <c r="U210" i="4"/>
  <c r="T210" i="4"/>
  <c r="S210" i="4"/>
  <c r="R210" i="4"/>
  <c r="Q210" i="4"/>
  <c r="P210" i="4"/>
  <c r="O210" i="4"/>
  <c r="N210" i="4"/>
  <c r="M210" i="4"/>
  <c r="L210" i="4"/>
  <c r="AH209" i="4"/>
  <c r="AG209" i="4"/>
  <c r="AF209" i="4"/>
  <c r="AE209" i="4"/>
  <c r="AD209" i="4"/>
  <c r="AC209" i="4"/>
  <c r="AB209" i="4"/>
  <c r="AA209" i="4"/>
  <c r="Z209" i="4"/>
  <c r="Y209" i="4"/>
  <c r="X209" i="4"/>
  <c r="W209" i="4"/>
  <c r="V209" i="4"/>
  <c r="U209" i="4"/>
  <c r="T209" i="4"/>
  <c r="S209" i="4"/>
  <c r="R209" i="4"/>
  <c r="Q209" i="4"/>
  <c r="P209" i="4"/>
  <c r="O209" i="4"/>
  <c r="N209" i="4"/>
  <c r="M209" i="4"/>
  <c r="L209" i="4"/>
  <c r="AH208" i="4"/>
  <c r="AG208" i="4"/>
  <c r="AF208" i="4"/>
  <c r="AE208" i="4"/>
  <c r="AD208" i="4"/>
  <c r="AC208" i="4"/>
  <c r="AB208" i="4"/>
  <c r="AA208" i="4"/>
  <c r="Z208" i="4"/>
  <c r="Y208" i="4"/>
  <c r="X208" i="4"/>
  <c r="W208" i="4"/>
  <c r="V208" i="4"/>
  <c r="U208" i="4"/>
  <c r="T208" i="4"/>
  <c r="S208" i="4"/>
  <c r="R208" i="4"/>
  <c r="Q208" i="4"/>
  <c r="P208" i="4"/>
  <c r="O208" i="4"/>
  <c r="N208" i="4"/>
  <c r="M208" i="4"/>
  <c r="L208" i="4"/>
  <c r="AH207" i="4"/>
  <c r="AG207" i="4"/>
  <c r="AF207" i="4"/>
  <c r="AE207" i="4"/>
  <c r="AD207" i="4"/>
  <c r="AC207" i="4"/>
  <c r="AB207" i="4"/>
  <c r="AA207" i="4"/>
  <c r="Z207" i="4"/>
  <c r="Y207" i="4"/>
  <c r="X207" i="4"/>
  <c r="W207" i="4"/>
  <c r="V207" i="4"/>
  <c r="U207" i="4"/>
  <c r="T207" i="4"/>
  <c r="S207" i="4"/>
  <c r="R207" i="4"/>
  <c r="Q207" i="4"/>
  <c r="P207" i="4"/>
  <c r="O207" i="4"/>
  <c r="N207" i="4"/>
  <c r="M207" i="4"/>
  <c r="L207" i="4"/>
  <c r="AH206" i="4"/>
  <c r="AG206" i="4"/>
  <c r="AF206" i="4"/>
  <c r="AE206" i="4"/>
  <c r="AD206" i="4"/>
  <c r="AC206" i="4"/>
  <c r="AB206" i="4"/>
  <c r="AA206" i="4"/>
  <c r="Z206" i="4"/>
  <c r="Y206" i="4"/>
  <c r="X206" i="4"/>
  <c r="W206" i="4"/>
  <c r="V206" i="4"/>
  <c r="U206" i="4"/>
  <c r="T206" i="4"/>
  <c r="S206" i="4"/>
  <c r="R206" i="4"/>
  <c r="Q206" i="4"/>
  <c r="P206" i="4"/>
  <c r="O206" i="4"/>
  <c r="N206" i="4"/>
  <c r="M206" i="4"/>
  <c r="L206" i="4"/>
  <c r="AH205" i="4"/>
  <c r="AG205" i="4"/>
  <c r="AF205" i="4"/>
  <c r="AE205" i="4"/>
  <c r="AD205" i="4"/>
  <c r="AC205" i="4"/>
  <c r="AB205" i="4"/>
  <c r="AA205" i="4"/>
  <c r="Z205" i="4"/>
  <c r="Y205" i="4"/>
  <c r="X205" i="4"/>
  <c r="W205" i="4"/>
  <c r="V205" i="4"/>
  <c r="U205" i="4"/>
  <c r="T205" i="4"/>
  <c r="S205" i="4"/>
  <c r="R205" i="4"/>
  <c r="Q205" i="4"/>
  <c r="P205" i="4"/>
  <c r="O205" i="4"/>
  <c r="N205" i="4"/>
  <c r="M205" i="4"/>
  <c r="L205" i="4"/>
  <c r="AH204" i="4"/>
  <c r="AG204" i="4"/>
  <c r="AF204" i="4"/>
  <c r="AE204" i="4"/>
  <c r="AD204" i="4"/>
  <c r="AC204" i="4"/>
  <c r="AB204" i="4"/>
  <c r="AA204" i="4"/>
  <c r="Z204" i="4"/>
  <c r="Y204" i="4"/>
  <c r="X204" i="4"/>
  <c r="W204" i="4"/>
  <c r="V204" i="4"/>
  <c r="U204" i="4"/>
  <c r="T204" i="4"/>
  <c r="S204" i="4"/>
  <c r="R204" i="4"/>
  <c r="Q204" i="4"/>
  <c r="P204" i="4"/>
  <c r="O204" i="4"/>
  <c r="N204" i="4"/>
  <c r="M204" i="4"/>
  <c r="L204" i="4"/>
  <c r="AH203" i="4"/>
  <c r="AG203" i="4"/>
  <c r="AF203" i="4"/>
  <c r="AE203" i="4"/>
  <c r="AD203" i="4"/>
  <c r="AC203" i="4"/>
  <c r="AB203" i="4"/>
  <c r="AA203" i="4"/>
  <c r="Z203" i="4"/>
  <c r="Y203" i="4"/>
  <c r="X203" i="4"/>
  <c r="W203" i="4"/>
  <c r="V203" i="4"/>
  <c r="U203" i="4"/>
  <c r="T203" i="4"/>
  <c r="S203" i="4"/>
  <c r="R203" i="4"/>
  <c r="Q203" i="4"/>
  <c r="P203" i="4"/>
  <c r="O203" i="4"/>
  <c r="N203" i="4"/>
  <c r="M203" i="4"/>
  <c r="L203" i="4"/>
  <c r="AH202" i="4"/>
  <c r="AG202" i="4"/>
  <c r="AF202" i="4"/>
  <c r="AE202" i="4"/>
  <c r="AD202" i="4"/>
  <c r="AC202" i="4"/>
  <c r="AB202" i="4"/>
  <c r="AA202" i="4"/>
  <c r="Z202" i="4"/>
  <c r="Y202" i="4"/>
  <c r="X202" i="4"/>
  <c r="W202" i="4"/>
  <c r="V202" i="4"/>
  <c r="U202" i="4"/>
  <c r="T202" i="4"/>
  <c r="S202" i="4"/>
  <c r="R202" i="4"/>
  <c r="Q202" i="4"/>
  <c r="P202" i="4"/>
  <c r="O202" i="4"/>
  <c r="N202" i="4"/>
  <c r="M202" i="4"/>
  <c r="L202" i="4"/>
  <c r="AH201" i="4"/>
  <c r="AG201" i="4"/>
  <c r="AF201" i="4"/>
  <c r="AE201" i="4"/>
  <c r="AD201" i="4"/>
  <c r="AC201" i="4"/>
  <c r="AB201" i="4"/>
  <c r="AA201" i="4"/>
  <c r="Z201" i="4"/>
  <c r="Y201" i="4"/>
  <c r="X201" i="4"/>
  <c r="W201" i="4"/>
  <c r="V201" i="4"/>
  <c r="U201" i="4"/>
  <c r="T201" i="4"/>
  <c r="S201" i="4"/>
  <c r="R201" i="4"/>
  <c r="Q201" i="4"/>
  <c r="P201" i="4"/>
  <c r="O201" i="4"/>
  <c r="N201" i="4"/>
  <c r="M201" i="4"/>
  <c r="L201" i="4"/>
  <c r="AH200" i="4"/>
  <c r="AG200" i="4"/>
  <c r="AF200" i="4"/>
  <c r="AE200" i="4"/>
  <c r="AD200" i="4"/>
  <c r="AC200" i="4"/>
  <c r="AB200" i="4"/>
  <c r="AA200" i="4"/>
  <c r="Z200" i="4"/>
  <c r="Y200" i="4"/>
  <c r="X200" i="4"/>
  <c r="W200" i="4"/>
  <c r="V200" i="4"/>
  <c r="U200" i="4"/>
  <c r="T200" i="4"/>
  <c r="S200" i="4"/>
  <c r="R200" i="4"/>
  <c r="Q200" i="4"/>
  <c r="P200" i="4"/>
  <c r="O200" i="4"/>
  <c r="N200" i="4"/>
  <c r="M200" i="4"/>
  <c r="L200" i="4"/>
  <c r="AH199" i="4"/>
  <c r="AG199" i="4"/>
  <c r="AF199" i="4"/>
  <c r="AE199" i="4"/>
  <c r="AD199" i="4"/>
  <c r="AC199" i="4"/>
  <c r="AB199" i="4"/>
  <c r="AA199" i="4"/>
  <c r="Z199" i="4"/>
  <c r="Y199" i="4"/>
  <c r="X199" i="4"/>
  <c r="W199" i="4"/>
  <c r="V199" i="4"/>
  <c r="U199" i="4"/>
  <c r="T199" i="4"/>
  <c r="S199" i="4"/>
  <c r="R199" i="4"/>
  <c r="Q199" i="4"/>
  <c r="P199" i="4"/>
  <c r="O199" i="4"/>
  <c r="N199" i="4"/>
  <c r="M199" i="4"/>
  <c r="L199" i="4"/>
  <c r="AH198" i="4"/>
  <c r="AG198" i="4"/>
  <c r="AF198" i="4"/>
  <c r="AE198" i="4"/>
  <c r="AD198" i="4"/>
  <c r="AC198" i="4"/>
  <c r="AB198" i="4"/>
  <c r="AA198" i="4"/>
  <c r="Z198" i="4"/>
  <c r="Y198" i="4"/>
  <c r="X198" i="4"/>
  <c r="W198" i="4"/>
  <c r="V198" i="4"/>
  <c r="U198" i="4"/>
  <c r="T198" i="4"/>
  <c r="S198" i="4"/>
  <c r="R198" i="4"/>
  <c r="Q198" i="4"/>
  <c r="P198" i="4"/>
  <c r="O198" i="4"/>
  <c r="N198" i="4"/>
  <c r="M198" i="4"/>
  <c r="L198" i="4"/>
  <c r="AH197" i="4"/>
  <c r="AG197" i="4"/>
  <c r="AF197" i="4"/>
  <c r="AE197" i="4"/>
  <c r="AD197" i="4"/>
  <c r="AC197" i="4"/>
  <c r="AB197" i="4"/>
  <c r="AA197" i="4"/>
  <c r="Z197" i="4"/>
  <c r="Y197" i="4"/>
  <c r="X197" i="4"/>
  <c r="W197" i="4"/>
  <c r="V197" i="4"/>
  <c r="U197" i="4"/>
  <c r="T197" i="4"/>
  <c r="S197" i="4"/>
  <c r="R197" i="4"/>
  <c r="Q197" i="4"/>
  <c r="P197" i="4"/>
  <c r="O197" i="4"/>
  <c r="N197" i="4"/>
  <c r="M197" i="4"/>
  <c r="L197" i="4"/>
  <c r="AH196" i="4"/>
  <c r="AG196" i="4"/>
  <c r="AF196" i="4"/>
  <c r="AE196" i="4"/>
  <c r="AD196" i="4"/>
  <c r="AC196" i="4"/>
  <c r="AB196" i="4"/>
  <c r="AA196" i="4"/>
  <c r="Z196" i="4"/>
  <c r="Y196" i="4"/>
  <c r="X196" i="4"/>
  <c r="W196" i="4"/>
  <c r="V196" i="4"/>
  <c r="U196" i="4"/>
  <c r="T196" i="4"/>
  <c r="S196" i="4"/>
  <c r="R196" i="4"/>
  <c r="Q196" i="4"/>
  <c r="P196" i="4"/>
  <c r="O196" i="4"/>
  <c r="N196" i="4"/>
  <c r="M196" i="4"/>
  <c r="L196" i="4"/>
  <c r="AH195" i="4"/>
  <c r="AG195" i="4"/>
  <c r="AF195" i="4"/>
  <c r="AE195" i="4"/>
  <c r="AD195" i="4"/>
  <c r="AC195" i="4"/>
  <c r="AB195" i="4"/>
  <c r="AA195" i="4"/>
  <c r="Z195" i="4"/>
  <c r="Y195" i="4"/>
  <c r="X195" i="4"/>
  <c r="W195" i="4"/>
  <c r="V195" i="4"/>
  <c r="U195" i="4"/>
  <c r="T195" i="4"/>
  <c r="S195" i="4"/>
  <c r="R195" i="4"/>
  <c r="Q195" i="4"/>
  <c r="P195" i="4"/>
  <c r="O195" i="4"/>
  <c r="N195" i="4"/>
  <c r="M195" i="4"/>
  <c r="L195" i="4"/>
  <c r="AH194" i="4"/>
  <c r="AG194" i="4"/>
  <c r="AF194" i="4"/>
  <c r="AE194" i="4"/>
  <c r="AD194" i="4"/>
  <c r="AC194" i="4"/>
  <c r="AB194" i="4"/>
  <c r="AA194" i="4"/>
  <c r="Z194" i="4"/>
  <c r="Y194" i="4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AH193" i="4"/>
  <c r="AG193" i="4"/>
  <c r="AF193" i="4"/>
  <c r="AE193" i="4"/>
  <c r="AD193" i="4"/>
  <c r="AC193" i="4"/>
  <c r="AB193" i="4"/>
  <c r="AA193" i="4"/>
  <c r="Z193" i="4"/>
  <c r="Y193" i="4"/>
  <c r="X193" i="4"/>
  <c r="W193" i="4"/>
  <c r="V193" i="4"/>
  <c r="U193" i="4"/>
  <c r="T193" i="4"/>
  <c r="S193" i="4"/>
  <c r="R193" i="4"/>
  <c r="Q193" i="4"/>
  <c r="P193" i="4"/>
  <c r="O193" i="4"/>
  <c r="N193" i="4"/>
  <c r="M193" i="4"/>
  <c r="L193" i="4"/>
  <c r="AH192" i="4"/>
  <c r="AG192" i="4"/>
  <c r="AF192" i="4"/>
  <c r="AE192" i="4"/>
  <c r="AD192" i="4"/>
  <c r="AC192" i="4"/>
  <c r="AB192" i="4"/>
  <c r="AA192" i="4"/>
  <c r="Z192" i="4"/>
  <c r="Y192" i="4"/>
  <c r="X192" i="4"/>
  <c r="W192" i="4"/>
  <c r="V192" i="4"/>
  <c r="U192" i="4"/>
  <c r="T192" i="4"/>
  <c r="S192" i="4"/>
  <c r="R192" i="4"/>
  <c r="Q192" i="4"/>
  <c r="P192" i="4"/>
  <c r="O192" i="4"/>
  <c r="N192" i="4"/>
  <c r="M192" i="4"/>
  <c r="L192" i="4"/>
  <c r="AH191" i="4"/>
  <c r="AG191" i="4"/>
  <c r="AF191" i="4"/>
  <c r="AE191" i="4"/>
  <c r="AD191" i="4"/>
  <c r="AC191" i="4"/>
  <c r="AB191" i="4"/>
  <c r="AA191" i="4"/>
  <c r="Z191" i="4"/>
  <c r="Y191" i="4"/>
  <c r="X191" i="4"/>
  <c r="W191" i="4"/>
  <c r="V191" i="4"/>
  <c r="U191" i="4"/>
  <c r="T191" i="4"/>
  <c r="S191" i="4"/>
  <c r="R191" i="4"/>
  <c r="Q191" i="4"/>
  <c r="P191" i="4"/>
  <c r="O191" i="4"/>
  <c r="N191" i="4"/>
  <c r="M191" i="4"/>
  <c r="L191" i="4"/>
  <c r="AH190" i="4"/>
  <c r="AG190" i="4"/>
  <c r="AF190" i="4"/>
  <c r="AE190" i="4"/>
  <c r="AD190" i="4"/>
  <c r="AC190" i="4"/>
  <c r="AB190" i="4"/>
  <c r="AA190" i="4"/>
  <c r="Z190" i="4"/>
  <c r="Y190" i="4"/>
  <c r="X190" i="4"/>
  <c r="W190" i="4"/>
  <c r="V190" i="4"/>
  <c r="U190" i="4"/>
  <c r="T190" i="4"/>
  <c r="S190" i="4"/>
  <c r="R190" i="4"/>
  <c r="Q190" i="4"/>
  <c r="P190" i="4"/>
  <c r="O190" i="4"/>
  <c r="N190" i="4"/>
  <c r="M190" i="4"/>
  <c r="L190" i="4"/>
  <c r="AH189" i="4"/>
  <c r="AG189" i="4"/>
  <c r="AF189" i="4"/>
  <c r="AE189" i="4"/>
  <c r="AD189" i="4"/>
  <c r="AC189" i="4"/>
  <c r="AB189" i="4"/>
  <c r="AA189" i="4"/>
  <c r="Z189" i="4"/>
  <c r="Y189" i="4"/>
  <c r="X189" i="4"/>
  <c r="W189" i="4"/>
  <c r="V189" i="4"/>
  <c r="U189" i="4"/>
  <c r="T189" i="4"/>
  <c r="S189" i="4"/>
  <c r="R189" i="4"/>
  <c r="Q189" i="4"/>
  <c r="P189" i="4"/>
  <c r="O189" i="4"/>
  <c r="N189" i="4"/>
  <c r="M189" i="4"/>
  <c r="L189" i="4"/>
  <c r="AH188" i="4"/>
  <c r="AG188" i="4"/>
  <c r="AF188" i="4"/>
  <c r="AE188" i="4"/>
  <c r="AD188" i="4"/>
  <c r="AC188" i="4"/>
  <c r="AB188" i="4"/>
  <c r="AA188" i="4"/>
  <c r="Z188" i="4"/>
  <c r="Y188" i="4"/>
  <c r="X188" i="4"/>
  <c r="W188" i="4"/>
  <c r="V188" i="4"/>
  <c r="U188" i="4"/>
  <c r="T188" i="4"/>
  <c r="S188" i="4"/>
  <c r="R188" i="4"/>
  <c r="Q188" i="4"/>
  <c r="P188" i="4"/>
  <c r="O188" i="4"/>
  <c r="N188" i="4"/>
  <c r="M188" i="4"/>
  <c r="L188" i="4"/>
  <c r="AH187" i="4"/>
  <c r="AG187" i="4"/>
  <c r="AF187" i="4"/>
  <c r="AE187" i="4"/>
  <c r="AD187" i="4"/>
  <c r="AC187" i="4"/>
  <c r="AB187" i="4"/>
  <c r="AA187" i="4"/>
  <c r="Z187" i="4"/>
  <c r="Y187" i="4"/>
  <c r="X187" i="4"/>
  <c r="W187" i="4"/>
  <c r="V187" i="4"/>
  <c r="U187" i="4"/>
  <c r="T187" i="4"/>
  <c r="S187" i="4"/>
  <c r="R187" i="4"/>
  <c r="Q187" i="4"/>
  <c r="P187" i="4"/>
  <c r="O187" i="4"/>
  <c r="N187" i="4"/>
  <c r="M187" i="4"/>
  <c r="L187" i="4"/>
  <c r="AH186" i="4"/>
  <c r="AG186" i="4"/>
  <c r="AF186" i="4"/>
  <c r="AE186" i="4"/>
  <c r="AD186" i="4"/>
  <c r="AC186" i="4"/>
  <c r="AB186" i="4"/>
  <c r="AA186" i="4"/>
  <c r="Z186" i="4"/>
  <c r="Y186" i="4"/>
  <c r="X186" i="4"/>
  <c r="W186" i="4"/>
  <c r="V186" i="4"/>
  <c r="U186" i="4"/>
  <c r="T186" i="4"/>
  <c r="S186" i="4"/>
  <c r="R186" i="4"/>
  <c r="Q186" i="4"/>
  <c r="P186" i="4"/>
  <c r="O186" i="4"/>
  <c r="N186" i="4"/>
  <c r="M186" i="4"/>
  <c r="L186" i="4"/>
  <c r="AH185" i="4"/>
  <c r="AG185" i="4"/>
  <c r="AF185" i="4"/>
  <c r="AE185" i="4"/>
  <c r="AD185" i="4"/>
  <c r="AC185" i="4"/>
  <c r="AB185" i="4"/>
  <c r="AA185" i="4"/>
  <c r="Z185" i="4"/>
  <c r="Y185" i="4"/>
  <c r="X185" i="4"/>
  <c r="W185" i="4"/>
  <c r="V185" i="4"/>
  <c r="U185" i="4"/>
  <c r="T185" i="4"/>
  <c r="S185" i="4"/>
  <c r="R185" i="4"/>
  <c r="Q185" i="4"/>
  <c r="P185" i="4"/>
  <c r="O185" i="4"/>
  <c r="N185" i="4"/>
  <c r="M185" i="4"/>
  <c r="L185" i="4"/>
  <c r="AH184" i="4"/>
  <c r="AG184" i="4"/>
  <c r="AF184" i="4"/>
  <c r="AE184" i="4"/>
  <c r="AD184" i="4"/>
  <c r="AC184" i="4"/>
  <c r="AB184" i="4"/>
  <c r="AA184" i="4"/>
  <c r="Z184" i="4"/>
  <c r="Y184" i="4"/>
  <c r="X184" i="4"/>
  <c r="W184" i="4"/>
  <c r="V184" i="4"/>
  <c r="U184" i="4"/>
  <c r="T184" i="4"/>
  <c r="S184" i="4"/>
  <c r="R184" i="4"/>
  <c r="Q184" i="4"/>
  <c r="P184" i="4"/>
  <c r="O184" i="4"/>
  <c r="N184" i="4"/>
  <c r="M184" i="4"/>
  <c r="L184" i="4"/>
  <c r="AH183" i="4"/>
  <c r="AG183" i="4"/>
  <c r="AF183" i="4"/>
  <c r="AE183" i="4"/>
  <c r="AD183" i="4"/>
  <c r="AC183" i="4"/>
  <c r="AB183" i="4"/>
  <c r="AA183" i="4"/>
  <c r="Z183" i="4"/>
  <c r="Y183" i="4"/>
  <c r="X183" i="4"/>
  <c r="W183" i="4"/>
  <c r="V183" i="4"/>
  <c r="U183" i="4"/>
  <c r="T183" i="4"/>
  <c r="S183" i="4"/>
  <c r="R183" i="4"/>
  <c r="Q183" i="4"/>
  <c r="P183" i="4"/>
  <c r="O183" i="4"/>
  <c r="N183" i="4"/>
  <c r="M183" i="4"/>
  <c r="L183" i="4"/>
  <c r="AH182" i="4"/>
  <c r="AG182" i="4"/>
  <c r="AF182" i="4"/>
  <c r="AE182" i="4"/>
  <c r="AD182" i="4"/>
  <c r="AC182" i="4"/>
  <c r="AB182" i="4"/>
  <c r="AA182" i="4"/>
  <c r="Z182" i="4"/>
  <c r="Y182" i="4"/>
  <c r="X182" i="4"/>
  <c r="W182" i="4"/>
  <c r="V182" i="4"/>
  <c r="U182" i="4"/>
  <c r="T182" i="4"/>
  <c r="S182" i="4"/>
  <c r="R182" i="4"/>
  <c r="Q182" i="4"/>
  <c r="P182" i="4"/>
  <c r="O182" i="4"/>
  <c r="N182" i="4"/>
  <c r="M182" i="4"/>
  <c r="L182" i="4"/>
  <c r="AH181" i="4"/>
  <c r="AG181" i="4"/>
  <c r="AF181" i="4"/>
  <c r="AE181" i="4"/>
  <c r="AD181" i="4"/>
  <c r="AC181" i="4"/>
  <c r="AB181" i="4"/>
  <c r="AA181" i="4"/>
  <c r="Z181" i="4"/>
  <c r="Y181" i="4"/>
  <c r="X181" i="4"/>
  <c r="W181" i="4"/>
  <c r="V181" i="4"/>
  <c r="U181" i="4"/>
  <c r="T181" i="4"/>
  <c r="S181" i="4"/>
  <c r="R181" i="4"/>
  <c r="Q181" i="4"/>
  <c r="P181" i="4"/>
  <c r="O181" i="4"/>
  <c r="N181" i="4"/>
  <c r="M181" i="4"/>
  <c r="L181" i="4"/>
  <c r="AH180" i="4"/>
  <c r="AG180" i="4"/>
  <c r="AF180" i="4"/>
  <c r="AE180" i="4"/>
  <c r="AD180" i="4"/>
  <c r="AC180" i="4"/>
  <c r="AB180" i="4"/>
  <c r="AA180" i="4"/>
  <c r="Z180" i="4"/>
  <c r="Y180" i="4"/>
  <c r="X180" i="4"/>
  <c r="W180" i="4"/>
  <c r="V180" i="4"/>
  <c r="U180" i="4"/>
  <c r="T180" i="4"/>
  <c r="S180" i="4"/>
  <c r="R180" i="4"/>
  <c r="Q180" i="4"/>
  <c r="P180" i="4"/>
  <c r="O180" i="4"/>
  <c r="N180" i="4"/>
  <c r="M180" i="4"/>
  <c r="L180" i="4"/>
  <c r="AH179" i="4"/>
  <c r="AG179" i="4"/>
  <c r="AF179" i="4"/>
  <c r="AE179" i="4"/>
  <c r="AD179" i="4"/>
  <c r="AC179" i="4"/>
  <c r="AB179" i="4"/>
  <c r="AA179" i="4"/>
  <c r="Z179" i="4"/>
  <c r="Y179" i="4"/>
  <c r="X179" i="4"/>
  <c r="W179" i="4"/>
  <c r="V179" i="4"/>
  <c r="U179" i="4"/>
  <c r="T179" i="4"/>
  <c r="S179" i="4"/>
  <c r="R179" i="4"/>
  <c r="Q179" i="4"/>
  <c r="P179" i="4"/>
  <c r="O179" i="4"/>
  <c r="N179" i="4"/>
  <c r="M179" i="4"/>
  <c r="L179" i="4"/>
  <c r="AH178" i="4"/>
  <c r="AG178" i="4"/>
  <c r="AF178" i="4"/>
  <c r="AE178" i="4"/>
  <c r="AD178" i="4"/>
  <c r="AC178" i="4"/>
  <c r="AB178" i="4"/>
  <c r="AA178" i="4"/>
  <c r="Z178" i="4"/>
  <c r="Y178" i="4"/>
  <c r="X178" i="4"/>
  <c r="W178" i="4"/>
  <c r="V178" i="4"/>
  <c r="U178" i="4"/>
  <c r="T178" i="4"/>
  <c r="S178" i="4"/>
  <c r="R178" i="4"/>
  <c r="Q178" i="4"/>
  <c r="P178" i="4"/>
  <c r="O178" i="4"/>
  <c r="N178" i="4"/>
  <c r="M178" i="4"/>
  <c r="L178" i="4"/>
  <c r="AH177" i="4"/>
  <c r="AG177" i="4"/>
  <c r="AF177" i="4"/>
  <c r="AE177" i="4"/>
  <c r="AD177" i="4"/>
  <c r="AC177" i="4"/>
  <c r="AB177" i="4"/>
  <c r="AA177" i="4"/>
  <c r="Z177" i="4"/>
  <c r="Y177" i="4"/>
  <c r="X177" i="4"/>
  <c r="W177" i="4"/>
  <c r="V177" i="4"/>
  <c r="U177" i="4"/>
  <c r="T177" i="4"/>
  <c r="S177" i="4"/>
  <c r="R177" i="4"/>
  <c r="Q177" i="4"/>
  <c r="P177" i="4"/>
  <c r="O177" i="4"/>
  <c r="N177" i="4"/>
  <c r="M177" i="4"/>
  <c r="L177" i="4"/>
  <c r="AH176" i="4"/>
  <c r="AG176" i="4"/>
  <c r="AF176" i="4"/>
  <c r="AE176" i="4"/>
  <c r="AD176" i="4"/>
  <c r="AC176" i="4"/>
  <c r="AB176" i="4"/>
  <c r="AA176" i="4"/>
  <c r="Z176" i="4"/>
  <c r="Y176" i="4"/>
  <c r="X176" i="4"/>
  <c r="W176" i="4"/>
  <c r="V176" i="4"/>
  <c r="U176" i="4"/>
  <c r="T176" i="4"/>
  <c r="S176" i="4"/>
  <c r="R176" i="4"/>
  <c r="Q176" i="4"/>
  <c r="P176" i="4"/>
  <c r="O176" i="4"/>
  <c r="N176" i="4"/>
  <c r="M176" i="4"/>
  <c r="L176" i="4"/>
  <c r="AH175" i="4"/>
  <c r="AG175" i="4"/>
  <c r="AF175" i="4"/>
  <c r="AE175" i="4"/>
  <c r="AD175" i="4"/>
  <c r="AC175" i="4"/>
  <c r="AB175" i="4"/>
  <c r="AA175" i="4"/>
  <c r="Z175" i="4"/>
  <c r="Y175" i="4"/>
  <c r="X175" i="4"/>
  <c r="W175" i="4"/>
  <c r="V175" i="4"/>
  <c r="U175" i="4"/>
  <c r="T175" i="4"/>
  <c r="S175" i="4"/>
  <c r="R175" i="4"/>
  <c r="Q175" i="4"/>
  <c r="P175" i="4"/>
  <c r="O175" i="4"/>
  <c r="N175" i="4"/>
  <c r="M175" i="4"/>
  <c r="L175" i="4"/>
  <c r="AH174" i="4"/>
  <c r="AG174" i="4"/>
  <c r="AF174" i="4"/>
  <c r="AE174" i="4"/>
  <c r="AD174" i="4"/>
  <c r="AC174" i="4"/>
  <c r="AB174" i="4"/>
  <c r="AA174" i="4"/>
  <c r="Z174" i="4"/>
  <c r="Y174" i="4"/>
  <c r="X174" i="4"/>
  <c r="W174" i="4"/>
  <c r="V174" i="4"/>
  <c r="U174" i="4"/>
  <c r="T174" i="4"/>
  <c r="S174" i="4"/>
  <c r="R174" i="4"/>
  <c r="Q174" i="4"/>
  <c r="P174" i="4"/>
  <c r="O174" i="4"/>
  <c r="N174" i="4"/>
  <c r="M174" i="4"/>
  <c r="L174" i="4"/>
  <c r="AH173" i="4"/>
  <c r="AG173" i="4"/>
  <c r="AF173" i="4"/>
  <c r="AE173" i="4"/>
  <c r="AD173" i="4"/>
  <c r="AC173" i="4"/>
  <c r="AB173" i="4"/>
  <c r="AA173" i="4"/>
  <c r="Z173" i="4"/>
  <c r="Y173" i="4"/>
  <c r="X173" i="4"/>
  <c r="W173" i="4"/>
  <c r="V173" i="4"/>
  <c r="U173" i="4"/>
  <c r="T173" i="4"/>
  <c r="S173" i="4"/>
  <c r="R173" i="4"/>
  <c r="Q173" i="4"/>
  <c r="P173" i="4"/>
  <c r="O173" i="4"/>
  <c r="N173" i="4"/>
  <c r="M173" i="4"/>
  <c r="L173" i="4"/>
  <c r="AH172" i="4"/>
  <c r="AG172" i="4"/>
  <c r="AF172" i="4"/>
  <c r="AE172" i="4"/>
  <c r="AD172" i="4"/>
  <c r="AC172" i="4"/>
  <c r="AB172" i="4"/>
  <c r="AA172" i="4"/>
  <c r="Z172" i="4"/>
  <c r="Y172" i="4"/>
  <c r="X172" i="4"/>
  <c r="W172" i="4"/>
  <c r="V172" i="4"/>
  <c r="U172" i="4"/>
  <c r="T172" i="4"/>
  <c r="S172" i="4"/>
  <c r="R172" i="4"/>
  <c r="Q172" i="4"/>
  <c r="P172" i="4"/>
  <c r="O172" i="4"/>
  <c r="N172" i="4"/>
  <c r="M172" i="4"/>
  <c r="L172" i="4"/>
  <c r="AH171" i="4"/>
  <c r="AG171" i="4"/>
  <c r="AF171" i="4"/>
  <c r="AE171" i="4"/>
  <c r="AD171" i="4"/>
  <c r="AC171" i="4"/>
  <c r="AB171" i="4"/>
  <c r="AA171" i="4"/>
  <c r="Z171" i="4"/>
  <c r="Y171" i="4"/>
  <c r="X171" i="4"/>
  <c r="W171" i="4"/>
  <c r="V171" i="4"/>
  <c r="U171" i="4"/>
  <c r="T171" i="4"/>
  <c r="S171" i="4"/>
  <c r="R171" i="4"/>
  <c r="Q171" i="4"/>
  <c r="P171" i="4"/>
  <c r="O171" i="4"/>
  <c r="N171" i="4"/>
  <c r="M171" i="4"/>
  <c r="L171" i="4"/>
  <c r="AH170" i="4"/>
  <c r="AG170" i="4"/>
  <c r="AF170" i="4"/>
  <c r="AE170" i="4"/>
  <c r="AD170" i="4"/>
  <c r="AC170" i="4"/>
  <c r="AB170" i="4"/>
  <c r="AA170" i="4"/>
  <c r="Z170" i="4"/>
  <c r="Y170" i="4"/>
  <c r="X170" i="4"/>
  <c r="W170" i="4"/>
  <c r="V170" i="4"/>
  <c r="U170" i="4"/>
  <c r="T170" i="4"/>
  <c r="S170" i="4"/>
  <c r="R170" i="4"/>
  <c r="Q170" i="4"/>
  <c r="P170" i="4"/>
  <c r="O170" i="4"/>
  <c r="N170" i="4"/>
  <c r="M170" i="4"/>
  <c r="L170" i="4"/>
  <c r="AH169" i="4"/>
  <c r="AG169" i="4"/>
  <c r="AF169" i="4"/>
  <c r="AE169" i="4"/>
  <c r="AD169" i="4"/>
  <c r="AC169" i="4"/>
  <c r="AB169" i="4"/>
  <c r="AA169" i="4"/>
  <c r="Z169" i="4"/>
  <c r="Y169" i="4"/>
  <c r="X169" i="4"/>
  <c r="W169" i="4"/>
  <c r="V169" i="4"/>
  <c r="U169" i="4"/>
  <c r="T169" i="4"/>
  <c r="S169" i="4"/>
  <c r="R169" i="4"/>
  <c r="Q169" i="4"/>
  <c r="P169" i="4"/>
  <c r="O169" i="4"/>
  <c r="N169" i="4"/>
  <c r="M169" i="4"/>
  <c r="L169" i="4"/>
  <c r="AH168" i="4"/>
  <c r="AG168" i="4"/>
  <c r="AF168" i="4"/>
  <c r="AE168" i="4"/>
  <c r="AD168" i="4"/>
  <c r="AC168" i="4"/>
  <c r="AB168" i="4"/>
  <c r="AA168" i="4"/>
  <c r="Z168" i="4"/>
  <c r="Y168" i="4"/>
  <c r="X168" i="4"/>
  <c r="W168" i="4"/>
  <c r="V168" i="4"/>
  <c r="U168" i="4"/>
  <c r="T168" i="4"/>
  <c r="S168" i="4"/>
  <c r="R168" i="4"/>
  <c r="Q168" i="4"/>
  <c r="P168" i="4"/>
  <c r="O168" i="4"/>
  <c r="N168" i="4"/>
  <c r="M168" i="4"/>
  <c r="L168" i="4"/>
  <c r="AH167" i="4"/>
  <c r="AG167" i="4"/>
  <c r="AF167" i="4"/>
  <c r="AE167" i="4"/>
  <c r="AD167" i="4"/>
  <c r="AC167" i="4"/>
  <c r="AB167" i="4"/>
  <c r="AA167" i="4"/>
  <c r="Z167" i="4"/>
  <c r="Y167" i="4"/>
  <c r="X167" i="4"/>
  <c r="W167" i="4"/>
  <c r="V167" i="4"/>
  <c r="U167" i="4"/>
  <c r="T167" i="4"/>
  <c r="S167" i="4"/>
  <c r="R167" i="4"/>
  <c r="Q167" i="4"/>
  <c r="P167" i="4"/>
  <c r="O167" i="4"/>
  <c r="N167" i="4"/>
  <c r="M167" i="4"/>
  <c r="L167" i="4"/>
  <c r="AH166" i="4"/>
  <c r="AG166" i="4"/>
  <c r="AF166" i="4"/>
  <c r="AE166" i="4"/>
  <c r="AD166" i="4"/>
  <c r="AC166" i="4"/>
  <c r="AB166" i="4"/>
  <c r="AA166" i="4"/>
  <c r="Z166" i="4"/>
  <c r="Y166" i="4"/>
  <c r="X166" i="4"/>
  <c r="W166" i="4"/>
  <c r="V166" i="4"/>
  <c r="U166" i="4"/>
  <c r="T166" i="4"/>
  <c r="S166" i="4"/>
  <c r="R166" i="4"/>
  <c r="Q166" i="4"/>
  <c r="P166" i="4"/>
  <c r="O166" i="4"/>
  <c r="N166" i="4"/>
  <c r="M166" i="4"/>
  <c r="L166" i="4"/>
  <c r="AH165" i="4"/>
  <c r="AG165" i="4"/>
  <c r="AF165" i="4"/>
  <c r="AE165" i="4"/>
  <c r="AD165" i="4"/>
  <c r="AC165" i="4"/>
  <c r="AB165" i="4"/>
  <c r="AA165" i="4"/>
  <c r="Z165" i="4"/>
  <c r="Y165" i="4"/>
  <c r="X165" i="4"/>
  <c r="W165" i="4"/>
  <c r="V165" i="4"/>
  <c r="U165" i="4"/>
  <c r="T165" i="4"/>
  <c r="S165" i="4"/>
  <c r="R165" i="4"/>
  <c r="Q165" i="4"/>
  <c r="P165" i="4"/>
  <c r="O165" i="4"/>
  <c r="N165" i="4"/>
  <c r="M165" i="4"/>
  <c r="L165" i="4"/>
  <c r="AH164" i="4"/>
  <c r="AG164" i="4"/>
  <c r="AF164" i="4"/>
  <c r="AE164" i="4"/>
  <c r="AD164" i="4"/>
  <c r="AC164" i="4"/>
  <c r="AB164" i="4"/>
  <c r="AA164" i="4"/>
  <c r="Z164" i="4"/>
  <c r="Y164" i="4"/>
  <c r="X164" i="4"/>
  <c r="W164" i="4"/>
  <c r="V164" i="4"/>
  <c r="U164" i="4"/>
  <c r="T164" i="4"/>
  <c r="S164" i="4"/>
  <c r="R164" i="4"/>
  <c r="Q164" i="4"/>
  <c r="P164" i="4"/>
  <c r="O164" i="4"/>
  <c r="N164" i="4"/>
  <c r="M164" i="4"/>
  <c r="L164" i="4"/>
  <c r="AH163" i="4"/>
  <c r="AG163" i="4"/>
  <c r="AF163" i="4"/>
  <c r="AE163" i="4"/>
  <c r="AD163" i="4"/>
  <c r="AC163" i="4"/>
  <c r="AB163" i="4"/>
  <c r="AA163" i="4"/>
  <c r="Z163" i="4"/>
  <c r="Y163" i="4"/>
  <c r="X163" i="4"/>
  <c r="W163" i="4"/>
  <c r="V163" i="4"/>
  <c r="U163" i="4"/>
  <c r="T163" i="4"/>
  <c r="S163" i="4"/>
  <c r="R163" i="4"/>
  <c r="Q163" i="4"/>
  <c r="P163" i="4"/>
  <c r="O163" i="4"/>
  <c r="N163" i="4"/>
  <c r="M163" i="4"/>
  <c r="L163" i="4"/>
  <c r="AH162" i="4"/>
  <c r="AG162" i="4"/>
  <c r="AF162" i="4"/>
  <c r="AE162" i="4"/>
  <c r="AD162" i="4"/>
  <c r="AC162" i="4"/>
  <c r="AB162" i="4"/>
  <c r="AA162" i="4"/>
  <c r="Z162" i="4"/>
  <c r="Y162" i="4"/>
  <c r="X162" i="4"/>
  <c r="W162" i="4"/>
  <c r="V162" i="4"/>
  <c r="U162" i="4"/>
  <c r="T162" i="4"/>
  <c r="S162" i="4"/>
  <c r="R162" i="4"/>
  <c r="Q162" i="4"/>
  <c r="P162" i="4"/>
  <c r="O162" i="4"/>
  <c r="N162" i="4"/>
  <c r="M162" i="4"/>
  <c r="L162" i="4"/>
  <c r="AH161" i="4"/>
  <c r="AG161" i="4"/>
  <c r="AF161" i="4"/>
  <c r="AE161" i="4"/>
  <c r="AD161" i="4"/>
  <c r="AC161" i="4"/>
  <c r="AB161" i="4"/>
  <c r="AA161" i="4"/>
  <c r="Z161" i="4"/>
  <c r="Y161" i="4"/>
  <c r="X161" i="4"/>
  <c r="W161" i="4"/>
  <c r="V161" i="4"/>
  <c r="U161" i="4"/>
  <c r="T161" i="4"/>
  <c r="S161" i="4"/>
  <c r="R161" i="4"/>
  <c r="Q161" i="4"/>
  <c r="P161" i="4"/>
  <c r="O161" i="4"/>
  <c r="N161" i="4"/>
  <c r="M161" i="4"/>
  <c r="L161" i="4"/>
  <c r="AH160" i="4"/>
  <c r="AG160" i="4"/>
  <c r="AF160" i="4"/>
  <c r="AE160" i="4"/>
  <c r="AD160" i="4"/>
  <c r="AC160" i="4"/>
  <c r="AB160" i="4"/>
  <c r="AA160" i="4"/>
  <c r="Z160" i="4"/>
  <c r="Y160" i="4"/>
  <c r="X160" i="4"/>
  <c r="W160" i="4"/>
  <c r="V160" i="4"/>
  <c r="U160" i="4"/>
  <c r="T160" i="4"/>
  <c r="S160" i="4"/>
  <c r="R160" i="4"/>
  <c r="Q160" i="4"/>
  <c r="P160" i="4"/>
  <c r="O160" i="4"/>
  <c r="N160" i="4"/>
  <c r="M160" i="4"/>
  <c r="L160" i="4"/>
  <c r="AH159" i="4"/>
  <c r="AG159" i="4"/>
  <c r="AF159" i="4"/>
  <c r="AE159" i="4"/>
  <c r="AD159" i="4"/>
  <c r="AC159" i="4"/>
  <c r="AB159" i="4"/>
  <c r="AA159" i="4"/>
  <c r="Z159" i="4"/>
  <c r="Y159" i="4"/>
  <c r="X159" i="4"/>
  <c r="W159" i="4"/>
  <c r="V159" i="4"/>
  <c r="U159" i="4"/>
  <c r="T159" i="4"/>
  <c r="S159" i="4"/>
  <c r="R159" i="4"/>
  <c r="Q159" i="4"/>
  <c r="P159" i="4"/>
  <c r="O159" i="4"/>
  <c r="N159" i="4"/>
  <c r="M159" i="4"/>
  <c r="L159" i="4"/>
  <c r="AH158" i="4"/>
  <c r="AG158" i="4"/>
  <c r="AF158" i="4"/>
  <c r="AE158" i="4"/>
  <c r="AD158" i="4"/>
  <c r="AC158" i="4"/>
  <c r="AB158" i="4"/>
  <c r="AA158" i="4"/>
  <c r="Z158" i="4"/>
  <c r="Y158" i="4"/>
  <c r="X158" i="4"/>
  <c r="W158" i="4"/>
  <c r="V158" i="4"/>
  <c r="U158" i="4"/>
  <c r="T158" i="4"/>
  <c r="S158" i="4"/>
  <c r="R158" i="4"/>
  <c r="Q158" i="4"/>
  <c r="P158" i="4"/>
  <c r="O158" i="4"/>
  <c r="N158" i="4"/>
  <c r="M158" i="4"/>
  <c r="L158" i="4"/>
  <c r="AH157" i="4"/>
  <c r="AG157" i="4"/>
  <c r="AF157" i="4"/>
  <c r="AE157" i="4"/>
  <c r="AD157" i="4"/>
  <c r="AC157" i="4"/>
  <c r="AB157" i="4"/>
  <c r="AA157" i="4"/>
  <c r="Z157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AH156" i="4"/>
  <c r="AG156" i="4"/>
  <c r="AF156" i="4"/>
  <c r="AE156" i="4"/>
  <c r="AD156" i="4"/>
  <c r="AC156" i="4"/>
  <c r="AB156" i="4"/>
  <c r="AA156" i="4"/>
  <c r="Z156" i="4"/>
  <c r="Y156" i="4"/>
  <c r="X156" i="4"/>
  <c r="W156" i="4"/>
  <c r="V156" i="4"/>
  <c r="U156" i="4"/>
  <c r="T156" i="4"/>
  <c r="S156" i="4"/>
  <c r="R156" i="4"/>
  <c r="Q156" i="4"/>
  <c r="P156" i="4"/>
  <c r="O156" i="4"/>
  <c r="N156" i="4"/>
  <c r="M156" i="4"/>
  <c r="L156" i="4"/>
  <c r="AH155" i="4"/>
  <c r="AG155" i="4"/>
  <c r="AF155" i="4"/>
  <c r="AE155" i="4"/>
  <c r="AD155" i="4"/>
  <c r="AC155" i="4"/>
  <c r="AB155" i="4"/>
  <c r="AA155" i="4"/>
  <c r="Z155" i="4"/>
  <c r="Y155" i="4"/>
  <c r="X155" i="4"/>
  <c r="W155" i="4"/>
  <c r="V155" i="4"/>
  <c r="U155" i="4"/>
  <c r="T155" i="4"/>
  <c r="S155" i="4"/>
  <c r="R155" i="4"/>
  <c r="Q155" i="4"/>
  <c r="P155" i="4"/>
  <c r="O155" i="4"/>
  <c r="N155" i="4"/>
  <c r="M155" i="4"/>
  <c r="L155" i="4"/>
  <c r="AH154" i="4"/>
  <c r="AG154" i="4"/>
  <c r="AF154" i="4"/>
  <c r="AE154" i="4"/>
  <c r="AD154" i="4"/>
  <c r="AC154" i="4"/>
  <c r="AB154" i="4"/>
  <c r="AA154" i="4"/>
  <c r="Z154" i="4"/>
  <c r="Y154" i="4"/>
  <c r="X154" i="4"/>
  <c r="W154" i="4"/>
  <c r="V154" i="4"/>
  <c r="U154" i="4"/>
  <c r="T154" i="4"/>
  <c r="S154" i="4"/>
  <c r="R154" i="4"/>
  <c r="Q154" i="4"/>
  <c r="P154" i="4"/>
  <c r="O154" i="4"/>
  <c r="N154" i="4"/>
  <c r="M154" i="4"/>
  <c r="L154" i="4"/>
  <c r="AH153" i="4"/>
  <c r="AG153" i="4"/>
  <c r="AF153" i="4"/>
  <c r="AE153" i="4"/>
  <c r="AD153" i="4"/>
  <c r="AC153" i="4"/>
  <c r="AB153" i="4"/>
  <c r="AA153" i="4"/>
  <c r="Z153" i="4"/>
  <c r="Y153" i="4"/>
  <c r="X153" i="4"/>
  <c r="W153" i="4"/>
  <c r="V153" i="4"/>
  <c r="U153" i="4"/>
  <c r="T153" i="4"/>
  <c r="S153" i="4"/>
  <c r="R153" i="4"/>
  <c r="Q153" i="4"/>
  <c r="P153" i="4"/>
  <c r="O153" i="4"/>
  <c r="N153" i="4"/>
  <c r="M153" i="4"/>
  <c r="L153" i="4"/>
  <c r="AH152" i="4"/>
  <c r="AG152" i="4"/>
  <c r="AF152" i="4"/>
  <c r="AE152" i="4"/>
  <c r="AD152" i="4"/>
  <c r="AC152" i="4"/>
  <c r="AB152" i="4"/>
  <c r="AA152" i="4"/>
  <c r="Z152" i="4"/>
  <c r="Y152" i="4"/>
  <c r="X152" i="4"/>
  <c r="W152" i="4"/>
  <c r="V152" i="4"/>
  <c r="U152" i="4"/>
  <c r="T152" i="4"/>
  <c r="S152" i="4"/>
  <c r="R152" i="4"/>
  <c r="Q152" i="4"/>
  <c r="P152" i="4"/>
  <c r="O152" i="4"/>
  <c r="N152" i="4"/>
  <c r="M152" i="4"/>
  <c r="L152" i="4"/>
  <c r="AH151" i="4"/>
  <c r="AG151" i="4"/>
  <c r="AF151" i="4"/>
  <c r="AE151" i="4"/>
  <c r="AD151" i="4"/>
  <c r="AC151" i="4"/>
  <c r="AB151" i="4"/>
  <c r="AA151" i="4"/>
  <c r="Z151" i="4"/>
  <c r="Y151" i="4"/>
  <c r="X151" i="4"/>
  <c r="W151" i="4"/>
  <c r="V151" i="4"/>
  <c r="U151" i="4"/>
  <c r="T151" i="4"/>
  <c r="S151" i="4"/>
  <c r="R151" i="4"/>
  <c r="Q151" i="4"/>
  <c r="P151" i="4"/>
  <c r="O151" i="4"/>
  <c r="N151" i="4"/>
  <c r="M151" i="4"/>
  <c r="L151" i="4"/>
  <c r="AH150" i="4"/>
  <c r="AG150" i="4"/>
  <c r="AF150" i="4"/>
  <c r="AE150" i="4"/>
  <c r="AD150" i="4"/>
  <c r="AC150" i="4"/>
  <c r="AB150" i="4"/>
  <c r="AA150" i="4"/>
  <c r="Z150" i="4"/>
  <c r="Y150" i="4"/>
  <c r="X150" i="4"/>
  <c r="W150" i="4"/>
  <c r="V150" i="4"/>
  <c r="U150" i="4"/>
  <c r="T150" i="4"/>
  <c r="S150" i="4"/>
  <c r="R150" i="4"/>
  <c r="Q150" i="4"/>
  <c r="P150" i="4"/>
  <c r="O150" i="4"/>
  <c r="N150" i="4"/>
  <c r="M150" i="4"/>
  <c r="L150" i="4"/>
  <c r="AH149" i="4"/>
  <c r="AG149" i="4"/>
  <c r="AF149" i="4"/>
  <c r="AE149" i="4"/>
  <c r="AD149" i="4"/>
  <c r="AC149" i="4"/>
  <c r="AB149" i="4"/>
  <c r="AA149" i="4"/>
  <c r="Z149" i="4"/>
  <c r="Y149" i="4"/>
  <c r="X149" i="4"/>
  <c r="W149" i="4"/>
  <c r="V149" i="4"/>
  <c r="U149" i="4"/>
  <c r="T149" i="4"/>
  <c r="S149" i="4"/>
  <c r="R149" i="4"/>
  <c r="Q149" i="4"/>
  <c r="P149" i="4"/>
  <c r="O149" i="4"/>
  <c r="N149" i="4"/>
  <c r="M149" i="4"/>
  <c r="L149" i="4"/>
  <c r="AH148" i="4"/>
  <c r="AG148" i="4"/>
  <c r="AF148" i="4"/>
  <c r="AE148" i="4"/>
  <c r="AD148" i="4"/>
  <c r="AC148" i="4"/>
  <c r="AB148" i="4"/>
  <c r="AA148" i="4"/>
  <c r="Z148" i="4"/>
  <c r="Y148" i="4"/>
  <c r="X148" i="4"/>
  <c r="W148" i="4"/>
  <c r="V148" i="4"/>
  <c r="U148" i="4"/>
  <c r="T148" i="4"/>
  <c r="S148" i="4"/>
  <c r="R148" i="4"/>
  <c r="Q148" i="4"/>
  <c r="P148" i="4"/>
  <c r="O148" i="4"/>
  <c r="N148" i="4"/>
  <c r="M148" i="4"/>
  <c r="L148" i="4"/>
  <c r="AH147" i="4"/>
  <c r="AG147" i="4"/>
  <c r="AF147" i="4"/>
  <c r="AE147" i="4"/>
  <c r="AD147" i="4"/>
  <c r="AC147" i="4"/>
  <c r="AB147" i="4"/>
  <c r="AA147" i="4"/>
  <c r="Z147" i="4"/>
  <c r="Y147" i="4"/>
  <c r="X147" i="4"/>
  <c r="W147" i="4"/>
  <c r="V147" i="4"/>
  <c r="U147" i="4"/>
  <c r="T147" i="4"/>
  <c r="S147" i="4"/>
  <c r="R147" i="4"/>
  <c r="Q147" i="4"/>
  <c r="P147" i="4"/>
  <c r="O147" i="4"/>
  <c r="N147" i="4"/>
  <c r="M147" i="4"/>
  <c r="L147" i="4"/>
  <c r="AH146" i="4"/>
  <c r="AG146" i="4"/>
  <c r="AF146" i="4"/>
  <c r="AE146" i="4"/>
  <c r="AD146" i="4"/>
  <c r="AC146" i="4"/>
  <c r="AB146" i="4"/>
  <c r="AA146" i="4"/>
  <c r="Z146" i="4"/>
  <c r="Y146" i="4"/>
  <c r="X146" i="4"/>
  <c r="W146" i="4"/>
  <c r="V146" i="4"/>
  <c r="U146" i="4"/>
  <c r="T146" i="4"/>
  <c r="S146" i="4"/>
  <c r="R146" i="4"/>
  <c r="Q146" i="4"/>
  <c r="P146" i="4"/>
  <c r="O146" i="4"/>
  <c r="N146" i="4"/>
  <c r="M146" i="4"/>
  <c r="L146" i="4"/>
  <c r="AH145" i="4"/>
  <c r="AG145" i="4"/>
  <c r="AF145" i="4"/>
  <c r="AE145" i="4"/>
  <c r="AD145" i="4"/>
  <c r="AC145" i="4"/>
  <c r="AB145" i="4"/>
  <c r="AA145" i="4"/>
  <c r="Z145" i="4"/>
  <c r="Y145" i="4"/>
  <c r="X145" i="4"/>
  <c r="W145" i="4"/>
  <c r="V145" i="4"/>
  <c r="U145" i="4"/>
  <c r="T145" i="4"/>
  <c r="S145" i="4"/>
  <c r="R145" i="4"/>
  <c r="Q145" i="4"/>
  <c r="P145" i="4"/>
  <c r="O145" i="4"/>
  <c r="N145" i="4"/>
  <c r="M145" i="4"/>
  <c r="L145" i="4"/>
  <c r="AH144" i="4"/>
  <c r="AG144" i="4"/>
  <c r="AF144" i="4"/>
  <c r="AE144" i="4"/>
  <c r="AD144" i="4"/>
  <c r="AC144" i="4"/>
  <c r="AB144" i="4"/>
  <c r="AA144" i="4"/>
  <c r="Z144" i="4"/>
  <c r="Y144" i="4"/>
  <c r="X144" i="4"/>
  <c r="W144" i="4"/>
  <c r="V144" i="4"/>
  <c r="U144" i="4"/>
  <c r="T144" i="4"/>
  <c r="S144" i="4"/>
  <c r="R144" i="4"/>
  <c r="Q144" i="4"/>
  <c r="P144" i="4"/>
  <c r="O144" i="4"/>
  <c r="N144" i="4"/>
  <c r="M144" i="4"/>
  <c r="L144" i="4"/>
  <c r="AH143" i="4"/>
  <c r="AG143" i="4"/>
  <c r="AF143" i="4"/>
  <c r="AE143" i="4"/>
  <c r="AD143" i="4"/>
  <c r="AC143" i="4"/>
  <c r="AB143" i="4"/>
  <c r="AA143" i="4"/>
  <c r="Z143" i="4"/>
  <c r="Y143" i="4"/>
  <c r="X143" i="4"/>
  <c r="W143" i="4"/>
  <c r="V143" i="4"/>
  <c r="U143" i="4"/>
  <c r="T143" i="4"/>
  <c r="S143" i="4"/>
  <c r="R143" i="4"/>
  <c r="Q143" i="4"/>
  <c r="P143" i="4"/>
  <c r="O143" i="4"/>
  <c r="N143" i="4"/>
  <c r="M143" i="4"/>
  <c r="L143" i="4"/>
  <c r="AH142" i="4"/>
  <c r="AG142" i="4"/>
  <c r="AF142" i="4"/>
  <c r="AE142" i="4"/>
  <c r="AD142" i="4"/>
  <c r="AC142" i="4"/>
  <c r="AB142" i="4"/>
  <c r="AA142" i="4"/>
  <c r="Z142" i="4"/>
  <c r="Y142" i="4"/>
  <c r="X142" i="4"/>
  <c r="W142" i="4"/>
  <c r="V142" i="4"/>
  <c r="U142" i="4"/>
  <c r="T142" i="4"/>
  <c r="S142" i="4"/>
  <c r="R142" i="4"/>
  <c r="Q142" i="4"/>
  <c r="P142" i="4"/>
  <c r="O142" i="4"/>
  <c r="N142" i="4"/>
  <c r="M142" i="4"/>
  <c r="L142" i="4"/>
  <c r="AH141" i="4"/>
  <c r="AG141" i="4"/>
  <c r="AF141" i="4"/>
  <c r="AE141" i="4"/>
  <c r="AD141" i="4"/>
  <c r="AC141" i="4"/>
  <c r="AB141" i="4"/>
  <c r="AA141" i="4"/>
  <c r="Z141" i="4"/>
  <c r="Y141" i="4"/>
  <c r="X141" i="4"/>
  <c r="W141" i="4"/>
  <c r="V141" i="4"/>
  <c r="U141" i="4"/>
  <c r="T141" i="4"/>
  <c r="S141" i="4"/>
  <c r="R141" i="4"/>
  <c r="Q141" i="4"/>
  <c r="P141" i="4"/>
  <c r="O141" i="4"/>
  <c r="N141" i="4"/>
  <c r="M141" i="4"/>
  <c r="L141" i="4"/>
  <c r="AH140" i="4"/>
  <c r="AG140" i="4"/>
  <c r="AF140" i="4"/>
  <c r="AE140" i="4"/>
  <c r="AD140" i="4"/>
  <c r="AC140" i="4"/>
  <c r="AB140" i="4"/>
  <c r="AA140" i="4"/>
  <c r="Z140" i="4"/>
  <c r="Y140" i="4"/>
  <c r="X140" i="4"/>
  <c r="W140" i="4"/>
  <c r="V140" i="4"/>
  <c r="U140" i="4"/>
  <c r="T140" i="4"/>
  <c r="S140" i="4"/>
  <c r="R140" i="4"/>
  <c r="Q140" i="4"/>
  <c r="P140" i="4"/>
  <c r="O140" i="4"/>
  <c r="N140" i="4"/>
  <c r="M140" i="4"/>
  <c r="L140" i="4"/>
  <c r="AH139" i="4"/>
  <c r="AG139" i="4"/>
  <c r="AF139" i="4"/>
  <c r="AE139" i="4"/>
  <c r="AD139" i="4"/>
  <c r="AC139" i="4"/>
  <c r="AB139" i="4"/>
  <c r="AA139" i="4"/>
  <c r="Z139" i="4"/>
  <c r="Y139" i="4"/>
  <c r="X139" i="4"/>
  <c r="W139" i="4"/>
  <c r="V139" i="4"/>
  <c r="U139" i="4"/>
  <c r="T139" i="4"/>
  <c r="S139" i="4"/>
  <c r="R139" i="4"/>
  <c r="Q139" i="4"/>
  <c r="P139" i="4"/>
  <c r="O139" i="4"/>
  <c r="N139" i="4"/>
  <c r="M139" i="4"/>
  <c r="L139" i="4"/>
  <c r="AH138" i="4"/>
  <c r="AG138" i="4"/>
  <c r="AF138" i="4"/>
  <c r="AE138" i="4"/>
  <c r="AD138" i="4"/>
  <c r="AC138" i="4"/>
  <c r="AB138" i="4"/>
  <c r="AA138" i="4"/>
  <c r="Z138" i="4"/>
  <c r="Y138" i="4"/>
  <c r="X138" i="4"/>
  <c r="W138" i="4"/>
  <c r="V138" i="4"/>
  <c r="U138" i="4"/>
  <c r="T138" i="4"/>
  <c r="S138" i="4"/>
  <c r="R138" i="4"/>
  <c r="Q138" i="4"/>
  <c r="P138" i="4"/>
  <c r="O138" i="4"/>
  <c r="N138" i="4"/>
  <c r="M138" i="4"/>
  <c r="L138" i="4"/>
  <c r="AH137" i="4"/>
  <c r="AG137" i="4"/>
  <c r="AF137" i="4"/>
  <c r="AE137" i="4"/>
  <c r="AD137" i="4"/>
  <c r="AC137" i="4"/>
  <c r="AB137" i="4"/>
  <c r="AA137" i="4"/>
  <c r="Z137" i="4"/>
  <c r="Y137" i="4"/>
  <c r="X137" i="4"/>
  <c r="W137" i="4"/>
  <c r="V137" i="4"/>
  <c r="U137" i="4"/>
  <c r="T137" i="4"/>
  <c r="S137" i="4"/>
  <c r="R137" i="4"/>
  <c r="Q137" i="4"/>
  <c r="P137" i="4"/>
  <c r="O137" i="4"/>
  <c r="N137" i="4"/>
  <c r="M137" i="4"/>
  <c r="L137" i="4"/>
  <c r="AH136" i="4"/>
  <c r="AG136" i="4"/>
  <c r="AF136" i="4"/>
  <c r="AE136" i="4"/>
  <c r="AD136" i="4"/>
  <c r="AC136" i="4"/>
  <c r="AB136" i="4"/>
  <c r="AA136" i="4"/>
  <c r="Z136" i="4"/>
  <c r="Y136" i="4"/>
  <c r="X136" i="4"/>
  <c r="W136" i="4"/>
  <c r="V136" i="4"/>
  <c r="U136" i="4"/>
  <c r="T136" i="4"/>
  <c r="S136" i="4"/>
  <c r="R136" i="4"/>
  <c r="Q136" i="4"/>
  <c r="P136" i="4"/>
  <c r="O136" i="4"/>
  <c r="N136" i="4"/>
  <c r="M136" i="4"/>
  <c r="L136" i="4"/>
  <c r="AH135" i="4"/>
  <c r="AG135" i="4"/>
  <c r="AF135" i="4"/>
  <c r="AE135" i="4"/>
  <c r="AD135" i="4"/>
  <c r="AC135" i="4"/>
  <c r="AB135" i="4"/>
  <c r="AA135" i="4"/>
  <c r="Z135" i="4"/>
  <c r="Y135" i="4"/>
  <c r="X135" i="4"/>
  <c r="W135" i="4"/>
  <c r="V135" i="4"/>
  <c r="U135" i="4"/>
  <c r="T135" i="4"/>
  <c r="S135" i="4"/>
  <c r="R135" i="4"/>
  <c r="Q135" i="4"/>
  <c r="P135" i="4"/>
  <c r="O135" i="4"/>
  <c r="N135" i="4"/>
  <c r="M135" i="4"/>
  <c r="L135" i="4"/>
  <c r="AH134" i="4"/>
  <c r="AG134" i="4"/>
  <c r="AF134" i="4"/>
  <c r="AE134" i="4"/>
  <c r="AD134" i="4"/>
  <c r="AC134" i="4"/>
  <c r="AB134" i="4"/>
  <c r="AA134" i="4"/>
  <c r="Z134" i="4"/>
  <c r="Y134" i="4"/>
  <c r="X134" i="4"/>
  <c r="W134" i="4"/>
  <c r="V134" i="4"/>
  <c r="U134" i="4"/>
  <c r="T134" i="4"/>
  <c r="S134" i="4"/>
  <c r="R134" i="4"/>
  <c r="Q134" i="4"/>
  <c r="P134" i="4"/>
  <c r="O134" i="4"/>
  <c r="N134" i="4"/>
  <c r="M134" i="4"/>
  <c r="L134" i="4"/>
  <c r="AH133" i="4"/>
  <c r="AG133" i="4"/>
  <c r="AF133" i="4"/>
  <c r="AE133" i="4"/>
  <c r="AD133" i="4"/>
  <c r="AC133" i="4"/>
  <c r="AB133" i="4"/>
  <c r="AA133" i="4"/>
  <c r="Z133" i="4"/>
  <c r="Y133" i="4"/>
  <c r="X133" i="4"/>
  <c r="W133" i="4"/>
  <c r="V133" i="4"/>
  <c r="U133" i="4"/>
  <c r="T133" i="4"/>
  <c r="S133" i="4"/>
  <c r="R133" i="4"/>
  <c r="Q133" i="4"/>
  <c r="P133" i="4"/>
  <c r="O133" i="4"/>
  <c r="N133" i="4"/>
  <c r="M133" i="4"/>
  <c r="L133" i="4"/>
  <c r="AH132" i="4"/>
  <c r="AG132" i="4"/>
  <c r="AF132" i="4"/>
  <c r="AE132" i="4"/>
  <c r="AD132" i="4"/>
  <c r="AC132" i="4"/>
  <c r="AB132" i="4"/>
  <c r="AA132" i="4"/>
  <c r="Z132" i="4"/>
  <c r="Y132" i="4"/>
  <c r="X132" i="4"/>
  <c r="W132" i="4"/>
  <c r="V132" i="4"/>
  <c r="U132" i="4"/>
  <c r="T132" i="4"/>
  <c r="S132" i="4"/>
  <c r="R132" i="4"/>
  <c r="Q132" i="4"/>
  <c r="P132" i="4"/>
  <c r="O132" i="4"/>
  <c r="N132" i="4"/>
  <c r="M132" i="4"/>
  <c r="L132" i="4"/>
  <c r="AH131" i="4"/>
  <c r="AG131" i="4"/>
  <c r="AF131" i="4"/>
  <c r="AE131" i="4"/>
  <c r="AD131" i="4"/>
  <c r="AC131" i="4"/>
  <c r="AB131" i="4"/>
  <c r="AA131" i="4"/>
  <c r="Z131" i="4"/>
  <c r="Y131" i="4"/>
  <c r="X131" i="4"/>
  <c r="W131" i="4"/>
  <c r="V131" i="4"/>
  <c r="U131" i="4"/>
  <c r="T131" i="4"/>
  <c r="S131" i="4"/>
  <c r="R131" i="4"/>
  <c r="Q131" i="4"/>
  <c r="P131" i="4"/>
  <c r="O131" i="4"/>
  <c r="N131" i="4"/>
  <c r="M131" i="4"/>
  <c r="L131" i="4"/>
  <c r="AH130" i="4"/>
  <c r="AG130" i="4"/>
  <c r="AF130" i="4"/>
  <c r="AE130" i="4"/>
  <c r="AD130" i="4"/>
  <c r="AC130" i="4"/>
  <c r="AB130" i="4"/>
  <c r="AA130" i="4"/>
  <c r="Z130" i="4"/>
  <c r="Y130" i="4"/>
  <c r="X130" i="4"/>
  <c r="W130" i="4"/>
  <c r="V130" i="4"/>
  <c r="U130" i="4"/>
  <c r="T130" i="4"/>
  <c r="S130" i="4"/>
  <c r="R130" i="4"/>
  <c r="Q130" i="4"/>
  <c r="P130" i="4"/>
  <c r="O130" i="4"/>
  <c r="N130" i="4"/>
  <c r="M130" i="4"/>
  <c r="L130" i="4"/>
  <c r="AH129" i="4"/>
  <c r="AG129" i="4"/>
  <c r="AF129" i="4"/>
  <c r="AE129" i="4"/>
  <c r="AD129" i="4"/>
  <c r="AC129" i="4"/>
  <c r="AB129" i="4"/>
  <c r="AA129" i="4"/>
  <c r="Z129" i="4"/>
  <c r="Y129" i="4"/>
  <c r="X129" i="4"/>
  <c r="W129" i="4"/>
  <c r="V129" i="4"/>
  <c r="U129" i="4"/>
  <c r="T129" i="4"/>
  <c r="S129" i="4"/>
  <c r="R129" i="4"/>
  <c r="Q129" i="4"/>
  <c r="P129" i="4"/>
  <c r="O129" i="4"/>
  <c r="N129" i="4"/>
  <c r="M129" i="4"/>
  <c r="L129" i="4"/>
  <c r="AH128" i="4"/>
  <c r="AG128" i="4"/>
  <c r="AF128" i="4"/>
  <c r="AE128" i="4"/>
  <c r="AD128" i="4"/>
  <c r="AC128" i="4"/>
  <c r="AB128" i="4"/>
  <c r="AA128" i="4"/>
  <c r="Z128" i="4"/>
  <c r="Y128" i="4"/>
  <c r="X128" i="4"/>
  <c r="W128" i="4"/>
  <c r="V128" i="4"/>
  <c r="U128" i="4"/>
  <c r="T128" i="4"/>
  <c r="S128" i="4"/>
  <c r="R128" i="4"/>
  <c r="Q128" i="4"/>
  <c r="P128" i="4"/>
  <c r="O128" i="4"/>
  <c r="N128" i="4"/>
  <c r="M128" i="4"/>
  <c r="L128" i="4"/>
  <c r="AH127" i="4"/>
  <c r="AG127" i="4"/>
  <c r="AF127" i="4"/>
  <c r="AE127" i="4"/>
  <c r="AD127" i="4"/>
  <c r="AC127" i="4"/>
  <c r="AB127" i="4"/>
  <c r="AA127" i="4"/>
  <c r="Z127" i="4"/>
  <c r="Y127" i="4"/>
  <c r="X127" i="4"/>
  <c r="W127" i="4"/>
  <c r="V127" i="4"/>
  <c r="U127" i="4"/>
  <c r="T127" i="4"/>
  <c r="S127" i="4"/>
  <c r="R127" i="4"/>
  <c r="Q127" i="4"/>
  <c r="P127" i="4"/>
  <c r="O127" i="4"/>
  <c r="N127" i="4"/>
  <c r="M127" i="4"/>
  <c r="L127" i="4"/>
  <c r="AH126" i="4"/>
  <c r="AG126" i="4"/>
  <c r="AF126" i="4"/>
  <c r="AE126" i="4"/>
  <c r="AD126" i="4"/>
  <c r="AC126" i="4"/>
  <c r="AB126" i="4"/>
  <c r="AA126" i="4"/>
  <c r="Z126" i="4"/>
  <c r="Y126" i="4"/>
  <c r="X126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AH125" i="4"/>
  <c r="AG125" i="4"/>
  <c r="AF125" i="4"/>
  <c r="AE125" i="4"/>
  <c r="AD125" i="4"/>
  <c r="AC125" i="4"/>
  <c r="AB125" i="4"/>
  <c r="AA125" i="4"/>
  <c r="Z125" i="4"/>
  <c r="Y125" i="4"/>
  <c r="X125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AH124" i="4"/>
  <c r="AG124" i="4"/>
  <c r="AF124" i="4"/>
  <c r="AE124" i="4"/>
  <c r="AD124" i="4"/>
  <c r="AC124" i="4"/>
  <c r="AB124" i="4"/>
  <c r="AA124" i="4"/>
  <c r="Z124" i="4"/>
  <c r="Y124" i="4"/>
  <c r="X124" i="4"/>
  <c r="W124" i="4"/>
  <c r="V124" i="4"/>
  <c r="U124" i="4"/>
  <c r="T124" i="4"/>
  <c r="S124" i="4"/>
  <c r="R124" i="4"/>
  <c r="Q124" i="4"/>
  <c r="P124" i="4"/>
  <c r="O124" i="4"/>
  <c r="N124" i="4"/>
  <c r="M124" i="4"/>
  <c r="L124" i="4"/>
  <c r="AH123" i="4"/>
  <c r="AG123" i="4"/>
  <c r="AF123" i="4"/>
  <c r="AE123" i="4"/>
  <c r="AD123" i="4"/>
  <c r="AC123" i="4"/>
  <c r="AB123" i="4"/>
  <c r="AA123" i="4"/>
  <c r="Z123" i="4"/>
  <c r="Y123" i="4"/>
  <c r="X123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AH122" i="4"/>
  <c r="AG122" i="4"/>
  <c r="AF122" i="4"/>
  <c r="AE122" i="4"/>
  <c r="AD122" i="4"/>
  <c r="AC122" i="4"/>
  <c r="AB122" i="4"/>
  <c r="AA122" i="4"/>
  <c r="Z122" i="4"/>
  <c r="Y122" i="4"/>
  <c r="X122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AH121" i="4"/>
  <c r="AG121" i="4"/>
  <c r="AF121" i="4"/>
  <c r="AE121" i="4"/>
  <c r="AD121" i="4"/>
  <c r="AC121" i="4"/>
  <c r="AB121" i="4"/>
  <c r="AA121" i="4"/>
  <c r="Z121" i="4"/>
  <c r="Y121" i="4"/>
  <c r="X121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AH120" i="4"/>
  <c r="AG120" i="4"/>
  <c r="AF120" i="4"/>
  <c r="AE120" i="4"/>
  <c r="AD120" i="4"/>
  <c r="AC120" i="4"/>
  <c r="AB120" i="4"/>
  <c r="AA120" i="4"/>
  <c r="Z120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AH119" i="4"/>
  <c r="AG119" i="4"/>
  <c r="AF119" i="4"/>
  <c r="AE119" i="4"/>
  <c r="AD119" i="4"/>
  <c r="AC119" i="4"/>
  <c r="AB119" i="4"/>
  <c r="AA119" i="4"/>
  <c r="Z119" i="4"/>
  <c r="Y119" i="4"/>
  <c r="X119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AH118" i="4"/>
  <c r="AG118" i="4"/>
  <c r="AF118" i="4"/>
  <c r="AE118" i="4"/>
  <c r="AD118" i="4"/>
  <c r="AC118" i="4"/>
  <c r="AB118" i="4"/>
  <c r="AA118" i="4"/>
  <c r="Z118" i="4"/>
  <c r="Y118" i="4"/>
  <c r="X118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AH2" i="4"/>
  <c r="AG2" i="4"/>
  <c r="AF2" i="4"/>
  <c r="AE2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27" i="4"/>
  <c r="K226" i="4"/>
  <c r="K225" i="4"/>
  <c r="K224" i="4"/>
  <c r="K223" i="4"/>
  <c r="K222" i="4"/>
  <c r="K221" i="4"/>
  <c r="K220" i="4"/>
  <c r="K219" i="4"/>
  <c r="K218" i="4"/>
  <c r="K217" i="4"/>
  <c r="K216" i="4"/>
  <c r="K215" i="4"/>
  <c r="K214" i="4"/>
  <c r="K213" i="4"/>
  <c r="K212" i="4"/>
  <c r="K211" i="4"/>
  <c r="K210" i="4"/>
  <c r="K209" i="4"/>
  <c r="K208" i="4"/>
  <c r="K207" i="4"/>
  <c r="K206" i="4"/>
  <c r="K205" i="4"/>
  <c r="K204" i="4"/>
  <c r="K203" i="4"/>
  <c r="K202" i="4"/>
  <c r="K201" i="4"/>
  <c r="K200" i="4"/>
  <c r="K199" i="4"/>
  <c r="K198" i="4"/>
  <c r="K197" i="4"/>
  <c r="K196" i="4"/>
  <c r="K195" i="4"/>
  <c r="K194" i="4"/>
  <c r="K193" i="4"/>
  <c r="K192" i="4"/>
  <c r="K191" i="4"/>
  <c r="K190" i="4"/>
  <c r="K189" i="4"/>
  <c r="K188" i="4"/>
  <c r="K187" i="4"/>
  <c r="K186" i="4"/>
  <c r="K185" i="4"/>
  <c r="K184" i="4"/>
  <c r="K183" i="4"/>
  <c r="K182" i="4"/>
  <c r="K181" i="4"/>
  <c r="K180" i="4"/>
  <c r="K179" i="4"/>
  <c r="K178" i="4"/>
  <c r="K177" i="4"/>
  <c r="K176" i="4"/>
  <c r="K175" i="4"/>
  <c r="K174" i="4"/>
  <c r="K173" i="4"/>
  <c r="K172" i="4"/>
  <c r="K171" i="4"/>
  <c r="K170" i="4"/>
  <c r="K169" i="4"/>
  <c r="K168" i="4"/>
  <c r="K167" i="4"/>
  <c r="K166" i="4"/>
  <c r="K165" i="4"/>
  <c r="K164" i="4"/>
  <c r="K163" i="4"/>
  <c r="K162" i="4"/>
  <c r="K161" i="4"/>
  <c r="K160" i="4"/>
  <c r="K159" i="4"/>
  <c r="K158" i="4"/>
  <c r="K157" i="4"/>
  <c r="K156" i="4"/>
  <c r="K155" i="4"/>
  <c r="K154" i="4"/>
  <c r="K153" i="4"/>
  <c r="K152" i="4"/>
  <c r="K151" i="4"/>
  <c r="K150" i="4"/>
  <c r="K149" i="4"/>
  <c r="K148" i="4"/>
  <c r="K147" i="4"/>
  <c r="K146" i="4"/>
  <c r="K145" i="4"/>
  <c r="K144" i="4"/>
  <c r="K143" i="4"/>
  <c r="K142" i="4"/>
  <c r="K141" i="4"/>
  <c r="K140" i="4"/>
  <c r="K139" i="4"/>
  <c r="K138" i="4"/>
  <c r="K137" i="4"/>
  <c r="K136" i="4"/>
  <c r="K135" i="4"/>
  <c r="K134" i="4"/>
  <c r="K133" i="4"/>
  <c r="K132" i="4"/>
  <c r="K131" i="4"/>
  <c r="K130" i="4"/>
  <c r="K129" i="4"/>
  <c r="K128" i="4"/>
  <c r="K127" i="4"/>
  <c r="K126" i="4"/>
  <c r="K125" i="4"/>
  <c r="K124" i="4"/>
  <c r="K123" i="4"/>
  <c r="K122" i="4"/>
  <c r="K121" i="4"/>
  <c r="K120" i="4"/>
  <c r="K119" i="4"/>
  <c r="K118" i="4"/>
  <c r="K117" i="4"/>
  <c r="K116" i="4"/>
  <c r="K115" i="4"/>
  <c r="K114" i="4"/>
  <c r="K113" i="4"/>
  <c r="K112" i="4"/>
  <c r="K111" i="4"/>
  <c r="K110" i="4"/>
  <c r="K109" i="4"/>
  <c r="K108" i="4"/>
  <c r="K107" i="4"/>
  <c r="K106" i="4"/>
  <c r="K105" i="4"/>
  <c r="K104" i="4"/>
  <c r="K103" i="4"/>
  <c r="K102" i="4"/>
  <c r="K101" i="4"/>
  <c r="K100" i="4"/>
  <c r="K99" i="4"/>
  <c r="K98" i="4"/>
  <c r="K97" i="4"/>
  <c r="K96" i="4"/>
  <c r="K95" i="4"/>
  <c r="K94" i="4"/>
  <c r="K93" i="4"/>
  <c r="K92" i="4"/>
  <c r="K91" i="4"/>
  <c r="K90" i="4"/>
  <c r="K89" i="4"/>
  <c r="K88" i="4"/>
  <c r="K87" i="4"/>
  <c r="K86" i="4"/>
  <c r="K85" i="4"/>
  <c r="K84" i="4"/>
  <c r="K83" i="4"/>
  <c r="K82" i="4"/>
  <c r="K81" i="4"/>
  <c r="K80" i="4"/>
  <c r="K79" i="4"/>
  <c r="K78" i="4"/>
  <c r="K77" i="4"/>
  <c r="K76" i="4"/>
  <c r="K75" i="4"/>
  <c r="K74" i="4"/>
  <c r="K73" i="4"/>
  <c r="K72" i="4"/>
  <c r="K71" i="4"/>
  <c r="K70" i="4"/>
  <c r="K69" i="4"/>
  <c r="K68" i="4"/>
  <c r="K67" i="4"/>
  <c r="K66" i="4"/>
  <c r="K65" i="4"/>
  <c r="K64" i="4"/>
  <c r="K63" i="4"/>
  <c r="K62" i="4"/>
  <c r="K61" i="4"/>
  <c r="K60" i="4"/>
  <c r="K59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3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J227" i="4"/>
  <c r="I227" i="4"/>
  <c r="H227" i="4"/>
  <c r="G227" i="4"/>
  <c r="J226" i="4"/>
  <c r="I226" i="4"/>
  <c r="H226" i="4"/>
  <c r="G226" i="4"/>
  <c r="J225" i="4"/>
  <c r="I225" i="4"/>
  <c r="H225" i="4"/>
  <c r="G225" i="4"/>
  <c r="J224" i="4"/>
  <c r="I224" i="4"/>
  <c r="H224" i="4"/>
  <c r="G224" i="4"/>
  <c r="J223" i="4"/>
  <c r="I223" i="4"/>
  <c r="H223" i="4"/>
  <c r="G223" i="4"/>
  <c r="J222" i="4"/>
  <c r="I222" i="4"/>
  <c r="H222" i="4"/>
  <c r="G222" i="4"/>
  <c r="J221" i="4"/>
  <c r="I221" i="4"/>
  <c r="H221" i="4"/>
  <c r="G221" i="4"/>
  <c r="J220" i="4"/>
  <c r="I220" i="4"/>
  <c r="H220" i="4"/>
  <c r="G220" i="4"/>
  <c r="J219" i="4"/>
  <c r="I219" i="4"/>
  <c r="H219" i="4"/>
  <c r="G219" i="4"/>
  <c r="J218" i="4"/>
  <c r="I218" i="4"/>
  <c r="H218" i="4"/>
  <c r="G218" i="4"/>
  <c r="J217" i="4"/>
  <c r="I217" i="4"/>
  <c r="H217" i="4"/>
  <c r="G217" i="4"/>
  <c r="J216" i="4"/>
  <c r="I216" i="4"/>
  <c r="H216" i="4"/>
  <c r="G216" i="4"/>
  <c r="J215" i="4"/>
  <c r="I215" i="4"/>
  <c r="H215" i="4"/>
  <c r="G215" i="4"/>
  <c r="J214" i="4"/>
  <c r="I214" i="4"/>
  <c r="H214" i="4"/>
  <c r="G214" i="4"/>
  <c r="J213" i="4"/>
  <c r="I213" i="4"/>
  <c r="H213" i="4"/>
  <c r="G213" i="4"/>
  <c r="J212" i="4"/>
  <c r="I212" i="4"/>
  <c r="H212" i="4"/>
  <c r="G212" i="4"/>
  <c r="J211" i="4"/>
  <c r="I211" i="4"/>
  <c r="H211" i="4"/>
  <c r="G211" i="4"/>
  <c r="J210" i="4"/>
  <c r="I210" i="4"/>
  <c r="H210" i="4"/>
  <c r="G210" i="4"/>
  <c r="J209" i="4"/>
  <c r="I209" i="4"/>
  <c r="H209" i="4"/>
  <c r="G209" i="4"/>
  <c r="J208" i="4"/>
  <c r="I208" i="4"/>
  <c r="H208" i="4"/>
  <c r="G208" i="4"/>
  <c r="J207" i="4"/>
  <c r="I207" i="4"/>
  <c r="H207" i="4"/>
  <c r="G207" i="4"/>
  <c r="J206" i="4"/>
  <c r="I206" i="4"/>
  <c r="H206" i="4"/>
  <c r="G206" i="4"/>
  <c r="J205" i="4"/>
  <c r="I205" i="4"/>
  <c r="H205" i="4"/>
  <c r="G205" i="4"/>
  <c r="J204" i="4"/>
  <c r="I204" i="4"/>
  <c r="H204" i="4"/>
  <c r="G204" i="4"/>
  <c r="J203" i="4"/>
  <c r="I203" i="4"/>
  <c r="H203" i="4"/>
  <c r="G203" i="4"/>
  <c r="J202" i="4"/>
  <c r="I202" i="4"/>
  <c r="H202" i="4"/>
  <c r="G202" i="4"/>
  <c r="J201" i="4"/>
  <c r="I201" i="4"/>
  <c r="H201" i="4"/>
  <c r="G201" i="4"/>
  <c r="J200" i="4"/>
  <c r="I200" i="4"/>
  <c r="H200" i="4"/>
  <c r="G200" i="4"/>
  <c r="J199" i="4"/>
  <c r="I199" i="4"/>
  <c r="H199" i="4"/>
  <c r="G199" i="4"/>
  <c r="J198" i="4"/>
  <c r="I198" i="4"/>
  <c r="H198" i="4"/>
  <c r="G198" i="4"/>
  <c r="J197" i="4"/>
  <c r="I197" i="4"/>
  <c r="H197" i="4"/>
  <c r="G197" i="4"/>
  <c r="J196" i="4"/>
  <c r="I196" i="4"/>
  <c r="H196" i="4"/>
  <c r="G196" i="4"/>
  <c r="J195" i="4"/>
  <c r="I195" i="4"/>
  <c r="H195" i="4"/>
  <c r="G195" i="4"/>
  <c r="J194" i="4"/>
  <c r="I194" i="4"/>
  <c r="H194" i="4"/>
  <c r="G194" i="4"/>
  <c r="J193" i="4"/>
  <c r="I193" i="4"/>
  <c r="H193" i="4"/>
  <c r="G193" i="4"/>
  <c r="J192" i="4"/>
  <c r="I192" i="4"/>
  <c r="H192" i="4"/>
  <c r="G192" i="4"/>
  <c r="J191" i="4"/>
  <c r="I191" i="4"/>
  <c r="H191" i="4"/>
  <c r="G191" i="4"/>
  <c r="J190" i="4"/>
  <c r="I190" i="4"/>
  <c r="H190" i="4"/>
  <c r="G190" i="4"/>
  <c r="J189" i="4"/>
  <c r="I189" i="4"/>
  <c r="H189" i="4"/>
  <c r="G189" i="4"/>
  <c r="J188" i="4"/>
  <c r="I188" i="4"/>
  <c r="H188" i="4"/>
  <c r="G188" i="4"/>
  <c r="J187" i="4"/>
  <c r="I187" i="4"/>
  <c r="H187" i="4"/>
  <c r="G187" i="4"/>
  <c r="J186" i="4"/>
  <c r="I186" i="4"/>
  <c r="H186" i="4"/>
  <c r="G186" i="4"/>
  <c r="J185" i="4"/>
  <c r="I185" i="4"/>
  <c r="H185" i="4"/>
  <c r="G185" i="4"/>
  <c r="J184" i="4"/>
  <c r="I184" i="4"/>
  <c r="H184" i="4"/>
  <c r="G184" i="4"/>
  <c r="J183" i="4"/>
  <c r="I183" i="4"/>
  <c r="H183" i="4"/>
  <c r="G183" i="4"/>
  <c r="J182" i="4"/>
  <c r="I182" i="4"/>
  <c r="H182" i="4"/>
  <c r="G182" i="4"/>
  <c r="J181" i="4"/>
  <c r="I181" i="4"/>
  <c r="H181" i="4"/>
  <c r="G181" i="4"/>
  <c r="J180" i="4"/>
  <c r="I180" i="4"/>
  <c r="H180" i="4"/>
  <c r="G180" i="4"/>
  <c r="J179" i="4"/>
  <c r="I179" i="4"/>
  <c r="H179" i="4"/>
  <c r="G179" i="4"/>
  <c r="J178" i="4"/>
  <c r="I178" i="4"/>
  <c r="H178" i="4"/>
  <c r="G178" i="4"/>
  <c r="J177" i="4"/>
  <c r="I177" i="4"/>
  <c r="H177" i="4"/>
  <c r="G177" i="4"/>
  <c r="J176" i="4"/>
  <c r="I176" i="4"/>
  <c r="H176" i="4"/>
  <c r="G176" i="4"/>
  <c r="J175" i="4"/>
  <c r="I175" i="4"/>
  <c r="H175" i="4"/>
  <c r="G175" i="4"/>
  <c r="J174" i="4"/>
  <c r="I174" i="4"/>
  <c r="H174" i="4"/>
  <c r="G174" i="4"/>
  <c r="J173" i="4"/>
  <c r="I173" i="4"/>
  <c r="H173" i="4"/>
  <c r="G173" i="4"/>
  <c r="J172" i="4"/>
  <c r="I172" i="4"/>
  <c r="H172" i="4"/>
  <c r="G172" i="4"/>
  <c r="J171" i="4"/>
  <c r="I171" i="4"/>
  <c r="H171" i="4"/>
  <c r="G171" i="4"/>
  <c r="J170" i="4"/>
  <c r="I170" i="4"/>
  <c r="H170" i="4"/>
  <c r="G170" i="4"/>
  <c r="J169" i="4"/>
  <c r="I169" i="4"/>
  <c r="H169" i="4"/>
  <c r="G169" i="4"/>
  <c r="J168" i="4"/>
  <c r="I168" i="4"/>
  <c r="H168" i="4"/>
  <c r="G168" i="4"/>
  <c r="J167" i="4"/>
  <c r="I167" i="4"/>
  <c r="H167" i="4"/>
  <c r="G167" i="4"/>
  <c r="J166" i="4"/>
  <c r="I166" i="4"/>
  <c r="H166" i="4"/>
  <c r="G166" i="4"/>
  <c r="J165" i="4"/>
  <c r="I165" i="4"/>
  <c r="H165" i="4"/>
  <c r="G165" i="4"/>
  <c r="J164" i="4"/>
  <c r="I164" i="4"/>
  <c r="H164" i="4"/>
  <c r="G164" i="4"/>
  <c r="J163" i="4"/>
  <c r="I163" i="4"/>
  <c r="H163" i="4"/>
  <c r="G163" i="4"/>
  <c r="J162" i="4"/>
  <c r="I162" i="4"/>
  <c r="H162" i="4"/>
  <c r="G162" i="4"/>
  <c r="J161" i="4"/>
  <c r="I161" i="4"/>
  <c r="H161" i="4"/>
  <c r="G161" i="4"/>
  <c r="J160" i="4"/>
  <c r="I160" i="4"/>
  <c r="H160" i="4"/>
  <c r="G160" i="4"/>
  <c r="J159" i="4"/>
  <c r="I159" i="4"/>
  <c r="H159" i="4"/>
  <c r="G159" i="4"/>
  <c r="J158" i="4"/>
  <c r="I158" i="4"/>
  <c r="H158" i="4"/>
  <c r="G158" i="4"/>
  <c r="J157" i="4"/>
  <c r="I157" i="4"/>
  <c r="H157" i="4"/>
  <c r="G157" i="4"/>
  <c r="J156" i="4"/>
  <c r="I156" i="4"/>
  <c r="H156" i="4"/>
  <c r="G156" i="4"/>
  <c r="J155" i="4"/>
  <c r="I155" i="4"/>
  <c r="H155" i="4"/>
  <c r="G155" i="4"/>
  <c r="J154" i="4"/>
  <c r="I154" i="4"/>
  <c r="H154" i="4"/>
  <c r="G154" i="4"/>
  <c r="J153" i="4"/>
  <c r="I153" i="4"/>
  <c r="H153" i="4"/>
  <c r="G153" i="4"/>
  <c r="J152" i="4"/>
  <c r="I152" i="4"/>
  <c r="H152" i="4"/>
  <c r="G152" i="4"/>
  <c r="J151" i="4"/>
  <c r="I151" i="4"/>
  <c r="H151" i="4"/>
  <c r="G151" i="4"/>
  <c r="J150" i="4"/>
  <c r="I150" i="4"/>
  <c r="H150" i="4"/>
  <c r="G150" i="4"/>
  <c r="J149" i="4"/>
  <c r="I149" i="4"/>
  <c r="H149" i="4"/>
  <c r="G149" i="4"/>
  <c r="J148" i="4"/>
  <c r="I148" i="4"/>
  <c r="H148" i="4"/>
  <c r="G148" i="4"/>
  <c r="J147" i="4"/>
  <c r="I147" i="4"/>
  <c r="H147" i="4"/>
  <c r="G147" i="4"/>
  <c r="J146" i="4"/>
  <c r="I146" i="4"/>
  <c r="H146" i="4"/>
  <c r="G146" i="4"/>
  <c r="J145" i="4"/>
  <c r="I145" i="4"/>
  <c r="H145" i="4"/>
  <c r="G145" i="4"/>
  <c r="J144" i="4"/>
  <c r="I144" i="4"/>
  <c r="H144" i="4"/>
  <c r="G144" i="4"/>
  <c r="J143" i="4"/>
  <c r="I143" i="4"/>
  <c r="H143" i="4"/>
  <c r="G143" i="4"/>
  <c r="J142" i="4"/>
  <c r="I142" i="4"/>
  <c r="H142" i="4"/>
  <c r="G142" i="4"/>
  <c r="J141" i="4"/>
  <c r="I141" i="4"/>
  <c r="H141" i="4"/>
  <c r="G141" i="4"/>
  <c r="J140" i="4"/>
  <c r="I140" i="4"/>
  <c r="H140" i="4"/>
  <c r="G140" i="4"/>
  <c r="J139" i="4"/>
  <c r="I139" i="4"/>
  <c r="H139" i="4"/>
  <c r="G139" i="4"/>
  <c r="J138" i="4"/>
  <c r="I138" i="4"/>
  <c r="H138" i="4"/>
  <c r="G138" i="4"/>
  <c r="J137" i="4"/>
  <c r="I137" i="4"/>
  <c r="H137" i="4"/>
  <c r="G137" i="4"/>
  <c r="J136" i="4"/>
  <c r="I136" i="4"/>
  <c r="H136" i="4"/>
  <c r="G136" i="4"/>
  <c r="J135" i="4"/>
  <c r="I135" i="4"/>
  <c r="H135" i="4"/>
  <c r="G135" i="4"/>
  <c r="J134" i="4"/>
  <c r="I134" i="4"/>
  <c r="H134" i="4"/>
  <c r="G134" i="4"/>
  <c r="J133" i="4"/>
  <c r="I133" i="4"/>
  <c r="H133" i="4"/>
  <c r="G133" i="4"/>
  <c r="J132" i="4"/>
  <c r="I132" i="4"/>
  <c r="H132" i="4"/>
  <c r="G132" i="4"/>
  <c r="J131" i="4"/>
  <c r="I131" i="4"/>
  <c r="H131" i="4"/>
  <c r="G131" i="4"/>
  <c r="J130" i="4"/>
  <c r="I130" i="4"/>
  <c r="H130" i="4"/>
  <c r="G130" i="4"/>
  <c r="J129" i="4"/>
  <c r="I129" i="4"/>
  <c r="H129" i="4"/>
  <c r="G129" i="4"/>
  <c r="J128" i="4"/>
  <c r="I128" i="4"/>
  <c r="H128" i="4"/>
  <c r="G128" i="4"/>
  <c r="J127" i="4"/>
  <c r="I127" i="4"/>
  <c r="H127" i="4"/>
  <c r="G127" i="4"/>
  <c r="J126" i="4"/>
  <c r="I126" i="4"/>
  <c r="H126" i="4"/>
  <c r="G126" i="4"/>
  <c r="J125" i="4"/>
  <c r="I125" i="4"/>
  <c r="H125" i="4"/>
  <c r="G125" i="4"/>
  <c r="J124" i="4"/>
  <c r="I124" i="4"/>
  <c r="H124" i="4"/>
  <c r="G124" i="4"/>
  <c r="J123" i="4"/>
  <c r="I123" i="4"/>
  <c r="H123" i="4"/>
  <c r="G123" i="4"/>
  <c r="J122" i="4"/>
  <c r="I122" i="4"/>
  <c r="H122" i="4"/>
  <c r="G122" i="4"/>
  <c r="J121" i="4"/>
  <c r="I121" i="4"/>
  <c r="H121" i="4"/>
  <c r="G121" i="4"/>
  <c r="J120" i="4"/>
  <c r="I120" i="4"/>
  <c r="H120" i="4"/>
  <c r="G120" i="4"/>
  <c r="J119" i="4"/>
  <c r="I119" i="4"/>
  <c r="H119" i="4"/>
  <c r="G119" i="4"/>
  <c r="J118" i="4"/>
  <c r="I118" i="4"/>
  <c r="H118" i="4"/>
  <c r="G118" i="4"/>
  <c r="J117" i="4"/>
  <c r="I117" i="4"/>
  <c r="H117" i="4"/>
  <c r="G117" i="4"/>
  <c r="J116" i="4"/>
  <c r="I116" i="4"/>
  <c r="H116" i="4"/>
  <c r="G116" i="4"/>
  <c r="J115" i="4"/>
  <c r="I115" i="4"/>
  <c r="H115" i="4"/>
  <c r="G115" i="4"/>
  <c r="J114" i="4"/>
  <c r="I114" i="4"/>
  <c r="H114" i="4"/>
  <c r="G114" i="4"/>
  <c r="J113" i="4"/>
  <c r="I113" i="4"/>
  <c r="H113" i="4"/>
  <c r="G113" i="4"/>
  <c r="J112" i="4"/>
  <c r="I112" i="4"/>
  <c r="H112" i="4"/>
  <c r="G112" i="4"/>
  <c r="J111" i="4"/>
  <c r="I111" i="4"/>
  <c r="H111" i="4"/>
  <c r="G111" i="4"/>
  <c r="J110" i="4"/>
  <c r="I110" i="4"/>
  <c r="H110" i="4"/>
  <c r="G110" i="4"/>
  <c r="J109" i="4"/>
  <c r="I109" i="4"/>
  <c r="H109" i="4"/>
  <c r="G109" i="4"/>
  <c r="J108" i="4"/>
  <c r="I108" i="4"/>
  <c r="H108" i="4"/>
  <c r="G108" i="4"/>
  <c r="J107" i="4"/>
  <c r="I107" i="4"/>
  <c r="H107" i="4"/>
  <c r="G107" i="4"/>
  <c r="J106" i="4"/>
  <c r="I106" i="4"/>
  <c r="H106" i="4"/>
  <c r="G106" i="4"/>
  <c r="J105" i="4"/>
  <c r="I105" i="4"/>
  <c r="H105" i="4"/>
  <c r="G105" i="4"/>
  <c r="J104" i="4"/>
  <c r="I104" i="4"/>
  <c r="H104" i="4"/>
  <c r="G104" i="4"/>
  <c r="J103" i="4"/>
  <c r="I103" i="4"/>
  <c r="H103" i="4"/>
  <c r="G103" i="4"/>
  <c r="J102" i="4"/>
  <c r="I102" i="4"/>
  <c r="H102" i="4"/>
  <c r="G102" i="4"/>
  <c r="J101" i="4"/>
  <c r="I101" i="4"/>
  <c r="H101" i="4"/>
  <c r="G101" i="4"/>
  <c r="J100" i="4"/>
  <c r="I100" i="4"/>
  <c r="H100" i="4"/>
  <c r="G100" i="4"/>
  <c r="J99" i="4"/>
  <c r="I99" i="4"/>
  <c r="H99" i="4"/>
  <c r="G99" i="4"/>
  <c r="J98" i="4"/>
  <c r="I98" i="4"/>
  <c r="H98" i="4"/>
  <c r="G98" i="4"/>
  <c r="J97" i="4"/>
  <c r="I97" i="4"/>
  <c r="H97" i="4"/>
  <c r="G97" i="4"/>
  <c r="J96" i="4"/>
  <c r="I96" i="4"/>
  <c r="H96" i="4"/>
  <c r="G96" i="4"/>
  <c r="J95" i="4"/>
  <c r="I95" i="4"/>
  <c r="H95" i="4"/>
  <c r="G95" i="4"/>
  <c r="J94" i="4"/>
  <c r="I94" i="4"/>
  <c r="H94" i="4"/>
  <c r="G94" i="4"/>
  <c r="J93" i="4"/>
  <c r="I93" i="4"/>
  <c r="H93" i="4"/>
  <c r="G93" i="4"/>
  <c r="J92" i="4"/>
  <c r="I92" i="4"/>
  <c r="H92" i="4"/>
  <c r="G92" i="4"/>
  <c r="J91" i="4"/>
  <c r="I91" i="4"/>
  <c r="H91" i="4"/>
  <c r="G91" i="4"/>
  <c r="J90" i="4"/>
  <c r="I90" i="4"/>
  <c r="H90" i="4"/>
  <c r="G90" i="4"/>
  <c r="J89" i="4"/>
  <c r="I89" i="4"/>
  <c r="H89" i="4"/>
  <c r="G89" i="4"/>
  <c r="J88" i="4"/>
  <c r="I88" i="4"/>
  <c r="H88" i="4"/>
  <c r="G88" i="4"/>
  <c r="J87" i="4"/>
  <c r="I87" i="4"/>
  <c r="H87" i="4"/>
  <c r="G87" i="4"/>
  <c r="J86" i="4"/>
  <c r="I86" i="4"/>
  <c r="H86" i="4"/>
  <c r="G86" i="4"/>
  <c r="J85" i="4"/>
  <c r="I85" i="4"/>
  <c r="H85" i="4"/>
  <c r="G85" i="4"/>
  <c r="J84" i="4"/>
  <c r="I84" i="4"/>
  <c r="H84" i="4"/>
  <c r="G84" i="4"/>
  <c r="J83" i="4"/>
  <c r="I83" i="4"/>
  <c r="H83" i="4"/>
  <c r="G83" i="4"/>
  <c r="J82" i="4"/>
  <c r="I82" i="4"/>
  <c r="H82" i="4"/>
  <c r="G82" i="4"/>
  <c r="J81" i="4"/>
  <c r="I81" i="4"/>
  <c r="H81" i="4"/>
  <c r="G81" i="4"/>
  <c r="J80" i="4"/>
  <c r="I80" i="4"/>
  <c r="H80" i="4"/>
  <c r="G80" i="4"/>
  <c r="J79" i="4"/>
  <c r="I79" i="4"/>
  <c r="H79" i="4"/>
  <c r="G79" i="4"/>
  <c r="J78" i="4"/>
  <c r="I78" i="4"/>
  <c r="H78" i="4"/>
  <c r="G78" i="4"/>
  <c r="J77" i="4"/>
  <c r="I77" i="4"/>
  <c r="H77" i="4"/>
  <c r="G77" i="4"/>
  <c r="J76" i="4"/>
  <c r="I76" i="4"/>
  <c r="H76" i="4"/>
  <c r="G76" i="4"/>
  <c r="J75" i="4"/>
  <c r="I75" i="4"/>
  <c r="H75" i="4"/>
  <c r="G75" i="4"/>
  <c r="J74" i="4"/>
  <c r="I74" i="4"/>
  <c r="H74" i="4"/>
  <c r="G74" i="4"/>
  <c r="J73" i="4"/>
  <c r="I73" i="4"/>
  <c r="H73" i="4"/>
  <c r="G73" i="4"/>
  <c r="J72" i="4"/>
  <c r="I72" i="4"/>
  <c r="H72" i="4"/>
  <c r="G72" i="4"/>
  <c r="J71" i="4"/>
  <c r="I71" i="4"/>
  <c r="H71" i="4"/>
  <c r="G71" i="4"/>
  <c r="J70" i="4"/>
  <c r="I70" i="4"/>
  <c r="H70" i="4"/>
  <c r="G70" i="4"/>
  <c r="J69" i="4"/>
  <c r="I69" i="4"/>
  <c r="H69" i="4"/>
  <c r="G69" i="4"/>
  <c r="J68" i="4"/>
  <c r="I68" i="4"/>
  <c r="H68" i="4"/>
  <c r="G68" i="4"/>
  <c r="J67" i="4"/>
  <c r="I67" i="4"/>
  <c r="H67" i="4"/>
  <c r="G67" i="4"/>
  <c r="J66" i="4"/>
  <c r="I66" i="4"/>
  <c r="H66" i="4"/>
  <c r="G66" i="4"/>
  <c r="J65" i="4"/>
  <c r="I65" i="4"/>
  <c r="H65" i="4"/>
  <c r="G65" i="4"/>
  <c r="J64" i="4"/>
  <c r="I64" i="4"/>
  <c r="H64" i="4"/>
  <c r="G64" i="4"/>
  <c r="J63" i="4"/>
  <c r="I63" i="4"/>
  <c r="H63" i="4"/>
  <c r="G63" i="4"/>
  <c r="J62" i="4"/>
  <c r="I62" i="4"/>
  <c r="H62" i="4"/>
  <c r="G62" i="4"/>
  <c r="J61" i="4"/>
  <c r="I61" i="4"/>
  <c r="H61" i="4"/>
  <c r="G61" i="4"/>
  <c r="J60" i="4"/>
  <c r="I60" i="4"/>
  <c r="H60" i="4"/>
  <c r="G60" i="4"/>
  <c r="J59" i="4"/>
  <c r="I59" i="4"/>
  <c r="H59" i="4"/>
  <c r="G59" i="4"/>
  <c r="J58" i="4"/>
  <c r="I58" i="4"/>
  <c r="H58" i="4"/>
  <c r="G58" i="4"/>
  <c r="J57" i="4"/>
  <c r="I57" i="4"/>
  <c r="H57" i="4"/>
  <c r="G57" i="4"/>
  <c r="J56" i="4"/>
  <c r="I56" i="4"/>
  <c r="H56" i="4"/>
  <c r="G56" i="4"/>
  <c r="J55" i="4"/>
  <c r="I55" i="4"/>
  <c r="H55" i="4"/>
  <c r="G55" i="4"/>
  <c r="J54" i="4"/>
  <c r="I54" i="4"/>
  <c r="H54" i="4"/>
  <c r="G54" i="4"/>
  <c r="J53" i="4"/>
  <c r="I53" i="4"/>
  <c r="H53" i="4"/>
  <c r="G53" i="4"/>
  <c r="J52" i="4"/>
  <c r="I52" i="4"/>
  <c r="H52" i="4"/>
  <c r="G52" i="4"/>
  <c r="J51" i="4"/>
  <c r="I51" i="4"/>
  <c r="H51" i="4"/>
  <c r="G51" i="4"/>
  <c r="J50" i="4"/>
  <c r="I50" i="4"/>
  <c r="H50" i="4"/>
  <c r="G50" i="4"/>
  <c r="J49" i="4"/>
  <c r="I49" i="4"/>
  <c r="H49" i="4"/>
  <c r="G49" i="4"/>
  <c r="J48" i="4"/>
  <c r="I48" i="4"/>
  <c r="H48" i="4"/>
  <c r="G48" i="4"/>
  <c r="J47" i="4"/>
  <c r="I47" i="4"/>
  <c r="H47" i="4"/>
  <c r="G47" i="4"/>
  <c r="J46" i="4"/>
  <c r="I46" i="4"/>
  <c r="H46" i="4"/>
  <c r="G46" i="4"/>
  <c r="J45" i="4"/>
  <c r="I45" i="4"/>
  <c r="H45" i="4"/>
  <c r="G45" i="4"/>
  <c r="J44" i="4"/>
  <c r="I44" i="4"/>
  <c r="H44" i="4"/>
  <c r="G44" i="4"/>
  <c r="J43" i="4"/>
  <c r="I43" i="4"/>
  <c r="H43" i="4"/>
  <c r="G43" i="4"/>
  <c r="J42" i="4"/>
  <c r="I42" i="4"/>
  <c r="H42" i="4"/>
  <c r="G42" i="4"/>
  <c r="J41" i="4"/>
  <c r="I41" i="4"/>
  <c r="H41" i="4"/>
  <c r="G41" i="4"/>
  <c r="J40" i="4"/>
  <c r="I40" i="4"/>
  <c r="H40" i="4"/>
  <c r="G40" i="4"/>
  <c r="J39" i="4"/>
  <c r="I39" i="4"/>
  <c r="H39" i="4"/>
  <c r="G39" i="4"/>
  <c r="J38" i="4"/>
  <c r="I38" i="4"/>
  <c r="H38" i="4"/>
  <c r="G38" i="4"/>
  <c r="J37" i="4"/>
  <c r="I37" i="4"/>
  <c r="H37" i="4"/>
  <c r="G37" i="4"/>
  <c r="J36" i="4"/>
  <c r="I36" i="4"/>
  <c r="H36" i="4"/>
  <c r="G36" i="4"/>
  <c r="J35" i="4"/>
  <c r="I35" i="4"/>
  <c r="H35" i="4"/>
  <c r="G35" i="4"/>
  <c r="J34" i="4"/>
  <c r="I34" i="4"/>
  <c r="H34" i="4"/>
  <c r="G34" i="4"/>
  <c r="J33" i="4"/>
  <c r="I33" i="4"/>
  <c r="H33" i="4"/>
  <c r="G33" i="4"/>
  <c r="J32" i="4"/>
  <c r="I32" i="4"/>
  <c r="H32" i="4"/>
  <c r="G32" i="4"/>
  <c r="J31" i="4"/>
  <c r="I31" i="4"/>
  <c r="H31" i="4"/>
  <c r="G31" i="4"/>
  <c r="J30" i="4"/>
  <c r="I30" i="4"/>
  <c r="H30" i="4"/>
  <c r="G30" i="4"/>
  <c r="J29" i="4"/>
  <c r="I29" i="4"/>
  <c r="H29" i="4"/>
  <c r="G29" i="4"/>
  <c r="J28" i="4"/>
  <c r="I28" i="4"/>
  <c r="H28" i="4"/>
  <c r="G28" i="4"/>
  <c r="J27" i="4"/>
  <c r="I27" i="4"/>
  <c r="H27" i="4"/>
  <c r="G27" i="4"/>
  <c r="J26" i="4"/>
  <c r="I26" i="4"/>
  <c r="H26" i="4"/>
  <c r="G26" i="4"/>
  <c r="J25" i="4"/>
  <c r="I25" i="4"/>
  <c r="H25" i="4"/>
  <c r="G25" i="4"/>
  <c r="J24" i="4"/>
  <c r="I24" i="4"/>
  <c r="H24" i="4"/>
  <c r="G24" i="4"/>
  <c r="J23" i="4"/>
  <c r="I23" i="4"/>
  <c r="H23" i="4"/>
  <c r="G23" i="4"/>
  <c r="J22" i="4"/>
  <c r="I22" i="4"/>
  <c r="H22" i="4"/>
  <c r="G22" i="4"/>
  <c r="J21" i="4"/>
  <c r="I21" i="4"/>
  <c r="H21" i="4"/>
  <c r="G21" i="4"/>
  <c r="J20" i="4"/>
  <c r="I20" i="4"/>
  <c r="H20" i="4"/>
  <c r="G20" i="4"/>
  <c r="J19" i="4"/>
  <c r="I19" i="4"/>
  <c r="H19" i="4"/>
  <c r="G19" i="4"/>
  <c r="J18" i="4"/>
  <c r="I18" i="4"/>
  <c r="H18" i="4"/>
  <c r="G18" i="4"/>
  <c r="J17" i="4"/>
  <c r="I17" i="4"/>
  <c r="H17" i="4"/>
  <c r="G17" i="4"/>
  <c r="J16" i="4"/>
  <c r="I16" i="4"/>
  <c r="H16" i="4"/>
  <c r="G16" i="4"/>
  <c r="J15" i="4"/>
  <c r="I15" i="4"/>
  <c r="H15" i="4"/>
  <c r="G15" i="4"/>
  <c r="J14" i="4"/>
  <c r="I14" i="4"/>
  <c r="H14" i="4"/>
  <c r="G14" i="4"/>
  <c r="J13" i="4"/>
  <c r="I13" i="4"/>
  <c r="H13" i="4"/>
  <c r="G13" i="4"/>
  <c r="J12" i="4"/>
  <c r="I12" i="4"/>
  <c r="H12" i="4"/>
  <c r="G12" i="4"/>
  <c r="J11" i="4"/>
  <c r="I11" i="4"/>
  <c r="H11" i="4"/>
  <c r="G11" i="4"/>
  <c r="J10" i="4"/>
  <c r="I10" i="4"/>
  <c r="H10" i="4"/>
  <c r="G10" i="4"/>
  <c r="J9" i="4"/>
  <c r="I9" i="4"/>
  <c r="H9" i="4"/>
  <c r="G9" i="4"/>
  <c r="J8" i="4"/>
  <c r="I8" i="4"/>
  <c r="H8" i="4"/>
  <c r="G8" i="4"/>
  <c r="J7" i="4"/>
  <c r="I7" i="4"/>
  <c r="H7" i="4"/>
  <c r="G7" i="4"/>
  <c r="J6" i="4"/>
  <c r="I6" i="4"/>
  <c r="H6" i="4"/>
  <c r="G6" i="4"/>
  <c r="J5" i="4"/>
  <c r="I5" i="4"/>
  <c r="H5" i="4"/>
  <c r="G5" i="4"/>
  <c r="J4" i="4"/>
  <c r="I4" i="4"/>
  <c r="H4" i="4"/>
  <c r="G4" i="4"/>
  <c r="J3" i="4"/>
  <c r="I3" i="4"/>
  <c r="H3" i="4"/>
  <c r="G3" i="4"/>
  <c r="J2" i="4"/>
  <c r="I2" i="4"/>
  <c r="H2" i="4"/>
  <c r="G2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P681" i="2"/>
  <c r="P680" i="2"/>
  <c r="P679" i="2"/>
  <c r="P678" i="2"/>
  <c r="P677" i="2"/>
  <c r="P676" i="2"/>
  <c r="P675" i="2"/>
  <c r="P674" i="2"/>
  <c r="P673" i="2"/>
  <c r="P672" i="2"/>
  <c r="P671" i="2"/>
  <c r="P670" i="2"/>
  <c r="P669" i="2"/>
  <c r="P668" i="2"/>
  <c r="P667" i="2"/>
  <c r="P666" i="2"/>
  <c r="P665" i="2"/>
  <c r="P664" i="2"/>
  <c r="P663" i="2"/>
  <c r="P662" i="2"/>
  <c r="P661" i="2"/>
  <c r="P660" i="2"/>
  <c r="P659" i="2"/>
  <c r="P658" i="2"/>
  <c r="P657" i="2"/>
  <c r="P656" i="2"/>
  <c r="P655" i="2"/>
  <c r="P654" i="2"/>
  <c r="P653" i="2"/>
  <c r="P652" i="2"/>
  <c r="P651" i="2"/>
  <c r="P650" i="2"/>
  <c r="P649" i="2"/>
  <c r="P648" i="2"/>
  <c r="P647" i="2"/>
  <c r="P646" i="2"/>
  <c r="P645" i="2"/>
  <c r="P644" i="2"/>
  <c r="P643" i="2"/>
  <c r="P642" i="2"/>
  <c r="P641" i="2"/>
  <c r="P640" i="2"/>
  <c r="P639" i="2"/>
  <c r="P638" i="2"/>
  <c r="P637" i="2"/>
  <c r="P636" i="2"/>
  <c r="P635" i="2"/>
  <c r="P634" i="2"/>
  <c r="P633" i="2"/>
  <c r="P632" i="2"/>
  <c r="P631" i="2"/>
  <c r="P630" i="2"/>
  <c r="P629" i="2"/>
  <c r="P628" i="2"/>
  <c r="P627" i="2"/>
  <c r="P626" i="2"/>
  <c r="P625" i="2"/>
  <c r="P624" i="2"/>
  <c r="P623" i="2"/>
  <c r="P622" i="2"/>
  <c r="P621" i="2"/>
  <c r="P620" i="2"/>
  <c r="P619" i="2"/>
  <c r="P618" i="2"/>
  <c r="P617" i="2"/>
  <c r="P616" i="2"/>
  <c r="P615" i="2"/>
  <c r="P614" i="2"/>
  <c r="P613" i="2"/>
  <c r="P612" i="2"/>
  <c r="P611" i="2"/>
  <c r="P610" i="2"/>
  <c r="P609" i="2"/>
  <c r="P608" i="2"/>
  <c r="P607" i="2"/>
  <c r="P606" i="2"/>
  <c r="P605" i="2"/>
  <c r="P604" i="2"/>
  <c r="P603" i="2"/>
  <c r="P602" i="2"/>
  <c r="P601" i="2"/>
  <c r="P600" i="2"/>
  <c r="P599" i="2"/>
  <c r="P598" i="2"/>
  <c r="P597" i="2"/>
  <c r="P596" i="2"/>
  <c r="P595" i="2"/>
  <c r="P594" i="2"/>
  <c r="P593" i="2"/>
  <c r="P592" i="2"/>
  <c r="P591" i="2"/>
  <c r="P590" i="2"/>
  <c r="P589" i="2"/>
  <c r="P588" i="2"/>
  <c r="P587" i="2"/>
  <c r="P586" i="2"/>
  <c r="P585" i="2"/>
  <c r="P584" i="2"/>
  <c r="P583" i="2"/>
  <c r="P582" i="2"/>
  <c r="P581" i="2"/>
  <c r="P580" i="2"/>
  <c r="P579" i="2"/>
  <c r="P578" i="2"/>
  <c r="P577" i="2"/>
  <c r="P576" i="2"/>
  <c r="P575" i="2"/>
  <c r="P574" i="2"/>
  <c r="P573" i="2"/>
  <c r="P572" i="2"/>
  <c r="P571" i="2"/>
  <c r="P570" i="2"/>
  <c r="P569" i="2"/>
  <c r="P568" i="2"/>
  <c r="P567" i="2"/>
  <c r="P566" i="2"/>
  <c r="P565" i="2"/>
  <c r="P564" i="2"/>
  <c r="P563" i="2"/>
  <c r="P562" i="2"/>
  <c r="P561" i="2"/>
  <c r="P560" i="2"/>
  <c r="P559" i="2"/>
  <c r="P558" i="2"/>
  <c r="P557" i="2"/>
  <c r="P556" i="2"/>
  <c r="P555" i="2"/>
  <c r="P554" i="2"/>
  <c r="P553" i="2"/>
  <c r="P552" i="2"/>
  <c r="P551" i="2"/>
  <c r="P550" i="2"/>
  <c r="P549" i="2"/>
  <c r="P548" i="2"/>
  <c r="P547" i="2"/>
  <c r="P546" i="2"/>
  <c r="P545" i="2"/>
  <c r="P544" i="2"/>
  <c r="P543" i="2"/>
  <c r="P542" i="2"/>
  <c r="P541" i="2"/>
  <c r="P540" i="2"/>
  <c r="P539" i="2"/>
  <c r="P538" i="2"/>
  <c r="P537" i="2"/>
  <c r="P536" i="2"/>
  <c r="P535" i="2"/>
  <c r="P534" i="2"/>
  <c r="P533" i="2"/>
  <c r="P532" i="2"/>
  <c r="P531" i="2"/>
  <c r="P530" i="2"/>
  <c r="P529" i="2"/>
  <c r="P528" i="2"/>
  <c r="P527" i="2"/>
  <c r="P526" i="2"/>
  <c r="P525" i="2"/>
  <c r="P524" i="2"/>
  <c r="P523" i="2"/>
  <c r="P522" i="2"/>
  <c r="P521" i="2"/>
  <c r="P520" i="2"/>
  <c r="P519" i="2"/>
  <c r="P518" i="2"/>
  <c r="P517" i="2"/>
  <c r="P516" i="2"/>
  <c r="P515" i="2"/>
  <c r="P514" i="2"/>
  <c r="P513" i="2"/>
  <c r="P512" i="2"/>
  <c r="P511" i="2"/>
  <c r="P510" i="2"/>
  <c r="P509" i="2"/>
  <c r="P508" i="2"/>
  <c r="P507" i="2"/>
  <c r="P506" i="2"/>
  <c r="P505" i="2"/>
  <c r="P504" i="2"/>
  <c r="P503" i="2"/>
  <c r="P502" i="2"/>
  <c r="P501" i="2"/>
  <c r="P500" i="2"/>
  <c r="P499" i="2"/>
  <c r="P498" i="2"/>
  <c r="P497" i="2"/>
  <c r="P496" i="2"/>
  <c r="P495" i="2"/>
  <c r="P494" i="2"/>
  <c r="P493" i="2"/>
  <c r="P492" i="2"/>
  <c r="P491" i="2"/>
  <c r="P490" i="2"/>
  <c r="P489" i="2"/>
  <c r="P488" i="2"/>
  <c r="P487" i="2"/>
  <c r="P486" i="2"/>
  <c r="P485" i="2"/>
  <c r="P484" i="2"/>
  <c r="P483" i="2"/>
  <c r="P482" i="2"/>
  <c r="P481" i="2"/>
  <c r="P480" i="2"/>
  <c r="P479" i="2"/>
  <c r="P478" i="2"/>
  <c r="P477" i="2"/>
  <c r="P476" i="2"/>
  <c r="P475" i="2"/>
  <c r="P474" i="2"/>
  <c r="P473" i="2"/>
  <c r="P472" i="2"/>
  <c r="P471" i="2"/>
  <c r="P470" i="2"/>
  <c r="P469" i="2"/>
  <c r="P468" i="2"/>
  <c r="P467" i="2"/>
  <c r="P466" i="2"/>
  <c r="P465" i="2"/>
  <c r="P464" i="2"/>
  <c r="P463" i="2"/>
  <c r="P462" i="2"/>
  <c r="P461" i="2"/>
  <c r="P460" i="2"/>
  <c r="P459" i="2"/>
  <c r="P458" i="2"/>
  <c r="P457" i="2"/>
  <c r="P456" i="2"/>
  <c r="P455" i="2"/>
  <c r="P454" i="2"/>
  <c r="P453" i="2"/>
  <c r="P452" i="2"/>
  <c r="P451" i="2"/>
  <c r="P450" i="2"/>
  <c r="P449" i="2"/>
  <c r="P448" i="2"/>
  <c r="P447" i="2"/>
  <c r="P446" i="2"/>
  <c r="P445" i="2"/>
  <c r="P444" i="2"/>
  <c r="P443" i="2"/>
  <c r="P442" i="2"/>
  <c r="P441" i="2"/>
  <c r="P440" i="2"/>
  <c r="P439" i="2"/>
  <c r="P438" i="2"/>
  <c r="P437" i="2"/>
  <c r="P436" i="2"/>
  <c r="P435" i="2"/>
  <c r="P434" i="2"/>
  <c r="P433" i="2"/>
  <c r="P432" i="2"/>
  <c r="P431" i="2"/>
  <c r="P430" i="2"/>
  <c r="P429" i="2"/>
  <c r="P428" i="2"/>
  <c r="P427" i="2"/>
  <c r="P426" i="2"/>
  <c r="P425" i="2"/>
  <c r="P424" i="2"/>
  <c r="P423" i="2"/>
  <c r="P422" i="2"/>
  <c r="P421" i="2"/>
  <c r="P420" i="2"/>
  <c r="P419" i="2"/>
  <c r="P418" i="2"/>
  <c r="P417" i="2"/>
  <c r="P416" i="2"/>
  <c r="P415" i="2"/>
  <c r="P414" i="2"/>
  <c r="P413" i="2"/>
  <c r="P412" i="2"/>
  <c r="P411" i="2"/>
  <c r="P410" i="2"/>
  <c r="P409" i="2"/>
  <c r="P408" i="2"/>
  <c r="P407" i="2"/>
  <c r="P406" i="2"/>
  <c r="P405" i="2"/>
  <c r="P404" i="2"/>
  <c r="P403" i="2"/>
  <c r="P402" i="2"/>
  <c r="P401" i="2"/>
  <c r="P400" i="2"/>
  <c r="P399" i="2"/>
  <c r="P398" i="2"/>
  <c r="P397" i="2"/>
  <c r="P396" i="2"/>
  <c r="P395" i="2"/>
  <c r="P394" i="2"/>
  <c r="P393" i="2"/>
  <c r="P392" i="2"/>
  <c r="P391" i="2"/>
  <c r="P390" i="2"/>
  <c r="P389" i="2"/>
  <c r="P388" i="2"/>
  <c r="P387" i="2"/>
  <c r="P386" i="2"/>
  <c r="P385" i="2"/>
  <c r="P384" i="2"/>
  <c r="P383" i="2"/>
  <c r="P382" i="2"/>
  <c r="P381" i="2"/>
  <c r="P380" i="2"/>
  <c r="P379" i="2"/>
  <c r="P378" i="2"/>
  <c r="P377" i="2"/>
  <c r="P376" i="2"/>
  <c r="P375" i="2"/>
  <c r="P374" i="2"/>
  <c r="P373" i="2"/>
  <c r="P372" i="2"/>
  <c r="P371" i="2"/>
  <c r="P370" i="2"/>
  <c r="P369" i="2"/>
  <c r="P368" i="2"/>
  <c r="P367" i="2"/>
  <c r="P366" i="2"/>
  <c r="P365" i="2"/>
  <c r="P364" i="2"/>
  <c r="P363" i="2"/>
  <c r="P362" i="2"/>
  <c r="P361" i="2"/>
  <c r="P360" i="2"/>
  <c r="P359" i="2"/>
  <c r="P358" i="2"/>
  <c r="P357" i="2"/>
  <c r="P356" i="2"/>
  <c r="P355" i="2"/>
  <c r="P354" i="2"/>
  <c r="P353" i="2"/>
  <c r="P352" i="2"/>
  <c r="P351" i="2"/>
  <c r="P350" i="2"/>
  <c r="P349" i="2"/>
  <c r="P348" i="2"/>
  <c r="P347" i="2"/>
  <c r="P346" i="2"/>
  <c r="P345" i="2"/>
  <c r="P344" i="2"/>
  <c r="P343" i="2"/>
  <c r="P342" i="2"/>
  <c r="P341" i="2"/>
  <c r="P340" i="2"/>
  <c r="P339" i="2"/>
  <c r="P338" i="2"/>
  <c r="P337" i="2"/>
  <c r="P336" i="2"/>
  <c r="P335" i="2"/>
  <c r="P334" i="2"/>
  <c r="P333" i="2"/>
  <c r="P332" i="2"/>
  <c r="P331" i="2"/>
  <c r="P330" i="2"/>
  <c r="P329" i="2"/>
  <c r="P328" i="2"/>
  <c r="P327" i="2"/>
  <c r="P326" i="2"/>
  <c r="P325" i="2"/>
  <c r="P324" i="2"/>
  <c r="P323" i="2"/>
  <c r="P322" i="2"/>
  <c r="P321" i="2"/>
  <c r="P320" i="2"/>
  <c r="P319" i="2"/>
  <c r="P318" i="2"/>
  <c r="P317" i="2"/>
  <c r="P316" i="2"/>
  <c r="P315" i="2"/>
  <c r="P314" i="2"/>
  <c r="P313" i="2"/>
  <c r="P312" i="2"/>
  <c r="P311" i="2"/>
  <c r="P310" i="2"/>
  <c r="P309" i="2"/>
  <c r="P308" i="2"/>
  <c r="P307" i="2"/>
  <c r="P306" i="2"/>
  <c r="P305" i="2"/>
  <c r="P304" i="2"/>
  <c r="P303" i="2"/>
  <c r="P302" i="2"/>
  <c r="S681" i="2"/>
  <c r="S680" i="2"/>
  <c r="S679" i="2"/>
  <c r="S678" i="2"/>
  <c r="S677" i="2"/>
  <c r="S676" i="2"/>
  <c r="S675" i="2"/>
  <c r="S674" i="2"/>
  <c r="S673" i="2"/>
  <c r="S672" i="2"/>
  <c r="S671" i="2"/>
  <c r="S670" i="2"/>
  <c r="S669" i="2"/>
  <c r="S668" i="2"/>
  <c r="S667" i="2"/>
  <c r="S666" i="2"/>
  <c r="S665" i="2"/>
  <c r="S664" i="2"/>
  <c r="S663" i="2"/>
  <c r="S662" i="2"/>
  <c r="S661" i="2"/>
  <c r="S660" i="2"/>
  <c r="S659" i="2"/>
  <c r="S658" i="2"/>
  <c r="S657" i="2"/>
  <c r="S656" i="2"/>
  <c r="S655" i="2"/>
  <c r="S654" i="2"/>
  <c r="S653" i="2"/>
  <c r="S652" i="2"/>
  <c r="S651" i="2"/>
  <c r="S650" i="2"/>
  <c r="S649" i="2"/>
  <c r="S648" i="2"/>
  <c r="S647" i="2"/>
  <c r="S646" i="2"/>
  <c r="S645" i="2"/>
  <c r="S644" i="2"/>
  <c r="S643" i="2"/>
  <c r="S642" i="2"/>
  <c r="S641" i="2"/>
  <c r="S640" i="2"/>
  <c r="S639" i="2"/>
  <c r="S638" i="2"/>
  <c r="S637" i="2"/>
  <c r="S636" i="2"/>
  <c r="S635" i="2"/>
  <c r="S634" i="2"/>
  <c r="S633" i="2"/>
  <c r="S632" i="2"/>
  <c r="S631" i="2"/>
  <c r="S630" i="2"/>
  <c r="S629" i="2"/>
  <c r="S628" i="2"/>
  <c r="S627" i="2"/>
  <c r="S626" i="2"/>
  <c r="S625" i="2"/>
  <c r="S624" i="2"/>
  <c r="S623" i="2"/>
  <c r="S622" i="2"/>
  <c r="S621" i="2"/>
  <c r="S620" i="2"/>
  <c r="S619" i="2"/>
  <c r="S618" i="2"/>
  <c r="S617" i="2"/>
  <c r="S616" i="2"/>
  <c r="S615" i="2"/>
  <c r="S614" i="2"/>
  <c r="S613" i="2"/>
  <c r="S612" i="2"/>
  <c r="S611" i="2"/>
  <c r="S610" i="2"/>
  <c r="S609" i="2"/>
  <c r="S608" i="2"/>
  <c r="S607" i="2"/>
  <c r="S606" i="2"/>
  <c r="S605" i="2"/>
  <c r="S604" i="2"/>
  <c r="S603" i="2"/>
  <c r="S602" i="2"/>
  <c r="S601" i="2"/>
  <c r="S600" i="2"/>
  <c r="S599" i="2"/>
  <c r="S598" i="2"/>
  <c r="S597" i="2"/>
  <c r="S596" i="2"/>
  <c r="S595" i="2"/>
  <c r="S594" i="2"/>
  <c r="S593" i="2"/>
  <c r="S592" i="2"/>
  <c r="S591" i="2"/>
  <c r="S590" i="2"/>
  <c r="S589" i="2"/>
  <c r="S588" i="2"/>
  <c r="S587" i="2"/>
  <c r="S586" i="2"/>
  <c r="S585" i="2"/>
  <c r="S584" i="2"/>
  <c r="S583" i="2"/>
  <c r="S582" i="2"/>
  <c r="S581" i="2"/>
  <c r="S580" i="2"/>
  <c r="S579" i="2"/>
  <c r="S578" i="2"/>
  <c r="S577" i="2"/>
  <c r="S576" i="2"/>
  <c r="S575" i="2"/>
  <c r="S574" i="2"/>
  <c r="S573" i="2"/>
  <c r="S572" i="2"/>
  <c r="S571" i="2"/>
  <c r="S570" i="2"/>
  <c r="S569" i="2"/>
  <c r="S568" i="2"/>
  <c r="S567" i="2"/>
  <c r="S566" i="2"/>
  <c r="S565" i="2"/>
  <c r="S564" i="2"/>
  <c r="S563" i="2"/>
  <c r="S562" i="2"/>
  <c r="S561" i="2"/>
  <c r="S560" i="2"/>
  <c r="S559" i="2"/>
  <c r="S558" i="2"/>
  <c r="S557" i="2"/>
  <c r="S556" i="2"/>
  <c r="S555" i="2"/>
  <c r="S554" i="2"/>
  <c r="S553" i="2"/>
  <c r="S552" i="2"/>
  <c r="S551" i="2"/>
  <c r="S550" i="2"/>
  <c r="S549" i="2"/>
  <c r="S548" i="2"/>
  <c r="S547" i="2"/>
  <c r="S546" i="2"/>
  <c r="S545" i="2"/>
  <c r="S544" i="2"/>
  <c r="S543" i="2"/>
  <c r="S542" i="2"/>
  <c r="S541" i="2"/>
  <c r="S540" i="2"/>
  <c r="S539" i="2"/>
  <c r="S538" i="2"/>
  <c r="S537" i="2"/>
  <c r="S536" i="2"/>
  <c r="S535" i="2"/>
  <c r="S534" i="2"/>
  <c r="S533" i="2"/>
  <c r="S532" i="2"/>
  <c r="S531" i="2"/>
  <c r="S530" i="2"/>
  <c r="S529" i="2"/>
  <c r="S528" i="2"/>
  <c r="S527" i="2"/>
  <c r="S526" i="2"/>
  <c r="S525" i="2"/>
  <c r="S524" i="2"/>
  <c r="S523" i="2"/>
  <c r="S522" i="2"/>
  <c r="S521" i="2"/>
  <c r="S520" i="2"/>
  <c r="S519" i="2"/>
  <c r="S518" i="2"/>
  <c r="S517" i="2"/>
  <c r="S516" i="2"/>
  <c r="S515" i="2"/>
  <c r="S514" i="2"/>
  <c r="S513" i="2"/>
  <c r="S512" i="2"/>
  <c r="S511" i="2"/>
  <c r="S510" i="2"/>
  <c r="S509" i="2"/>
  <c r="S508" i="2"/>
  <c r="S507" i="2"/>
  <c r="S506" i="2"/>
  <c r="S505" i="2"/>
  <c r="S504" i="2"/>
  <c r="S503" i="2"/>
  <c r="S502" i="2"/>
  <c r="S501" i="2"/>
  <c r="S500" i="2"/>
  <c r="S499" i="2"/>
  <c r="S498" i="2"/>
  <c r="S497" i="2"/>
  <c r="S496" i="2"/>
  <c r="S495" i="2"/>
  <c r="S494" i="2"/>
  <c r="S493" i="2"/>
  <c r="S492" i="2"/>
  <c r="S491" i="2"/>
  <c r="S490" i="2"/>
  <c r="S489" i="2"/>
  <c r="S488" i="2"/>
  <c r="S487" i="2"/>
  <c r="S486" i="2"/>
  <c r="S485" i="2"/>
  <c r="S484" i="2"/>
  <c r="S483" i="2"/>
  <c r="S482" i="2"/>
  <c r="S481" i="2"/>
  <c r="S480" i="2"/>
  <c r="S479" i="2"/>
  <c r="S478" i="2"/>
  <c r="S477" i="2"/>
  <c r="S476" i="2"/>
  <c r="S475" i="2"/>
  <c r="S474" i="2"/>
  <c r="S473" i="2"/>
  <c r="S472" i="2"/>
  <c r="S471" i="2"/>
  <c r="S470" i="2"/>
  <c r="S469" i="2"/>
  <c r="S468" i="2"/>
  <c r="S467" i="2"/>
  <c r="S466" i="2"/>
  <c r="S465" i="2"/>
  <c r="S464" i="2"/>
  <c r="S463" i="2"/>
  <c r="S462" i="2"/>
  <c r="S461" i="2"/>
  <c r="S460" i="2"/>
  <c r="S459" i="2"/>
  <c r="S458" i="2"/>
  <c r="S457" i="2"/>
  <c r="S456" i="2"/>
  <c r="S455" i="2"/>
  <c r="S454" i="2"/>
  <c r="S453" i="2"/>
  <c r="S452" i="2"/>
  <c r="S451" i="2"/>
  <c r="S450" i="2"/>
  <c r="S449" i="2"/>
  <c r="S448" i="2"/>
  <c r="S447" i="2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S414" i="2"/>
  <c r="S413" i="2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S389" i="2"/>
  <c r="S388" i="2"/>
  <c r="S387" i="2"/>
  <c r="S386" i="2"/>
  <c r="S385" i="2"/>
  <c r="S384" i="2"/>
  <c r="S383" i="2"/>
  <c r="S382" i="2"/>
  <c r="S381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</calcChain>
</file>

<file path=xl/sharedStrings.xml><?xml version="1.0" encoding="utf-8"?>
<sst xmlns="http://schemas.openxmlformats.org/spreadsheetml/2006/main" count="264" uniqueCount="208">
  <si>
    <t>quarter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</si>
  <si>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</si>
  <si>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</si>
  <si>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</si>
  <si>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</si>
  <si>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</si>
  <si>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</si>
  <si>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</si>
  <si>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</si>
  <si>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</si>
  <si>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</si>
  <si>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</si>
  <si>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</si>
  <si>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</si>
  <si>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</si>
  <si>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</si>
  <si>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</si>
  <si>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</si>
  <si>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</si>
  <si>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</si>
  <si>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</si>
  <si>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</si>
  <si>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</si>
  <si>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</si>
  <si>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</si>
  <si>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</si>
  <si>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</si>
  <si>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</si>
  <si>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</si>
  <si>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</si>
  <si>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</si>
  <si>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</si>
  <si>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</si>
  <si>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</si>
  <si>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</si>
  <si>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</si>
  <si>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</si>
  <si>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</si>
  <si>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</si>
  <si>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</si>
  <si>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</si>
  <si>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</si>
  <si>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</si>
  <si>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</si>
  <si>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</si>
  <si>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</si>
  <si>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</si>
  <si>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</si>
  <si>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</si>
  <si>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</si>
  <si>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</si>
  <si>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</si>
  <si>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</si>
  <si>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</si>
  <si>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</si>
  <si>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</si>
  <si>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</si>
  <si>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</si>
  <si>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</si>
  <si>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</si>
  <si>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</si>
  <si>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</si>
  <si>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</si>
  <si>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</si>
  <si>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</si>
  <si>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</si>
  <si>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</si>
  <si>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</si>
  <si>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</si>
  <si>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</si>
  <si>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</si>
  <si>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</si>
  <si>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</si>
  <si>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</si>
  <si>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</si>
  <si>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</si>
  <si>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</si>
  <si>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</si>
  <si>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</si>
  <si>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</si>
  <si>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</si>
  <si>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</si>
  <si>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</si>
  <si>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</si>
  <si>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</si>
  <si>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</si>
  <si>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</si>
  <si>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</si>
  <si>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</si>
  <si>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</si>
  <si>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</si>
  <si>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</si>
  <si>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</si>
  <si>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</si>
  <si>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</si>
  <si>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</si>
  <si>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</si>
  <si>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</si>
  <si>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</si>
  <si>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</si>
  <si>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</si>
  <si>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</si>
  <si>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</si>
  <si>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</si>
  <si>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</si>
  <si>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</si>
  <si>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</si>
  <si>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</si>
  <si>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</si>
  <si>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</si>
  <si>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</si>
  <si>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</si>
  <si>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</si>
  <si>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</si>
  <si>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</si>
  <si>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</si>
  <si>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</si>
  <si>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</si>
  <si>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</si>
  <si>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</si>
  <si>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</si>
  <si>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</si>
  <si>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</si>
  <si>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</si>
  <si>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</si>
  <si>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</si>
  <si>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</si>
  <si>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</si>
  <si>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</si>
  <si>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</si>
  <si>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</si>
  <si>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</si>
  <si>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</si>
  <si>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</si>
  <si>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</si>
  <si>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</si>
  <si>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</si>
  <si>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</si>
  <si>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</si>
  <si>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</si>
  <si>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</si>
  <si>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</si>
  <si>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</si>
  <si>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</si>
  <si>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</si>
  <si>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</si>
  <si>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</si>
  <si>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</si>
  <si>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</si>
  <si>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</si>
  <si>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</si>
  <si>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</si>
  <si>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</si>
  <si>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</si>
  <si>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</si>
  <si>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</si>
  <si>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</si>
  <si>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</si>
  <si>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</si>
  <si>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</si>
  <si>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</si>
  <si>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</si>
  <si>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</si>
  <si>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</si>
  <si>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</si>
  <si>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</si>
  <si>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</si>
  <si>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us_rgdp</t>
  </si>
  <si>
    <t>aus_tot</t>
  </si>
  <si>
    <t>aus_rgdp</t>
  </si>
  <si>
    <t>trim_inf</t>
  </si>
  <si>
    <t>cash_rate</t>
  </si>
  <si>
    <t>real_twi</t>
  </si>
  <si>
    <t>vix</t>
  </si>
  <si>
    <t>NA</t>
  </si>
  <si>
    <t>rtwi</t>
  </si>
  <si>
    <t>ntwi</t>
  </si>
  <si>
    <t>aud_usd</t>
  </si>
  <si>
    <t>comm_price</t>
  </si>
  <si>
    <t>comm_price_bulk</t>
  </si>
  <si>
    <t>iron_ore</t>
  </si>
  <si>
    <t>coal</t>
  </si>
  <si>
    <t>brent_crude</t>
  </si>
  <si>
    <t>natural_gas</t>
  </si>
  <si>
    <t>tot</t>
  </si>
  <si>
    <t>fed_funds</t>
  </si>
  <si>
    <t>au_us_policy_rate</t>
  </si>
  <si>
    <t>au_2yr_yield</t>
  </si>
  <si>
    <t>us_2yr_yield</t>
  </si>
  <si>
    <t>au_us_2yr</t>
  </si>
  <si>
    <t>au_10yr_yield</t>
  </si>
  <si>
    <t>us_10yr_yield</t>
  </si>
  <si>
    <t>gepu</t>
  </si>
  <si>
    <t>au_epu</t>
  </si>
  <si>
    <t>gpr_global</t>
  </si>
  <si>
    <t>gprt_global</t>
  </si>
  <si>
    <t>gpra_global</t>
  </si>
  <si>
    <t>wui_au</t>
  </si>
  <si>
    <t>wui_au_sm</t>
  </si>
  <si>
    <t>au_rgdp</t>
  </si>
  <si>
    <t>au_inf_trim</t>
  </si>
  <si>
    <t>au_cpi</t>
  </si>
  <si>
    <t>au_us_10yr</t>
  </si>
  <si>
    <t>month_start</t>
  </si>
  <si>
    <t>month_end</t>
  </si>
  <si>
    <t>quarter_end</t>
  </si>
  <si>
    <t>quarter_start</t>
  </si>
  <si>
    <t>gprc_au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</si>
</sst>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yy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40AEC-75DE-FD40-883F-500BDCB035E6}">
  <dimension ref="A1:AH227"/>
  <sheetViews>
    <sheetView tabSelected="1" zoomScale="150" zoomScaleNormal="15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RowHeight="16" x14ac:dyDescent="0.2"/>
  <cols>
    <col min="1" max="2" width="15.6640625" customWidth="1"/>
    <col min="14" max="14" width="17" customWidth="1"/>
    <col min="17" max="18" width="13.5" customWidth="1"/>
    <col min="21" max="21" width="17.83203125" customWidth="1"/>
    <col min="22" max="27" width="13.33203125" customWidth="1"/>
    <col min="32" max="34" width="11.33203125" customWidth="1"/>
  </cols>
  <sheetData>
    <row r="1" spans="1:34" x14ac:dyDescent="0.2">
      <c r="A1" t="s">
        <v>206</v>
      </c>
      <c r="B1" t="s">
        <v>205</v>
      </c>
      <c r="C1" t="s">
        <v>175</v>
      </c>
      <c r="D1" t="s">
        <v>184</v>
      </c>
      <c r="E1" t="s">
        <v>197</v>
      </c>
      <c r="F1" t="s">
        <v>198</v>
      </c>
      <c r="G1" t="s">
        <v>167</v>
      </c>
      <c r="H1" t="s">
        <v>199</v>
      </c>
      <c r="I1" t="s">
        <v>200</v>
      </c>
      <c r="J1" t="s">
        <v>201</v>
      </c>
      <c r="K1" t="s">
        <v>176</v>
      </c>
      <c r="L1" t="s">
        <v>177</v>
      </c>
      <c r="M1" t="s">
        <v>178</v>
      </c>
      <c r="N1" t="s">
        <v>179</v>
      </c>
      <c r="O1" t="s">
        <v>180</v>
      </c>
      <c r="P1" t="s">
        <v>181</v>
      </c>
      <c r="Q1" t="s">
        <v>182</v>
      </c>
      <c r="R1" t="s">
        <v>183</v>
      </c>
      <c r="S1" t="s">
        <v>171</v>
      </c>
      <c r="T1" t="s">
        <v>185</v>
      </c>
      <c r="U1" t="s">
        <v>186</v>
      </c>
      <c r="V1" s="3" t="s">
        <v>187</v>
      </c>
      <c r="W1" t="s">
        <v>188</v>
      </c>
      <c r="X1" t="s">
        <v>189</v>
      </c>
      <c r="Y1" t="s">
        <v>190</v>
      </c>
      <c r="Z1" t="s">
        <v>191</v>
      </c>
      <c r="AA1" t="s">
        <v>202</v>
      </c>
      <c r="AB1" t="s">
        <v>173</v>
      </c>
      <c r="AC1" t="s">
        <v>192</v>
      </c>
      <c r="AD1" t="s">
        <v>193</v>
      </c>
      <c r="AE1" t="s">
        <v>194</v>
      </c>
      <c r="AF1" t="s">
        <v>195</v>
      </c>
      <c r="AG1" t="s">
        <v>196</v>
      </c>
      <c r="AH1" t="s">
        <v>207</v>
      </c>
    </row>
    <row r="2" spans="1:34" x14ac:dyDescent="0.2">
      <c r="A2" s="1">
        <v>25569</v>
      </c>
      <c r="B2" s="1">
        <v>25657</v>
      </c>
      <c r="C2" t="str">
        <f>IF(ISBLANK(VLOOKUP($A2,quarterly_data,MATCH(C$1,quarterly!$1:$1,FALSE),FALSE)),"NA",VLOOKUP($A2,quarterly_data,MATCH(C$1,quarterly!$1:$1,FALSE),FALSE))</f>
        <v>NA</v>
      </c>
      <c r="D2" t="str">
        <f>IF(ISBLANK(VLOOKUP($A2,quarterly_data,MATCH(D$1,quarterly!$1:$1,FALSE),FALSE)),"NA",VLOOKUP($A2,quarterly_data,MATCH(D$1,quarterly!$1:$1,FALSE),FALSE))</f>
        <v>NA</v>
      </c>
      <c r="E2">
        <f>IF(ISBLANK(VLOOKUP($A2,quarterly_data,MATCH(E$1,quarterly!$1:$1,FALSE),FALSE)),"NA",VLOOKUP($A2,quarterly_data,MATCH(E$1,quarterly!$1:$1,FALSE),FALSE))</f>
        <v>0</v>
      </c>
      <c r="F2">
        <f>IF(ISBLANK(VLOOKUP($A2,quarterly_data,MATCH(F$1,quarterly!$1:$1,FALSE),FALSE)),"NA",VLOOKUP($A2,quarterly_data,MATCH(F$1,quarterly!$1:$1,FALSE),FALSE))</f>
        <v>1.1174399999999999E-2</v>
      </c>
      <c r="G2">
        <f>IF(ISBLANK(VLOOKUP($A2,quarterly_data,MATCH(G$1,quarterly!$1:$1,FALSE),FALSE)),"NA",VLOOKUP($A2,quarterly_data,MATCH(G$1,quarterly!$1:$1,FALSE),FALSE))</f>
        <v>5300.652</v>
      </c>
      <c r="H2">
        <f>IF(ISBLANK(VLOOKUP($A2,quarterly_data,MATCH(H$1,quarterly!$1:$1,FALSE),FALSE)),"NA",VLOOKUP($A2,quarterly_data,MATCH(H$1,quarterly!$1:$1,FALSE),FALSE))</f>
        <v>136260</v>
      </c>
      <c r="I2" t="str">
        <f>IF(ISBLANK(VLOOKUP($A2,quarterly_data,MATCH(I$1,quarterly!$1:$1,FALSE),FALSE)),"NA",VLOOKUP($A2,quarterly_data,MATCH(I$1,quarterly!$1:$1,FALSE),FALSE))</f>
        <v>NA</v>
      </c>
      <c r="J2">
        <f>IF(ISBLANK(VLOOKUP($A2,quarterly_data,MATCH(J$1,quarterly!$1:$1,FALSE),FALSE)),"NA",VLOOKUP($A2,quarterly_data,MATCH(J$1,quarterly!$1:$1,FALSE),FALSE))</f>
        <v>6.69</v>
      </c>
      <c r="K2" t="str">
        <f>IF(COUNTIFS(monthly!C:C,"",monthly!$A:$A,"&gt;="&amp;$A2,monthly!$B:$B,"&lt;="&amp;$B2)&gt;0,"NA",AVERAGEIFS(monthly!C:C,monthly!$A:$A,"&gt;="&amp;$A2,monthly!$B:$B,"&lt;="&amp;$B2))</f>
        <v>NA</v>
      </c>
      <c r="L2">
        <f>IF(COUNTIFS(monthly!D:D,"",monthly!$A:$A,"&gt;="&amp;$A2,monthly!$B:$B,"&lt;="&amp;$B2)&gt;0,"NA",AVERAGEIFS(monthly!D:D,monthly!$A:$A,"&gt;="&amp;$A2,monthly!$B:$B,"&lt;="&amp;$B2))</f>
        <v>1.1196999999999999</v>
      </c>
      <c r="M2" t="str">
        <f>IF(COUNTIFS(monthly!E:E,"",monthly!$A:$A,"&gt;="&amp;$A2,monthly!$B:$B,"&lt;="&amp;$B2)&gt;0,"NA",AVERAGEIFS(monthly!E:E,monthly!$A:$A,"&gt;="&amp;$A2,monthly!$B:$B,"&lt;="&amp;$B2))</f>
        <v>NA</v>
      </c>
      <c r="N2" t="str">
        <f>IF(COUNTIFS(monthly!F:F,"",monthly!$A:$A,"&gt;="&amp;$A2,monthly!$B:$B,"&lt;="&amp;$B2)&gt;0,"NA",AVERAGEIFS(monthly!F:F,monthly!$A:$A,"&gt;="&amp;$A2,monthly!$B:$B,"&lt;="&amp;$B2))</f>
        <v>NA</v>
      </c>
      <c r="O2">
        <f>IF(COUNTIFS(monthly!G:G,"",monthly!$A:$A,"&gt;="&amp;$A2,monthly!$B:$B,"&lt;="&amp;$B2)&gt;0,"NA",AVERAGEIFS(monthly!G:G,monthly!$A:$A,"&gt;="&amp;$A2,monthly!$B:$B,"&lt;="&amp;$B2))</f>
        <v>9.8000000000000007</v>
      </c>
      <c r="P2">
        <f>IF(COUNTIFS(monthly!H:H,"",monthly!$A:$A,"&gt;="&amp;$A2,monthly!$B:$B,"&lt;="&amp;$B2)&gt;0,"NA",AVERAGEIFS(monthly!H:H,monthly!$A:$A,"&gt;="&amp;$A2,monthly!$B:$B,"&lt;="&amp;$B2))</f>
        <v>7.8</v>
      </c>
      <c r="Q2">
        <f>IF(COUNTIFS(monthly!I:I,"",monthly!$A:$A,"&gt;="&amp;$A2,monthly!$B:$B,"&lt;="&amp;$B2)&gt;0,"NA",AVERAGEIFS(monthly!I:I,monthly!$A:$A,"&gt;="&amp;$A2,monthly!$B:$B,"&lt;="&amp;$B2))</f>
        <v>1.2</v>
      </c>
      <c r="R2" t="str">
        <f>IF(COUNTIFS(monthly!J:J,"",monthly!$A:$A,"&gt;="&amp;$A2,monthly!$B:$B,"&lt;="&amp;$B2)&gt;0,"NA",AVERAGEIFS(monthly!J:J,monthly!$A:$A,"&gt;="&amp;$A2,monthly!$B:$B,"&lt;="&amp;$B2))</f>
        <v>NA</v>
      </c>
      <c r="S2" t="str">
        <f>IF(COUNTIFS(monthly!K:K,"",monthly!$A:$A,"&gt;="&amp;$A2,monthly!$B:$B,"&lt;="&amp;$B2)&gt;0,"NA",AVERAGEIFS(monthly!K:K,monthly!$A:$A,"&gt;="&amp;$A2,monthly!$B:$B,"&lt;="&amp;$B2))</f>
        <v>NA</v>
      </c>
      <c r="T2">
        <f>IF(COUNTIFS(monthly!L:L,"",monthly!$A:$A,"&gt;="&amp;$A2,monthly!$B:$B,"&lt;="&amp;$B2)&gt;0,"NA",AVERAGEIFS(monthly!L:L,monthly!$A:$A,"&gt;="&amp;$A2,monthly!$B:$B,"&lt;="&amp;$B2))</f>
        <v>8.9774942396313371</v>
      </c>
      <c r="U2" t="str">
        <f>IF(COUNTIFS(monthly!M:M,"",monthly!$A:$A,"&gt;="&amp;$A2,monthly!$B:$B,"&lt;="&amp;$B2)&gt;0,"NA",AVERAGEIFS(monthly!M:M,monthly!$A:$A,"&gt;="&amp;$A2,monthly!$B:$B,"&lt;="&amp;$B2))</f>
        <v>NA</v>
      </c>
      <c r="V2" t="str">
        <f>IF(COUNTIFS(monthly!N:N,"",monthly!$A:$A,"&gt;="&amp;$A2,monthly!$B:$B,"&lt;="&amp;$B2)&gt;0,"NA",AVERAGEIFS(monthly!N:N,monthly!$A:$A,"&gt;="&amp;$A2,monthly!$B:$B,"&lt;="&amp;$B2))</f>
        <v>NA</v>
      </c>
      <c r="W2" t="str">
        <f>IF(COUNTIFS(monthly!O:O,"",monthly!$A:$A,"&gt;="&amp;$A2,monthly!$B:$B,"&lt;="&amp;$B2)&gt;0,"NA",AVERAGEIFS(monthly!O:O,monthly!$A:$A,"&gt;="&amp;$A2,monthly!$B:$B,"&lt;="&amp;$B2))</f>
        <v>NA</v>
      </c>
      <c r="X2" t="str">
        <f>IF(COUNTIFS(monthly!P:P,"",monthly!$A:$A,"&gt;="&amp;$A2,monthly!$B:$B,"&lt;="&amp;$B2)&gt;0,"NA",AVERAGEIFS(monthly!P:P,monthly!$A:$A,"&gt;="&amp;$A2,monthly!$B:$B,"&lt;="&amp;$B2))</f>
        <v>NA</v>
      </c>
      <c r="Y2">
        <f>IF(COUNTIFS(monthly!Q:Q,"",monthly!$A:$A,"&gt;="&amp;$A2,monthly!$B:$B,"&lt;="&amp;$B2)&gt;0,"NA",AVERAGEIFS(monthly!Q:Q,monthly!$A:$A,"&gt;="&amp;$A2,monthly!$B:$B,"&lt;="&amp;$B2))</f>
        <v>5.9550000000000001</v>
      </c>
      <c r="Z2">
        <f>IF(COUNTIFS(monthly!R:R,"",monthly!$A:$A,"&gt;="&amp;$A2,monthly!$B:$B,"&lt;="&amp;$B2)&gt;0,"NA",AVERAGEIFS(monthly!R:R,monthly!$A:$A,"&gt;="&amp;$A2,monthly!$B:$B,"&lt;="&amp;$B2))</f>
        <v>7.5165476190476186</v>
      </c>
      <c r="AA2">
        <f>IF(COUNTIFS(monthly!S:S,"",monthly!$A:$A,"&gt;="&amp;$A2,monthly!$B:$B,"&lt;="&amp;$B2)&gt;0,"NA",AVERAGEIFS(monthly!S:S,monthly!$A:$A,"&gt;="&amp;$A2,monthly!$B:$B,"&lt;="&amp;$B2))</f>
        <v>-1.5615476190476185</v>
      </c>
      <c r="AB2" t="str">
        <f>IF(COUNTIFS(monthly!T:T,"",monthly!$A:$A,"&gt;="&amp;$A2,monthly!$B:$B,"&lt;="&amp;$B2)&gt;0,"NA",AVERAGEIFS(monthly!T:T,monthly!$A:$A,"&gt;="&amp;$A2,monthly!$B:$B,"&lt;="&amp;$B2))</f>
        <v>NA</v>
      </c>
      <c r="AC2" t="str">
        <f>IF(COUNTIFS(monthly!U:U,"",monthly!$A:$A,"&gt;="&amp;$A2,monthly!$B:$B,"&lt;="&amp;$B2)&gt;0,"NA",AVERAGEIFS(monthly!U:U,monthly!$A:$A,"&gt;="&amp;$A2,monthly!$B:$B,"&lt;="&amp;$B2))</f>
        <v>NA</v>
      </c>
      <c r="AD2" t="str">
        <f>IF(COUNTIFS(monthly!V:V,"",monthly!$A:$A,"&gt;="&amp;$A2,monthly!$B:$B,"&lt;="&amp;$B2)&gt;0,"NA",AVERAGEIFS(monthly!V:V,monthly!$A:$A,"&gt;="&amp;$A2,monthly!$B:$B,"&lt;="&amp;$B2))</f>
        <v>NA</v>
      </c>
      <c r="AE2" t="str">
        <f>IF(COUNTIFS(monthly!W:W,"",monthly!$A:$A,"&gt;="&amp;$A2,monthly!$B:$B,"&lt;="&amp;$B2)&gt;0,"NA",AVERAGEIFS(monthly!W:W,monthly!$A:$A,"&gt;="&amp;$A2,monthly!$B:$B,"&lt;="&amp;$B2))</f>
        <v>NA</v>
      </c>
      <c r="AF2" t="str">
        <f>IF(COUNTIFS(monthly!X:X,"",monthly!$A:$A,"&gt;="&amp;$A2,monthly!$B:$B,"&lt;="&amp;$B2)&gt;0,"NA",AVERAGEIFS(monthly!X:X,monthly!$A:$A,"&gt;="&amp;$A2,monthly!$B:$B,"&lt;="&amp;$B2))</f>
        <v>NA</v>
      </c>
      <c r="AG2" t="str">
        <f>IF(COUNTIFS(monthly!Y:Y,"",monthly!$A:$A,"&gt;="&amp;$A2,monthly!$B:$B,"&lt;="&amp;$B2)&gt;0,"NA",AVERAGEIFS(monthly!Y:Y,monthly!$A:$A,"&gt;="&amp;$A2,monthly!$B:$B,"&lt;="&amp;$B2))</f>
        <v>NA</v>
      </c>
      <c r="AH2" t="str">
        <f>IF(COUNTIFS(monthly!Z:Z,"",monthly!$A:$A,"&gt;="&amp;$A2,monthly!$B:$B,"&lt;="&amp;$B2)&gt;0,"NA",AVERAGEIFS(monthly!Z:Z,monthly!$A:$A,"&gt;="&amp;$A2,monthly!$B:$B,"&lt;="&amp;$B2))</f>
        <v>NA</v>
      </c>
    </row>
    <row r="3" spans="1:34" x14ac:dyDescent="0.2">
      <c r="A3" s="1">
        <v>25659</v>
      </c>
      <c r="B3" s="1">
        <v>25749</v>
      </c>
      <c r="C3">
        <f>IF(ISBLANK(VLOOKUP($A3,quarterly_data,MATCH(C$1,quarterly!$1:$1,FALSE),FALSE)),"NA",VLOOKUP($A3,quarterly_data,MATCH(C$1,quarterly!$1:$1,FALSE),FALSE))</f>
        <v>146.45132065177313</v>
      </c>
      <c r="D3">
        <f>IF(ISBLANK(VLOOKUP($A3,quarterly_data,MATCH(D$1,quarterly!$1:$1,FALSE),FALSE)),"NA",VLOOKUP($A3,quarterly_data,MATCH(D$1,quarterly!$1:$1,FALSE),FALSE))</f>
        <v>59.1</v>
      </c>
      <c r="E3">
        <f>IF(ISBLANK(VLOOKUP($A3,quarterly_data,MATCH(E$1,quarterly!$1:$1,FALSE),FALSE)),"NA",VLOOKUP($A3,quarterly_data,MATCH(E$1,quarterly!$1:$1,FALSE),FALSE))</f>
        <v>0.2192982</v>
      </c>
      <c r="F3">
        <f>IF(ISBLANK(VLOOKUP($A3,quarterly_data,MATCH(F$1,quarterly!$1:$1,FALSE),FALSE)),"NA",VLOOKUP($A3,quarterly_data,MATCH(F$1,quarterly!$1:$1,FALSE),FALSE))</f>
        <v>4.3859599999999999E-2</v>
      </c>
      <c r="G3">
        <f>IF(ISBLANK(VLOOKUP($A3,quarterly_data,MATCH(G$1,quarterly!$1:$1,FALSE),FALSE)),"NA",VLOOKUP($A3,quarterly_data,MATCH(G$1,quarterly!$1:$1,FALSE),FALSE))</f>
        <v>5308.1639999999998</v>
      </c>
      <c r="H3">
        <f>IF(ISBLANK(VLOOKUP($A3,quarterly_data,MATCH(H$1,quarterly!$1:$1,FALSE),FALSE)),"NA",VLOOKUP($A3,quarterly_data,MATCH(H$1,quarterly!$1:$1,FALSE),FALSE))</f>
        <v>139021</v>
      </c>
      <c r="I3" t="str">
        <f>IF(ISBLANK(VLOOKUP($A3,quarterly_data,MATCH(I$1,quarterly!$1:$1,FALSE),FALSE)),"NA",VLOOKUP($A3,quarterly_data,MATCH(I$1,quarterly!$1:$1,FALSE),FALSE))</f>
        <v>NA</v>
      </c>
      <c r="J3">
        <f>IF(ISBLANK(VLOOKUP($A3,quarterly_data,MATCH(J$1,quarterly!$1:$1,FALSE),FALSE)),"NA",VLOOKUP($A3,quarterly_data,MATCH(J$1,quarterly!$1:$1,FALSE),FALSE))</f>
        <v>6.77</v>
      </c>
      <c r="K3" t="str">
        <f>IF(COUNTIFS(monthly!C:C,"",monthly!$A:$A,"&gt;="&amp;$A3,monthly!$B:$B,"&lt;="&amp;$B3)&gt;0,"NA",AVERAGEIFS(monthly!C:C,monthly!$A:$A,"&gt;="&amp;$A3,monthly!$B:$B,"&lt;="&amp;$B3))</f>
        <v>NA</v>
      </c>
      <c r="L3">
        <f>IF(COUNTIFS(monthly!D:D,"",monthly!$A:$A,"&gt;="&amp;$A3,monthly!$B:$B,"&lt;="&amp;$B3)&gt;0,"NA",AVERAGEIFS(monthly!D:D,monthly!$A:$A,"&gt;="&amp;$A3,monthly!$B:$B,"&lt;="&amp;$B3))</f>
        <v>1.1183666666666667</v>
      </c>
      <c r="M3" t="str">
        <f>IF(COUNTIFS(monthly!E:E,"",monthly!$A:$A,"&gt;="&amp;$A3,monthly!$B:$B,"&lt;="&amp;$B3)&gt;0,"NA",AVERAGEIFS(monthly!E:E,monthly!$A:$A,"&gt;="&amp;$A3,monthly!$B:$B,"&lt;="&amp;$B3))</f>
        <v>NA</v>
      </c>
      <c r="N3" t="str">
        <f>IF(COUNTIFS(monthly!F:F,"",monthly!$A:$A,"&gt;="&amp;$A3,monthly!$B:$B,"&lt;="&amp;$B3)&gt;0,"NA",AVERAGEIFS(monthly!F:F,monthly!$A:$A,"&gt;="&amp;$A3,monthly!$B:$B,"&lt;="&amp;$B3))</f>
        <v>NA</v>
      </c>
      <c r="O3">
        <f>IF(COUNTIFS(monthly!G:G,"",monthly!$A:$A,"&gt;="&amp;$A3,monthly!$B:$B,"&lt;="&amp;$B3)&gt;0,"NA",AVERAGEIFS(monthly!G:G,monthly!$A:$A,"&gt;="&amp;$A3,monthly!$B:$B,"&lt;="&amp;$B3))</f>
        <v>9.8000000000000007</v>
      </c>
      <c r="P3">
        <f>IF(COUNTIFS(monthly!H:H,"",monthly!$A:$A,"&gt;="&amp;$A3,monthly!$B:$B,"&lt;="&amp;$B3)&gt;0,"NA",AVERAGEIFS(monthly!H:H,monthly!$A:$A,"&gt;="&amp;$A3,monthly!$B:$B,"&lt;="&amp;$B3))</f>
        <v>7.8</v>
      </c>
      <c r="Q3">
        <f>IF(COUNTIFS(monthly!I:I,"",monthly!$A:$A,"&gt;="&amp;$A3,monthly!$B:$B,"&lt;="&amp;$B3)&gt;0,"NA",AVERAGEIFS(monthly!I:I,monthly!$A:$A,"&gt;="&amp;$A3,monthly!$B:$B,"&lt;="&amp;$B3))</f>
        <v>1.2</v>
      </c>
      <c r="R3" t="str">
        <f>IF(COUNTIFS(monthly!J:J,"",monthly!$A:$A,"&gt;="&amp;$A3,monthly!$B:$B,"&lt;="&amp;$B3)&gt;0,"NA",AVERAGEIFS(monthly!J:J,monthly!$A:$A,"&gt;="&amp;$A3,monthly!$B:$B,"&lt;="&amp;$B3))</f>
        <v>NA</v>
      </c>
      <c r="S3" t="str">
        <f>IF(COUNTIFS(monthly!K:K,"",monthly!$A:$A,"&gt;="&amp;$A3,monthly!$B:$B,"&lt;="&amp;$B3)&gt;0,"NA",AVERAGEIFS(monthly!K:K,monthly!$A:$A,"&gt;="&amp;$A3,monthly!$B:$B,"&lt;="&amp;$B3))</f>
        <v>NA</v>
      </c>
      <c r="T3">
        <f>IF(COUNTIFS(monthly!L:L,"",monthly!$A:$A,"&gt;="&amp;$A3,monthly!$B:$B,"&lt;="&amp;$B3)&gt;0,"NA",AVERAGEIFS(monthly!L:L,monthly!$A:$A,"&gt;="&amp;$A3,monthly!$B:$B,"&lt;="&amp;$B3))</f>
        <v>7.8825949820788521</v>
      </c>
      <c r="U3" t="str">
        <f>IF(COUNTIFS(monthly!M:M,"",monthly!$A:$A,"&gt;="&amp;$A3,monthly!$B:$B,"&lt;="&amp;$B3)&gt;0,"NA",AVERAGEIFS(monthly!M:M,monthly!$A:$A,"&gt;="&amp;$A3,monthly!$B:$B,"&lt;="&amp;$B3))</f>
        <v>NA</v>
      </c>
      <c r="V3" t="str">
        <f>IF(COUNTIFS(monthly!N:N,"",monthly!$A:$A,"&gt;="&amp;$A3,monthly!$B:$B,"&lt;="&amp;$B3)&gt;0,"NA",AVERAGEIFS(monthly!N:N,monthly!$A:$A,"&gt;="&amp;$A3,monthly!$B:$B,"&lt;="&amp;$B3))</f>
        <v>NA</v>
      </c>
      <c r="W3" t="str">
        <f>IF(COUNTIFS(monthly!O:O,"",monthly!$A:$A,"&gt;="&amp;$A3,monthly!$B:$B,"&lt;="&amp;$B3)&gt;0,"NA",AVERAGEIFS(monthly!O:O,monthly!$A:$A,"&gt;="&amp;$A3,monthly!$B:$B,"&lt;="&amp;$B3))</f>
        <v>NA</v>
      </c>
      <c r="X3" t="str">
        <f>IF(COUNTIFS(monthly!P:P,"",monthly!$A:$A,"&gt;="&amp;$A3,monthly!$B:$B,"&lt;="&amp;$B3)&gt;0,"NA",AVERAGEIFS(monthly!P:P,monthly!$A:$A,"&gt;="&amp;$A3,monthly!$B:$B,"&lt;="&amp;$B3))</f>
        <v>NA</v>
      </c>
      <c r="Y3">
        <f>IF(COUNTIFS(monthly!Q:Q,"",monthly!$A:$A,"&gt;="&amp;$A3,monthly!$B:$B,"&lt;="&amp;$B3)&gt;0,"NA",AVERAGEIFS(monthly!Q:Q,monthly!$A:$A,"&gt;="&amp;$A3,monthly!$B:$B,"&lt;="&amp;$B3))</f>
        <v>6.8833333333333329</v>
      </c>
      <c r="Z3">
        <f>IF(COUNTIFS(monthly!R:R,"",monthly!$A:$A,"&gt;="&amp;$A3,monthly!$B:$B,"&lt;="&amp;$B3)&gt;0,"NA",AVERAGEIFS(monthly!R:R,monthly!$A:$A,"&gt;="&amp;$A3,monthly!$B:$B,"&lt;="&amp;$B3))</f>
        <v>7.7129725829725828</v>
      </c>
      <c r="AA3">
        <f>IF(COUNTIFS(monthly!S:S,"",monthly!$A:$A,"&gt;="&amp;$A3,monthly!$B:$B,"&lt;="&amp;$B3)&gt;0,"NA",AVERAGEIFS(monthly!S:S,monthly!$A:$A,"&gt;="&amp;$A3,monthly!$B:$B,"&lt;="&amp;$B3))</f>
        <v>-0.82963924963924962</v>
      </c>
      <c r="AB3" t="str">
        <f>IF(COUNTIFS(monthly!T:T,"",monthly!$A:$A,"&gt;="&amp;$A3,monthly!$B:$B,"&lt;="&amp;$B3)&gt;0,"NA",AVERAGEIFS(monthly!T:T,monthly!$A:$A,"&gt;="&amp;$A3,monthly!$B:$B,"&lt;="&amp;$B3))</f>
        <v>NA</v>
      </c>
      <c r="AC3" t="str">
        <f>IF(COUNTIFS(monthly!U:U,"",monthly!$A:$A,"&gt;="&amp;$A3,monthly!$B:$B,"&lt;="&amp;$B3)&gt;0,"NA",AVERAGEIFS(monthly!U:U,monthly!$A:$A,"&gt;="&amp;$A3,monthly!$B:$B,"&lt;="&amp;$B3))</f>
        <v>NA</v>
      </c>
      <c r="AD3" t="str">
        <f>IF(COUNTIFS(monthly!V:V,"",monthly!$A:$A,"&gt;="&amp;$A3,monthly!$B:$B,"&lt;="&amp;$B3)&gt;0,"NA",AVERAGEIFS(monthly!V:V,monthly!$A:$A,"&gt;="&amp;$A3,monthly!$B:$B,"&lt;="&amp;$B3))</f>
        <v>NA</v>
      </c>
      <c r="AE3" t="str">
        <f>IF(COUNTIFS(monthly!W:W,"",monthly!$A:$A,"&gt;="&amp;$A3,monthly!$B:$B,"&lt;="&amp;$B3)&gt;0,"NA",AVERAGEIFS(monthly!W:W,monthly!$A:$A,"&gt;="&amp;$A3,monthly!$B:$B,"&lt;="&amp;$B3))</f>
        <v>NA</v>
      </c>
      <c r="AF3" t="str">
        <f>IF(COUNTIFS(monthly!X:X,"",monthly!$A:$A,"&gt;="&amp;$A3,monthly!$B:$B,"&lt;="&amp;$B3)&gt;0,"NA",AVERAGEIFS(monthly!X:X,monthly!$A:$A,"&gt;="&amp;$A3,monthly!$B:$B,"&lt;="&amp;$B3))</f>
        <v>NA</v>
      </c>
      <c r="AG3" t="str">
        <f>IF(COUNTIFS(monthly!Y:Y,"",monthly!$A:$A,"&gt;="&amp;$A3,monthly!$B:$B,"&lt;="&amp;$B3)&gt;0,"NA",AVERAGEIFS(monthly!Y:Y,monthly!$A:$A,"&gt;="&amp;$A3,monthly!$B:$B,"&lt;="&amp;$B3))</f>
        <v>NA</v>
      </c>
      <c r="AH3" t="str">
        <f>IF(COUNTIFS(monthly!Z:Z,"",monthly!$A:$A,"&gt;="&amp;$A3,monthly!$B:$B,"&lt;="&amp;$B3)&gt;0,"NA",AVERAGEIFS(monthly!Z:Z,monthly!$A:$A,"&gt;="&amp;$A3,monthly!$B:$B,"&lt;="&amp;$B3))</f>
        <v>NA</v>
      </c>
    </row>
    <row r="4" spans="1:34" x14ac:dyDescent="0.2">
      <c r="A4" s="1">
        <v>25750</v>
      </c>
      <c r="B4" s="1">
        <v>25841</v>
      </c>
      <c r="C4">
        <f>IF(ISBLANK(VLOOKUP($A4,quarterly_data,MATCH(C$1,quarterly!$1:$1,FALSE),FALSE)),"NA",VLOOKUP($A4,quarterly_data,MATCH(C$1,quarterly!$1:$1,FALSE),FALSE))</f>
        <v>144.5426827947976</v>
      </c>
      <c r="D4">
        <f>IF(ISBLANK(VLOOKUP($A4,quarterly_data,MATCH(D$1,quarterly!$1:$1,FALSE),FALSE)),"NA",VLOOKUP($A4,quarterly_data,MATCH(D$1,quarterly!$1:$1,FALSE),FALSE))</f>
        <v>58.1</v>
      </c>
      <c r="E4">
        <f>IF(ISBLANK(VLOOKUP($A4,quarterly_data,MATCH(E$1,quarterly!$1:$1,FALSE),FALSE)),"NA",VLOOKUP($A4,quarterly_data,MATCH(E$1,quarterly!$1:$1,FALSE),FALSE))</f>
        <v>0</v>
      </c>
      <c r="F4">
        <f>IF(ISBLANK(VLOOKUP($A4,quarterly_data,MATCH(F$1,quarterly!$1:$1,FALSE),FALSE)),"NA",VLOOKUP($A4,quarterly_data,MATCH(F$1,quarterly!$1:$1,FALSE),FALSE))</f>
        <v>2.1929799999999999E-2</v>
      </c>
      <c r="G4">
        <f>IF(ISBLANK(VLOOKUP($A4,quarterly_data,MATCH(G$1,quarterly!$1:$1,FALSE),FALSE)),"NA",VLOOKUP($A4,quarterly_data,MATCH(G$1,quarterly!$1:$1,FALSE),FALSE))</f>
        <v>5357.0770000000002</v>
      </c>
      <c r="H4">
        <f>IF(ISBLANK(VLOOKUP($A4,quarterly_data,MATCH(H$1,quarterly!$1:$1,FALSE),FALSE)),"NA",VLOOKUP($A4,quarterly_data,MATCH(H$1,quarterly!$1:$1,FALSE),FALSE))</f>
        <v>138729</v>
      </c>
      <c r="I4" t="str">
        <f>IF(ISBLANK(VLOOKUP($A4,quarterly_data,MATCH(I$1,quarterly!$1:$1,FALSE),FALSE)),"NA",VLOOKUP($A4,quarterly_data,MATCH(I$1,quarterly!$1:$1,FALSE),FALSE))</f>
        <v>NA</v>
      </c>
      <c r="J4">
        <f>IF(ISBLANK(VLOOKUP($A4,quarterly_data,MATCH(J$1,quarterly!$1:$1,FALSE),FALSE)),"NA",VLOOKUP($A4,quarterly_data,MATCH(J$1,quarterly!$1:$1,FALSE),FALSE))</f>
        <v>6.8</v>
      </c>
      <c r="K4">
        <f>IF(COUNTIFS(monthly!C:C,"",monthly!$A:$A,"&gt;="&amp;$A4,monthly!$B:$B,"&lt;="&amp;$B4)&gt;0,"NA",AVERAGEIFS(monthly!C:C,monthly!$A:$A,"&gt;="&amp;$A4,monthly!$B:$B,"&lt;="&amp;$B4))</f>
        <v>99.233333333333334</v>
      </c>
      <c r="L4">
        <f>IF(COUNTIFS(monthly!D:D,"",monthly!$A:$A,"&gt;="&amp;$A4,monthly!$B:$B,"&lt;="&amp;$B4)&gt;0,"NA",AVERAGEIFS(monthly!D:D,monthly!$A:$A,"&gt;="&amp;$A4,monthly!$B:$B,"&lt;="&amp;$B4))</f>
        <v>1.1117333333333332</v>
      </c>
      <c r="M4" t="str">
        <f>IF(COUNTIFS(monthly!E:E,"",monthly!$A:$A,"&gt;="&amp;$A4,monthly!$B:$B,"&lt;="&amp;$B4)&gt;0,"NA",AVERAGEIFS(monthly!E:E,monthly!$A:$A,"&gt;="&amp;$A4,monthly!$B:$B,"&lt;="&amp;$B4))</f>
        <v>NA</v>
      </c>
      <c r="N4" t="str">
        <f>IF(COUNTIFS(monthly!F:F,"",monthly!$A:$A,"&gt;="&amp;$A4,monthly!$B:$B,"&lt;="&amp;$B4)&gt;0,"NA",AVERAGEIFS(monthly!F:F,monthly!$A:$A,"&gt;="&amp;$A4,monthly!$B:$B,"&lt;="&amp;$B4))</f>
        <v>NA</v>
      </c>
      <c r="O4">
        <f>IF(COUNTIFS(monthly!G:G,"",monthly!$A:$A,"&gt;="&amp;$A4,monthly!$B:$B,"&lt;="&amp;$B4)&gt;0,"NA",AVERAGEIFS(monthly!G:G,monthly!$A:$A,"&gt;="&amp;$A4,monthly!$B:$B,"&lt;="&amp;$B4))</f>
        <v>9.8000000000000007</v>
      </c>
      <c r="P4">
        <f>IF(COUNTIFS(monthly!H:H,"",monthly!$A:$A,"&gt;="&amp;$A4,monthly!$B:$B,"&lt;="&amp;$B4)&gt;0,"NA",AVERAGEIFS(monthly!H:H,monthly!$A:$A,"&gt;="&amp;$A4,monthly!$B:$B,"&lt;="&amp;$B4))</f>
        <v>7.8</v>
      </c>
      <c r="Q4">
        <f>IF(COUNTIFS(monthly!I:I,"",monthly!$A:$A,"&gt;="&amp;$A4,monthly!$B:$B,"&lt;="&amp;$B4)&gt;0,"NA",AVERAGEIFS(monthly!I:I,monthly!$A:$A,"&gt;="&amp;$A4,monthly!$B:$B,"&lt;="&amp;$B4))</f>
        <v>1.2</v>
      </c>
      <c r="R4" t="str">
        <f>IF(COUNTIFS(monthly!J:J,"",monthly!$A:$A,"&gt;="&amp;$A4,monthly!$B:$B,"&lt;="&amp;$B4)&gt;0,"NA",AVERAGEIFS(monthly!J:J,monthly!$A:$A,"&gt;="&amp;$A4,monthly!$B:$B,"&lt;="&amp;$B4))</f>
        <v>NA</v>
      </c>
      <c r="S4" t="str">
        <f>IF(COUNTIFS(monthly!K:K,"",monthly!$A:$A,"&gt;="&amp;$A4,monthly!$B:$B,"&lt;="&amp;$B4)&gt;0,"NA",AVERAGEIFS(monthly!K:K,monthly!$A:$A,"&gt;="&amp;$A4,monthly!$B:$B,"&lt;="&amp;$B4))</f>
        <v>NA</v>
      </c>
      <c r="T4">
        <f>IF(COUNTIFS(monthly!L:L,"",monthly!$A:$A,"&gt;="&amp;$A4,monthly!$B:$B,"&lt;="&amp;$B4)&gt;0,"NA",AVERAGEIFS(monthly!L:L,monthly!$A:$A,"&gt;="&amp;$A4,monthly!$B:$B,"&lt;="&amp;$B4))</f>
        <v>6.7065555555555543</v>
      </c>
      <c r="U4" t="str">
        <f>IF(COUNTIFS(monthly!M:M,"",monthly!$A:$A,"&gt;="&amp;$A4,monthly!$B:$B,"&lt;="&amp;$B4)&gt;0,"NA",AVERAGEIFS(monthly!M:M,monthly!$A:$A,"&gt;="&amp;$A4,monthly!$B:$B,"&lt;="&amp;$B4))</f>
        <v>NA</v>
      </c>
      <c r="V4" t="str">
        <f>IF(COUNTIFS(monthly!N:N,"",monthly!$A:$A,"&gt;="&amp;$A4,monthly!$B:$B,"&lt;="&amp;$B4)&gt;0,"NA",AVERAGEIFS(monthly!N:N,monthly!$A:$A,"&gt;="&amp;$A4,monthly!$B:$B,"&lt;="&amp;$B4))</f>
        <v>NA</v>
      </c>
      <c r="W4" t="str">
        <f>IF(COUNTIFS(monthly!O:O,"",monthly!$A:$A,"&gt;="&amp;$A4,monthly!$B:$B,"&lt;="&amp;$B4)&gt;0,"NA",AVERAGEIFS(monthly!O:O,monthly!$A:$A,"&gt;="&amp;$A4,monthly!$B:$B,"&lt;="&amp;$B4))</f>
        <v>NA</v>
      </c>
      <c r="X4" t="str">
        <f>IF(COUNTIFS(monthly!P:P,"",monthly!$A:$A,"&gt;="&amp;$A4,monthly!$B:$B,"&lt;="&amp;$B4)&gt;0,"NA",AVERAGEIFS(monthly!P:P,monthly!$A:$A,"&gt;="&amp;$A4,monthly!$B:$B,"&lt;="&amp;$B4))</f>
        <v>NA</v>
      </c>
      <c r="Y4">
        <f>IF(COUNTIFS(monthly!Q:Q,"",monthly!$A:$A,"&gt;="&amp;$A4,monthly!$B:$B,"&lt;="&amp;$B4)&gt;0,"NA",AVERAGEIFS(monthly!Q:Q,monthly!$A:$A,"&gt;="&amp;$A4,monthly!$B:$B,"&lt;="&amp;$B4))</f>
        <v>6.876666666666666</v>
      </c>
      <c r="Z4">
        <f>IF(COUNTIFS(monthly!R:R,"",monthly!$A:$A,"&gt;="&amp;$A4,monthly!$B:$B,"&lt;="&amp;$B4)&gt;0,"NA",AVERAGEIFS(monthly!R:R,monthly!$A:$A,"&gt;="&amp;$A4,monthly!$B:$B,"&lt;="&amp;$B4))</f>
        <v>7.4579797979797986</v>
      </c>
      <c r="AA4">
        <f>IF(COUNTIFS(monthly!S:S,"",monthly!$A:$A,"&gt;="&amp;$A4,monthly!$B:$B,"&lt;="&amp;$B4)&gt;0,"NA",AVERAGEIFS(monthly!S:S,monthly!$A:$A,"&gt;="&amp;$A4,monthly!$B:$B,"&lt;="&amp;$B4))</f>
        <v>-0.58131313131313167</v>
      </c>
      <c r="AB4" t="str">
        <f>IF(COUNTIFS(monthly!T:T,"",monthly!$A:$A,"&gt;="&amp;$A4,monthly!$B:$B,"&lt;="&amp;$B4)&gt;0,"NA",AVERAGEIFS(monthly!T:T,monthly!$A:$A,"&gt;="&amp;$A4,monthly!$B:$B,"&lt;="&amp;$B4))</f>
        <v>NA</v>
      </c>
      <c r="AC4" t="str">
        <f>IF(COUNTIFS(monthly!U:U,"",monthly!$A:$A,"&gt;="&amp;$A4,monthly!$B:$B,"&lt;="&amp;$B4)&gt;0,"NA",AVERAGEIFS(monthly!U:U,monthly!$A:$A,"&gt;="&amp;$A4,monthly!$B:$B,"&lt;="&amp;$B4))</f>
        <v>NA</v>
      </c>
      <c r="AD4" t="str">
        <f>IF(COUNTIFS(monthly!V:V,"",monthly!$A:$A,"&gt;="&amp;$A4,monthly!$B:$B,"&lt;="&amp;$B4)&gt;0,"NA",AVERAGEIFS(monthly!V:V,monthly!$A:$A,"&gt;="&amp;$A4,monthly!$B:$B,"&lt;="&amp;$B4))</f>
        <v>NA</v>
      </c>
      <c r="AE4" t="str">
        <f>IF(COUNTIFS(monthly!W:W,"",monthly!$A:$A,"&gt;="&amp;$A4,monthly!$B:$B,"&lt;="&amp;$B4)&gt;0,"NA",AVERAGEIFS(monthly!W:W,monthly!$A:$A,"&gt;="&amp;$A4,monthly!$B:$B,"&lt;="&amp;$B4))</f>
        <v>NA</v>
      </c>
      <c r="AF4" t="str">
        <f>IF(COUNTIFS(monthly!X:X,"",monthly!$A:$A,"&gt;="&amp;$A4,monthly!$B:$B,"&lt;="&amp;$B4)&gt;0,"NA",AVERAGEIFS(monthly!X:X,monthly!$A:$A,"&gt;="&amp;$A4,monthly!$B:$B,"&lt;="&amp;$B4))</f>
        <v>NA</v>
      </c>
      <c r="AG4" t="str">
        <f>IF(COUNTIFS(monthly!Y:Y,"",monthly!$A:$A,"&gt;="&amp;$A4,monthly!$B:$B,"&lt;="&amp;$B4)&gt;0,"NA",AVERAGEIFS(monthly!Y:Y,monthly!$A:$A,"&gt;="&amp;$A4,monthly!$B:$B,"&lt;="&amp;$B4))</f>
        <v>NA</v>
      </c>
      <c r="AH4" t="str">
        <f>IF(COUNTIFS(monthly!Z:Z,"",monthly!$A:$A,"&gt;="&amp;$A4,monthly!$B:$B,"&lt;="&amp;$B4)&gt;0,"NA",AVERAGEIFS(monthly!Z:Z,monthly!$A:$A,"&gt;="&amp;$A4,monthly!$B:$B,"&lt;="&amp;$B4))</f>
        <v>NA</v>
      </c>
    </row>
    <row r="5" spans="1:34" x14ac:dyDescent="0.2">
      <c r="A5" s="1">
        <v>25842</v>
      </c>
      <c r="B5" s="1">
        <v>25932</v>
      </c>
      <c r="C5">
        <f>IF(ISBLANK(VLOOKUP($A5,quarterly_data,MATCH(C$1,quarterly!$1:$1,FALSE),FALSE)),"NA",VLOOKUP($A5,quarterly_data,MATCH(C$1,quarterly!$1:$1,FALSE),FALSE))</f>
        <v>145.17264846888128</v>
      </c>
      <c r="D5">
        <f>IF(ISBLANK(VLOOKUP($A5,quarterly_data,MATCH(D$1,quarterly!$1:$1,FALSE),FALSE)),"NA",VLOOKUP($A5,quarterly_data,MATCH(D$1,quarterly!$1:$1,FALSE),FALSE))</f>
        <v>55.6</v>
      </c>
      <c r="E5">
        <f>IF(ISBLANK(VLOOKUP($A5,quarterly_data,MATCH(E$1,quarterly!$1:$1,FALSE),FALSE)),"NA",VLOOKUP($A5,quarterly_data,MATCH(E$1,quarterly!$1:$1,FALSE),FALSE))</f>
        <v>0.36463079999999998</v>
      </c>
      <c r="F5">
        <f>IF(ISBLANK(VLOOKUP($A5,quarterly_data,MATCH(F$1,quarterly!$1:$1,FALSE),FALSE)),"NA",VLOOKUP($A5,quarterly_data,MATCH(F$1,quarterly!$1:$1,FALSE),FALSE))</f>
        <v>8.0236100000000005E-2</v>
      </c>
      <c r="G5">
        <f>IF(ISBLANK(VLOOKUP($A5,quarterly_data,MATCH(G$1,quarterly!$1:$1,FALSE),FALSE)),"NA",VLOOKUP($A5,quarterly_data,MATCH(G$1,quarterly!$1:$1,FALSE),FALSE))</f>
        <v>5299.6719999999996</v>
      </c>
      <c r="H5">
        <f>IF(ISBLANK(VLOOKUP($A5,quarterly_data,MATCH(H$1,quarterly!$1:$1,FALSE),FALSE)),"NA",VLOOKUP($A5,quarterly_data,MATCH(H$1,quarterly!$1:$1,FALSE),FALSE))</f>
        <v>139332</v>
      </c>
      <c r="I5" t="str">
        <f>IF(ISBLANK(VLOOKUP($A5,quarterly_data,MATCH(I$1,quarterly!$1:$1,FALSE),FALSE)),"NA",VLOOKUP($A5,quarterly_data,MATCH(I$1,quarterly!$1:$1,FALSE),FALSE))</f>
        <v>NA</v>
      </c>
      <c r="J5">
        <f>IF(ISBLANK(VLOOKUP($A5,quarterly_data,MATCH(J$1,quarterly!$1:$1,FALSE),FALSE)),"NA",VLOOKUP($A5,quarterly_data,MATCH(J$1,quarterly!$1:$1,FALSE),FALSE))</f>
        <v>6.92</v>
      </c>
      <c r="K5">
        <f>IF(COUNTIFS(monthly!C:C,"",monthly!$A:$A,"&gt;="&amp;$A5,monthly!$B:$B,"&lt;="&amp;$B5)&gt;0,"NA",AVERAGEIFS(monthly!C:C,monthly!$A:$A,"&gt;="&amp;$A5,monthly!$B:$B,"&lt;="&amp;$B5))</f>
        <v>99.2</v>
      </c>
      <c r="L5">
        <f>IF(COUNTIFS(monthly!D:D,"",monthly!$A:$A,"&gt;="&amp;$A5,monthly!$B:$B,"&lt;="&amp;$B5)&gt;0,"NA",AVERAGEIFS(monthly!D:D,monthly!$A:$A,"&gt;="&amp;$A5,monthly!$B:$B,"&lt;="&amp;$B5))</f>
        <v>1.1131</v>
      </c>
      <c r="M5" t="str">
        <f>IF(COUNTIFS(monthly!E:E,"",monthly!$A:$A,"&gt;="&amp;$A5,monthly!$B:$B,"&lt;="&amp;$B5)&gt;0,"NA",AVERAGEIFS(monthly!E:E,monthly!$A:$A,"&gt;="&amp;$A5,monthly!$B:$B,"&lt;="&amp;$B5))</f>
        <v>NA</v>
      </c>
      <c r="N5" t="str">
        <f>IF(COUNTIFS(monthly!F:F,"",monthly!$A:$A,"&gt;="&amp;$A5,monthly!$B:$B,"&lt;="&amp;$B5)&gt;0,"NA",AVERAGEIFS(monthly!F:F,monthly!$A:$A,"&gt;="&amp;$A5,monthly!$B:$B,"&lt;="&amp;$B5))</f>
        <v>NA</v>
      </c>
      <c r="O5">
        <f>IF(COUNTIFS(monthly!G:G,"",monthly!$A:$A,"&gt;="&amp;$A5,monthly!$B:$B,"&lt;="&amp;$B5)&gt;0,"NA",AVERAGEIFS(monthly!G:G,monthly!$A:$A,"&gt;="&amp;$A5,monthly!$B:$B,"&lt;="&amp;$B5))</f>
        <v>9.8000000000000007</v>
      </c>
      <c r="P5">
        <f>IF(COUNTIFS(monthly!H:H,"",monthly!$A:$A,"&gt;="&amp;$A5,monthly!$B:$B,"&lt;="&amp;$B5)&gt;0,"NA",AVERAGEIFS(monthly!H:H,monthly!$A:$A,"&gt;="&amp;$A5,monthly!$B:$B,"&lt;="&amp;$B5))</f>
        <v>7.8</v>
      </c>
      <c r="Q5">
        <f>IF(COUNTIFS(monthly!I:I,"",monthly!$A:$A,"&gt;="&amp;$A5,monthly!$B:$B,"&lt;="&amp;$B5)&gt;0,"NA",AVERAGEIFS(monthly!I:I,monthly!$A:$A,"&gt;="&amp;$A5,monthly!$B:$B,"&lt;="&amp;$B5))</f>
        <v>1.2</v>
      </c>
      <c r="R5" t="str">
        <f>IF(COUNTIFS(monthly!J:J,"",monthly!$A:$A,"&gt;="&amp;$A5,monthly!$B:$B,"&lt;="&amp;$B5)&gt;0,"NA",AVERAGEIFS(monthly!J:J,monthly!$A:$A,"&gt;="&amp;$A5,monthly!$B:$B,"&lt;="&amp;$B5))</f>
        <v>NA</v>
      </c>
      <c r="S5" t="str">
        <f>IF(COUNTIFS(monthly!K:K,"",monthly!$A:$A,"&gt;="&amp;$A5,monthly!$B:$B,"&lt;="&amp;$B5)&gt;0,"NA",AVERAGEIFS(monthly!K:K,monthly!$A:$A,"&gt;="&amp;$A5,monthly!$B:$B,"&lt;="&amp;$B5))</f>
        <v>NA</v>
      </c>
      <c r="T5">
        <f>IF(COUNTIFS(monthly!L:L,"",monthly!$A:$A,"&gt;="&amp;$A5,monthly!$B:$B,"&lt;="&amp;$B5)&gt;0,"NA",AVERAGEIFS(monthly!L:L,monthly!$A:$A,"&gt;="&amp;$A5,monthly!$B:$B,"&lt;="&amp;$B5))</f>
        <v>5.9026021505376329</v>
      </c>
      <c r="U5" t="str">
        <f>IF(COUNTIFS(monthly!M:M,"",monthly!$A:$A,"&gt;="&amp;$A5,monthly!$B:$B,"&lt;="&amp;$B5)&gt;0,"NA",AVERAGEIFS(monthly!M:M,monthly!$A:$A,"&gt;="&amp;$A5,monthly!$B:$B,"&lt;="&amp;$B5))</f>
        <v>NA</v>
      </c>
      <c r="V5" t="str">
        <f>IF(COUNTIFS(monthly!N:N,"",monthly!$A:$A,"&gt;="&amp;$A5,monthly!$B:$B,"&lt;="&amp;$B5)&gt;0,"NA",AVERAGEIFS(monthly!N:N,monthly!$A:$A,"&gt;="&amp;$A5,monthly!$B:$B,"&lt;="&amp;$B5))</f>
        <v>NA</v>
      </c>
      <c r="W5" t="str">
        <f>IF(COUNTIFS(monthly!O:O,"",monthly!$A:$A,"&gt;="&amp;$A5,monthly!$B:$B,"&lt;="&amp;$B5)&gt;0,"NA",AVERAGEIFS(monthly!O:O,monthly!$A:$A,"&gt;="&amp;$A5,monthly!$B:$B,"&lt;="&amp;$B5))</f>
        <v>NA</v>
      </c>
      <c r="X5" t="str">
        <f>IF(COUNTIFS(monthly!P:P,"",monthly!$A:$A,"&gt;="&amp;$A5,monthly!$B:$B,"&lt;="&amp;$B5)&gt;0,"NA",AVERAGEIFS(monthly!P:P,monthly!$A:$A,"&gt;="&amp;$A5,monthly!$B:$B,"&lt;="&amp;$B5))</f>
        <v>NA</v>
      </c>
      <c r="Y5">
        <f>IF(COUNTIFS(monthly!Q:Q,"",monthly!$A:$A,"&gt;="&amp;$A5,monthly!$B:$B,"&lt;="&amp;$B5)&gt;0,"NA",AVERAGEIFS(monthly!Q:Q,monthly!$A:$A,"&gt;="&amp;$A5,monthly!$B:$B,"&lt;="&amp;$B5))</f>
        <v>6.8550000000000004</v>
      </c>
      <c r="Z5">
        <f>IF(COUNTIFS(monthly!R:R,"",monthly!$A:$A,"&gt;="&amp;$A5,monthly!$B:$B,"&lt;="&amp;$B5)&gt;0,"NA",AVERAGEIFS(monthly!R:R,monthly!$A:$A,"&gt;="&amp;$A5,monthly!$B:$B,"&lt;="&amp;$B5))</f>
        <v>7.0838888888888896</v>
      </c>
      <c r="AA5">
        <f>IF(COUNTIFS(monthly!S:S,"",monthly!$A:$A,"&gt;="&amp;$A5,monthly!$B:$B,"&lt;="&amp;$B5)&gt;0,"NA",AVERAGEIFS(monthly!S:S,monthly!$A:$A,"&gt;="&amp;$A5,monthly!$B:$B,"&lt;="&amp;$B5))</f>
        <v>-0.22888888888888914</v>
      </c>
      <c r="AB5" t="str">
        <f>IF(COUNTIFS(monthly!T:T,"",monthly!$A:$A,"&gt;="&amp;$A5,monthly!$B:$B,"&lt;="&amp;$B5)&gt;0,"NA",AVERAGEIFS(monthly!T:T,monthly!$A:$A,"&gt;="&amp;$A5,monthly!$B:$B,"&lt;="&amp;$B5))</f>
        <v>NA</v>
      </c>
      <c r="AC5" t="str">
        <f>IF(COUNTIFS(monthly!U:U,"",monthly!$A:$A,"&gt;="&amp;$A5,monthly!$B:$B,"&lt;="&amp;$B5)&gt;0,"NA",AVERAGEIFS(monthly!U:U,monthly!$A:$A,"&gt;="&amp;$A5,monthly!$B:$B,"&lt;="&amp;$B5))</f>
        <v>NA</v>
      </c>
      <c r="AD5" t="str">
        <f>IF(COUNTIFS(monthly!V:V,"",monthly!$A:$A,"&gt;="&amp;$A5,monthly!$B:$B,"&lt;="&amp;$B5)&gt;0,"NA",AVERAGEIFS(monthly!V:V,monthly!$A:$A,"&gt;="&amp;$A5,monthly!$B:$B,"&lt;="&amp;$B5))</f>
        <v>NA</v>
      </c>
      <c r="AE5" t="str">
        <f>IF(COUNTIFS(monthly!W:W,"",monthly!$A:$A,"&gt;="&amp;$A5,monthly!$B:$B,"&lt;="&amp;$B5)&gt;0,"NA",AVERAGEIFS(monthly!W:W,monthly!$A:$A,"&gt;="&amp;$A5,monthly!$B:$B,"&lt;="&amp;$B5))</f>
        <v>NA</v>
      </c>
      <c r="AF5" t="str">
        <f>IF(COUNTIFS(monthly!X:X,"",monthly!$A:$A,"&gt;="&amp;$A5,monthly!$B:$B,"&lt;="&amp;$B5)&gt;0,"NA",AVERAGEIFS(monthly!X:X,monthly!$A:$A,"&gt;="&amp;$A5,monthly!$B:$B,"&lt;="&amp;$B5))</f>
        <v>NA</v>
      </c>
      <c r="AG5" t="str">
        <f>IF(COUNTIFS(monthly!Y:Y,"",monthly!$A:$A,"&gt;="&amp;$A5,monthly!$B:$B,"&lt;="&amp;$B5)&gt;0,"NA",AVERAGEIFS(monthly!Y:Y,monthly!$A:$A,"&gt;="&amp;$A5,monthly!$B:$B,"&lt;="&amp;$B5))</f>
        <v>NA</v>
      </c>
      <c r="AH5" t="str">
        <f>IF(COUNTIFS(monthly!Z:Z,"",monthly!$A:$A,"&gt;="&amp;$A5,monthly!$B:$B,"&lt;="&amp;$B5)&gt;0,"NA",AVERAGEIFS(monthly!Z:Z,monthly!$A:$A,"&gt;="&amp;$A5,monthly!$B:$B,"&lt;="&amp;$B5))</f>
        <v>NA</v>
      </c>
    </row>
    <row r="6" spans="1:34" x14ac:dyDescent="0.2">
      <c r="A6" s="1">
        <v>25934</v>
      </c>
      <c r="B6" s="1">
        <v>26022</v>
      </c>
      <c r="C6">
        <f>IF(ISBLANK(VLOOKUP($A6,quarterly_data,MATCH(C$1,quarterly!$1:$1,FALSE),FALSE)),"NA",VLOOKUP($A6,quarterly_data,MATCH(C$1,quarterly!$1:$1,FALSE),FALSE))</f>
        <v>146.01779478604448</v>
      </c>
      <c r="D6">
        <f>IF(ISBLANK(VLOOKUP($A6,quarterly_data,MATCH(D$1,quarterly!$1:$1,FALSE),FALSE)),"NA",VLOOKUP($A6,quarterly_data,MATCH(D$1,quarterly!$1:$1,FALSE),FALSE))</f>
        <v>55.9</v>
      </c>
      <c r="E6">
        <f>IF(ISBLANK(VLOOKUP($A6,quarterly_data,MATCH(E$1,quarterly!$1:$1,FALSE),FALSE)),"NA",VLOOKUP($A6,quarterly_data,MATCH(E$1,quarterly!$1:$1,FALSE),FALSE))</f>
        <v>0.655308</v>
      </c>
      <c r="F6">
        <f>IF(ISBLANK(VLOOKUP($A6,quarterly_data,MATCH(F$1,quarterly!$1:$1,FALSE),FALSE)),"NA",VLOOKUP($A6,quarterly_data,MATCH(F$1,quarterly!$1:$1,FALSE),FALSE))</f>
        <v>0.1675247</v>
      </c>
      <c r="G6">
        <f>IF(ISBLANK(VLOOKUP($A6,quarterly_data,MATCH(G$1,quarterly!$1:$1,FALSE),FALSE)),"NA",VLOOKUP($A6,quarterly_data,MATCH(G$1,quarterly!$1:$1,FALSE),FALSE))</f>
        <v>5443.6189999999997</v>
      </c>
      <c r="H6">
        <f>IF(ISBLANK(VLOOKUP($A6,quarterly_data,MATCH(H$1,quarterly!$1:$1,FALSE),FALSE)),"NA",VLOOKUP($A6,quarterly_data,MATCH(H$1,quarterly!$1:$1,FALSE),FALSE))</f>
        <v>141071</v>
      </c>
      <c r="I6" t="str">
        <f>IF(ISBLANK(VLOOKUP($A6,quarterly_data,MATCH(I$1,quarterly!$1:$1,FALSE),FALSE)),"NA",VLOOKUP($A6,quarterly_data,MATCH(I$1,quarterly!$1:$1,FALSE),FALSE))</f>
        <v>NA</v>
      </c>
      <c r="J6">
        <f>IF(ISBLANK(VLOOKUP($A6,quarterly_data,MATCH(J$1,quarterly!$1:$1,FALSE),FALSE)),"NA",VLOOKUP($A6,quarterly_data,MATCH(J$1,quarterly!$1:$1,FALSE),FALSE))</f>
        <v>7</v>
      </c>
      <c r="K6">
        <f>IF(COUNTIFS(monthly!C:C,"",monthly!$A:$A,"&gt;="&amp;$A6,monthly!$B:$B,"&lt;="&amp;$B6)&gt;0,"NA",AVERAGEIFS(monthly!C:C,monthly!$A:$A,"&gt;="&amp;$A6,monthly!$B:$B,"&lt;="&amp;$B6))</f>
        <v>100</v>
      </c>
      <c r="L6">
        <f>IF(COUNTIFS(monthly!D:D,"",monthly!$A:$A,"&gt;="&amp;$A6,monthly!$B:$B,"&lt;="&amp;$B6)&gt;0,"NA",AVERAGEIFS(monthly!D:D,monthly!$A:$A,"&gt;="&amp;$A6,monthly!$B:$B,"&lt;="&amp;$B6))</f>
        <v>1.12595</v>
      </c>
      <c r="M6" t="str">
        <f>IF(COUNTIFS(monthly!E:E,"",monthly!$A:$A,"&gt;="&amp;$A6,monthly!$B:$B,"&lt;="&amp;$B6)&gt;0,"NA",AVERAGEIFS(monthly!E:E,monthly!$A:$A,"&gt;="&amp;$A6,monthly!$B:$B,"&lt;="&amp;$B6))</f>
        <v>NA</v>
      </c>
      <c r="N6" t="str">
        <f>IF(COUNTIFS(monthly!F:F,"",monthly!$A:$A,"&gt;="&amp;$A6,monthly!$B:$B,"&lt;="&amp;$B6)&gt;0,"NA",AVERAGEIFS(monthly!F:F,monthly!$A:$A,"&gt;="&amp;$A6,monthly!$B:$B,"&lt;="&amp;$B6))</f>
        <v>NA</v>
      </c>
      <c r="O6">
        <f>IF(COUNTIFS(monthly!G:G,"",monthly!$A:$A,"&gt;="&amp;$A6,monthly!$B:$B,"&lt;="&amp;$B6)&gt;0,"NA",AVERAGEIFS(monthly!G:G,monthly!$A:$A,"&gt;="&amp;$A6,monthly!$B:$B,"&lt;="&amp;$B6))</f>
        <v>10.3</v>
      </c>
      <c r="P6">
        <f>IF(COUNTIFS(monthly!H:H,"",monthly!$A:$A,"&gt;="&amp;$A6,monthly!$B:$B,"&lt;="&amp;$B6)&gt;0,"NA",AVERAGEIFS(monthly!H:H,monthly!$A:$A,"&gt;="&amp;$A6,monthly!$B:$B,"&lt;="&amp;$B6))</f>
        <v>8.6999999999999993</v>
      </c>
      <c r="Q6">
        <f>IF(COUNTIFS(monthly!I:I,"",monthly!$A:$A,"&gt;="&amp;$A6,monthly!$B:$B,"&lt;="&amp;$B6)&gt;0,"NA",AVERAGEIFS(monthly!I:I,monthly!$A:$A,"&gt;="&amp;$A6,monthly!$B:$B,"&lt;="&amp;$B6))</f>
        <v>1.6</v>
      </c>
      <c r="R6" t="str">
        <f>IF(COUNTIFS(monthly!J:J,"",monthly!$A:$A,"&gt;="&amp;$A6,monthly!$B:$B,"&lt;="&amp;$B6)&gt;0,"NA",AVERAGEIFS(monthly!J:J,monthly!$A:$A,"&gt;="&amp;$A6,monthly!$B:$B,"&lt;="&amp;$B6))</f>
        <v>NA</v>
      </c>
      <c r="S6" t="str">
        <f>IF(COUNTIFS(monthly!K:K,"",monthly!$A:$A,"&gt;="&amp;$A6,monthly!$B:$B,"&lt;="&amp;$B6)&gt;0,"NA",AVERAGEIFS(monthly!K:K,monthly!$A:$A,"&gt;="&amp;$A6,monthly!$B:$B,"&lt;="&amp;$B6))</f>
        <v>NA</v>
      </c>
      <c r="T6">
        <f>IF(COUNTIFS(monthly!L:L,"",monthly!$A:$A,"&gt;="&amp;$A6,monthly!$B:$B,"&lt;="&amp;$B6)&gt;0,"NA",AVERAGEIFS(monthly!L:L,monthly!$A:$A,"&gt;="&amp;$A6,monthly!$B:$B,"&lt;="&amp;$B6))</f>
        <v>3.9314861751152064</v>
      </c>
      <c r="U6" t="str">
        <f>IF(COUNTIFS(monthly!M:M,"",monthly!$A:$A,"&gt;="&amp;$A6,monthly!$B:$B,"&lt;="&amp;$B6)&gt;0,"NA",AVERAGEIFS(monthly!M:M,monthly!$A:$A,"&gt;="&amp;$A6,monthly!$B:$B,"&lt;="&amp;$B6))</f>
        <v>NA</v>
      </c>
      <c r="V6" t="str">
        <f>IF(COUNTIFS(monthly!N:N,"",monthly!$A:$A,"&gt;="&amp;$A6,monthly!$B:$B,"&lt;="&amp;$B6)&gt;0,"NA",AVERAGEIFS(monthly!N:N,monthly!$A:$A,"&gt;="&amp;$A6,monthly!$B:$B,"&lt;="&amp;$B6))</f>
        <v>NA</v>
      </c>
      <c r="W6" t="str">
        <f>IF(COUNTIFS(monthly!O:O,"",monthly!$A:$A,"&gt;="&amp;$A6,monthly!$B:$B,"&lt;="&amp;$B6)&gt;0,"NA",AVERAGEIFS(monthly!O:O,monthly!$A:$A,"&gt;="&amp;$A6,monthly!$B:$B,"&lt;="&amp;$B6))</f>
        <v>NA</v>
      </c>
      <c r="X6" t="str">
        <f>IF(COUNTIFS(monthly!P:P,"",monthly!$A:$A,"&gt;="&amp;$A6,monthly!$B:$B,"&lt;="&amp;$B6)&gt;0,"NA",AVERAGEIFS(monthly!P:P,monthly!$A:$A,"&gt;="&amp;$A6,monthly!$B:$B,"&lt;="&amp;$B6))</f>
        <v>NA</v>
      </c>
      <c r="Y6">
        <f>IF(COUNTIFS(monthly!Q:Q,"",monthly!$A:$A,"&gt;="&amp;$A6,monthly!$B:$B,"&lt;="&amp;$B6)&gt;0,"NA",AVERAGEIFS(monthly!Q:Q,monthly!$A:$A,"&gt;="&amp;$A6,monthly!$B:$B,"&lt;="&amp;$B6))</f>
        <v>6.85</v>
      </c>
      <c r="Z6">
        <f>IF(COUNTIFS(monthly!R:R,"",monthly!$A:$A,"&gt;="&amp;$A6,monthly!$B:$B,"&lt;="&amp;$B6)&gt;0,"NA",AVERAGEIFS(monthly!R:R,monthly!$A:$A,"&gt;="&amp;$A6,monthly!$B:$B,"&lt;="&amp;$B6))</f>
        <v>6.175361111111112</v>
      </c>
      <c r="AA6">
        <f>IF(COUNTIFS(monthly!S:S,"",monthly!$A:$A,"&gt;="&amp;$A6,monthly!$B:$B,"&lt;="&amp;$B6)&gt;0,"NA",AVERAGEIFS(monthly!S:S,monthly!$A:$A,"&gt;="&amp;$A6,monthly!$B:$B,"&lt;="&amp;$B6))</f>
        <v>0.67463888888888768</v>
      </c>
      <c r="AB6" t="str">
        <f>IF(COUNTIFS(monthly!T:T,"",monthly!$A:$A,"&gt;="&amp;$A6,monthly!$B:$B,"&lt;="&amp;$B6)&gt;0,"NA",AVERAGEIFS(monthly!T:T,monthly!$A:$A,"&gt;="&amp;$A6,monthly!$B:$B,"&lt;="&amp;$B6))</f>
        <v>NA</v>
      </c>
      <c r="AC6" t="str">
        <f>IF(COUNTIFS(monthly!U:U,"",monthly!$A:$A,"&gt;="&amp;$A6,monthly!$B:$B,"&lt;="&amp;$B6)&gt;0,"NA",AVERAGEIFS(monthly!U:U,monthly!$A:$A,"&gt;="&amp;$A6,monthly!$B:$B,"&lt;="&amp;$B6))</f>
        <v>NA</v>
      </c>
      <c r="AD6" t="str">
        <f>IF(COUNTIFS(monthly!V:V,"",monthly!$A:$A,"&gt;="&amp;$A6,monthly!$B:$B,"&lt;="&amp;$B6)&gt;0,"NA",AVERAGEIFS(monthly!V:V,monthly!$A:$A,"&gt;="&amp;$A6,monthly!$B:$B,"&lt;="&amp;$B6))</f>
        <v>NA</v>
      </c>
      <c r="AE6" t="str">
        <f>IF(COUNTIFS(monthly!W:W,"",monthly!$A:$A,"&gt;="&amp;$A6,monthly!$B:$B,"&lt;="&amp;$B6)&gt;0,"NA",AVERAGEIFS(monthly!W:W,monthly!$A:$A,"&gt;="&amp;$A6,monthly!$B:$B,"&lt;="&amp;$B6))</f>
        <v>NA</v>
      </c>
      <c r="AF6" t="str">
        <f>IF(COUNTIFS(monthly!X:X,"",monthly!$A:$A,"&gt;="&amp;$A6,monthly!$B:$B,"&lt;="&amp;$B6)&gt;0,"NA",AVERAGEIFS(monthly!X:X,monthly!$A:$A,"&gt;="&amp;$A6,monthly!$B:$B,"&lt;="&amp;$B6))</f>
        <v>NA</v>
      </c>
      <c r="AG6" t="str">
        <f>IF(COUNTIFS(monthly!Y:Y,"",monthly!$A:$A,"&gt;="&amp;$A6,monthly!$B:$B,"&lt;="&amp;$B6)&gt;0,"NA",AVERAGEIFS(monthly!Y:Y,monthly!$A:$A,"&gt;="&amp;$A6,monthly!$B:$B,"&lt;="&amp;$B6))</f>
        <v>NA</v>
      </c>
      <c r="AH6" t="str">
        <f>IF(COUNTIFS(monthly!Z:Z,"",monthly!$A:$A,"&gt;="&amp;$A6,monthly!$B:$B,"&lt;="&amp;$B6)&gt;0,"NA",AVERAGEIFS(monthly!Z:Z,monthly!$A:$A,"&gt;="&amp;$A6,monthly!$B:$B,"&lt;="&amp;$B6))</f>
        <v>NA</v>
      </c>
    </row>
    <row r="7" spans="1:34" x14ac:dyDescent="0.2">
      <c r="A7" s="1">
        <v>26024</v>
      </c>
      <c r="B7" s="1">
        <v>26114</v>
      </c>
      <c r="C7">
        <f>IF(ISBLANK(VLOOKUP($A7,quarterly_data,MATCH(C$1,quarterly!$1:$1,FALSE),FALSE)),"NA",VLOOKUP($A7,quarterly_data,MATCH(C$1,quarterly!$1:$1,FALSE),FALSE))</f>
        <v>147.05387698514954</v>
      </c>
      <c r="D7">
        <f>IF(ISBLANK(VLOOKUP($A7,quarterly_data,MATCH(D$1,quarterly!$1:$1,FALSE),FALSE)),"NA",VLOOKUP($A7,quarterly_data,MATCH(D$1,quarterly!$1:$1,FALSE),FALSE))</f>
        <v>54.7</v>
      </c>
      <c r="E7">
        <f>IF(ISBLANK(VLOOKUP($A7,quarterly_data,MATCH(E$1,quarterly!$1:$1,FALSE),FALSE)),"NA",VLOOKUP($A7,quarterly_data,MATCH(E$1,quarterly!$1:$1,FALSE),FALSE))</f>
        <v>0</v>
      </c>
      <c r="F7">
        <f>IF(ISBLANK(VLOOKUP($A7,quarterly_data,MATCH(F$1,quarterly!$1:$1,FALSE),FALSE)),"NA",VLOOKUP($A7,quarterly_data,MATCH(F$1,quarterly!$1:$1,FALSE),FALSE))</f>
        <v>7.7685199999999996E-2</v>
      </c>
      <c r="G7">
        <f>IF(ISBLANK(VLOOKUP($A7,quarterly_data,MATCH(G$1,quarterly!$1:$1,FALSE),FALSE)),"NA",VLOOKUP($A7,quarterly_data,MATCH(G$1,quarterly!$1:$1,FALSE),FALSE))</f>
        <v>5473.0590000000002</v>
      </c>
      <c r="H7">
        <f>IF(ISBLANK(VLOOKUP($A7,quarterly_data,MATCH(H$1,quarterly!$1:$1,FALSE),FALSE)),"NA",VLOOKUP($A7,quarterly_data,MATCH(H$1,quarterly!$1:$1,FALSE),FALSE))</f>
        <v>141684</v>
      </c>
      <c r="I7" t="str">
        <f>IF(ISBLANK(VLOOKUP($A7,quarterly_data,MATCH(I$1,quarterly!$1:$1,FALSE),FALSE)),"NA",VLOOKUP($A7,quarterly_data,MATCH(I$1,quarterly!$1:$1,FALSE),FALSE))</f>
        <v>NA</v>
      </c>
      <c r="J7">
        <f>IF(ISBLANK(VLOOKUP($A7,quarterly_data,MATCH(J$1,quarterly!$1:$1,FALSE),FALSE)),"NA",VLOOKUP($A7,quarterly_data,MATCH(J$1,quarterly!$1:$1,FALSE),FALSE))</f>
        <v>7.11</v>
      </c>
      <c r="K7">
        <f>IF(COUNTIFS(monthly!C:C,"",monthly!$A:$A,"&gt;="&amp;$A7,monthly!$B:$B,"&lt;="&amp;$B7)&gt;0,"NA",AVERAGEIFS(monthly!C:C,monthly!$A:$A,"&gt;="&amp;$A7,monthly!$B:$B,"&lt;="&amp;$B7))</f>
        <v>99.866666666666674</v>
      </c>
      <c r="L7">
        <f>IF(COUNTIFS(monthly!D:D,"",monthly!$A:$A,"&gt;="&amp;$A7,monthly!$B:$B,"&lt;="&amp;$B7)&gt;0,"NA",AVERAGEIFS(monthly!D:D,monthly!$A:$A,"&gt;="&amp;$A7,monthly!$B:$B,"&lt;="&amp;$B7))</f>
        <v>1.1264666666666667</v>
      </c>
      <c r="M7" t="str">
        <f>IF(COUNTIFS(monthly!E:E,"",monthly!$A:$A,"&gt;="&amp;$A7,monthly!$B:$B,"&lt;="&amp;$B7)&gt;0,"NA",AVERAGEIFS(monthly!E:E,monthly!$A:$A,"&gt;="&amp;$A7,monthly!$B:$B,"&lt;="&amp;$B7))</f>
        <v>NA</v>
      </c>
      <c r="N7" t="str">
        <f>IF(COUNTIFS(monthly!F:F,"",monthly!$A:$A,"&gt;="&amp;$A7,monthly!$B:$B,"&lt;="&amp;$B7)&gt;0,"NA",AVERAGEIFS(monthly!F:F,monthly!$A:$A,"&gt;="&amp;$A7,monthly!$B:$B,"&lt;="&amp;$B7))</f>
        <v>NA</v>
      </c>
      <c r="O7">
        <f>IF(COUNTIFS(monthly!G:G,"",monthly!$A:$A,"&gt;="&amp;$A7,monthly!$B:$B,"&lt;="&amp;$B7)&gt;0,"NA",AVERAGEIFS(monthly!G:G,monthly!$A:$A,"&gt;="&amp;$A7,monthly!$B:$B,"&lt;="&amp;$B7))</f>
        <v>10.3</v>
      </c>
      <c r="P7">
        <f>IF(COUNTIFS(monthly!H:H,"",monthly!$A:$A,"&gt;="&amp;$A7,monthly!$B:$B,"&lt;="&amp;$B7)&gt;0,"NA",AVERAGEIFS(monthly!H:H,monthly!$A:$A,"&gt;="&amp;$A7,monthly!$B:$B,"&lt;="&amp;$B7))</f>
        <v>8.6999999999999993</v>
      </c>
      <c r="Q7">
        <f>IF(COUNTIFS(monthly!I:I,"",monthly!$A:$A,"&gt;="&amp;$A7,monthly!$B:$B,"&lt;="&amp;$B7)&gt;0,"NA",AVERAGEIFS(monthly!I:I,monthly!$A:$A,"&gt;="&amp;$A7,monthly!$B:$B,"&lt;="&amp;$B7))</f>
        <v>1.6000000000000003</v>
      </c>
      <c r="R7" t="str">
        <f>IF(COUNTIFS(monthly!J:J,"",monthly!$A:$A,"&gt;="&amp;$A7,monthly!$B:$B,"&lt;="&amp;$B7)&gt;0,"NA",AVERAGEIFS(monthly!J:J,monthly!$A:$A,"&gt;="&amp;$A7,monthly!$B:$B,"&lt;="&amp;$B7))</f>
        <v>NA</v>
      </c>
      <c r="S7" t="str">
        <f>IF(COUNTIFS(monthly!K:K,"",monthly!$A:$A,"&gt;="&amp;$A7,monthly!$B:$B,"&lt;="&amp;$B7)&gt;0,"NA",AVERAGEIFS(monthly!K:K,monthly!$A:$A,"&gt;="&amp;$A7,monthly!$B:$B,"&lt;="&amp;$B7))</f>
        <v>NA</v>
      </c>
      <c r="T7">
        <f>IF(COUNTIFS(monthly!L:L,"",monthly!$A:$A,"&gt;="&amp;$A7,monthly!$B:$B,"&lt;="&amp;$B7)&gt;0,"NA",AVERAGEIFS(monthly!L:L,monthly!$A:$A,"&gt;="&amp;$A7,monthly!$B:$B,"&lt;="&amp;$B7))</f>
        <v>4.5665304659498203</v>
      </c>
      <c r="U7" t="str">
        <f>IF(COUNTIFS(monthly!M:M,"",monthly!$A:$A,"&gt;="&amp;$A7,monthly!$B:$B,"&lt;="&amp;$B7)&gt;0,"NA",AVERAGEIFS(monthly!M:M,monthly!$A:$A,"&gt;="&amp;$A7,monthly!$B:$B,"&lt;="&amp;$B7))</f>
        <v>NA</v>
      </c>
      <c r="V7" t="str">
        <f>IF(COUNTIFS(monthly!N:N,"",monthly!$A:$A,"&gt;="&amp;$A7,monthly!$B:$B,"&lt;="&amp;$B7)&gt;0,"NA",AVERAGEIFS(monthly!N:N,monthly!$A:$A,"&gt;="&amp;$A7,monthly!$B:$B,"&lt;="&amp;$B7))</f>
        <v>NA</v>
      </c>
      <c r="W7" t="str">
        <f>IF(COUNTIFS(monthly!O:O,"",monthly!$A:$A,"&gt;="&amp;$A7,monthly!$B:$B,"&lt;="&amp;$B7)&gt;0,"NA",AVERAGEIFS(monthly!O:O,monthly!$A:$A,"&gt;="&amp;$A7,monthly!$B:$B,"&lt;="&amp;$B7))</f>
        <v>NA</v>
      </c>
      <c r="X7" t="str">
        <f>IF(COUNTIFS(monthly!P:P,"",monthly!$A:$A,"&gt;="&amp;$A7,monthly!$B:$B,"&lt;="&amp;$B7)&gt;0,"NA",AVERAGEIFS(monthly!P:P,monthly!$A:$A,"&gt;="&amp;$A7,monthly!$B:$B,"&lt;="&amp;$B7))</f>
        <v>NA</v>
      </c>
      <c r="Y7">
        <f>IF(COUNTIFS(monthly!Q:Q,"",monthly!$A:$A,"&gt;="&amp;$A7,monthly!$B:$B,"&lt;="&amp;$B7)&gt;0,"NA",AVERAGEIFS(monthly!Q:Q,monthly!$A:$A,"&gt;="&amp;$A7,monthly!$B:$B,"&lt;="&amp;$B7))</f>
        <v>6.833333333333333</v>
      </c>
      <c r="Z7">
        <f>IF(COUNTIFS(monthly!R:R,"",monthly!$A:$A,"&gt;="&amp;$A7,monthly!$B:$B,"&lt;="&amp;$B7)&gt;0,"NA",AVERAGEIFS(monthly!R:R,monthly!$A:$A,"&gt;="&amp;$A7,monthly!$B:$B,"&lt;="&amp;$B7))</f>
        <v>6.2495274170274158</v>
      </c>
      <c r="AA7">
        <f>IF(COUNTIFS(monthly!S:S,"",monthly!$A:$A,"&gt;="&amp;$A7,monthly!$B:$B,"&lt;="&amp;$B7)&gt;0,"NA",AVERAGEIFS(monthly!S:S,monthly!$A:$A,"&gt;="&amp;$A7,monthly!$B:$B,"&lt;="&amp;$B7))</f>
        <v>0.58380591630591694</v>
      </c>
      <c r="AB7" t="str">
        <f>IF(COUNTIFS(monthly!T:T,"",monthly!$A:$A,"&gt;="&amp;$A7,monthly!$B:$B,"&lt;="&amp;$B7)&gt;0,"NA",AVERAGEIFS(monthly!T:T,monthly!$A:$A,"&gt;="&amp;$A7,monthly!$B:$B,"&lt;="&amp;$B7))</f>
        <v>NA</v>
      </c>
      <c r="AC7" t="str">
        <f>IF(COUNTIFS(monthly!U:U,"",monthly!$A:$A,"&gt;="&amp;$A7,monthly!$B:$B,"&lt;="&amp;$B7)&gt;0,"NA",AVERAGEIFS(monthly!U:U,monthly!$A:$A,"&gt;="&amp;$A7,monthly!$B:$B,"&lt;="&amp;$B7))</f>
        <v>NA</v>
      </c>
      <c r="AD7" t="str">
        <f>IF(COUNTIFS(monthly!V:V,"",monthly!$A:$A,"&gt;="&amp;$A7,monthly!$B:$B,"&lt;="&amp;$B7)&gt;0,"NA",AVERAGEIFS(monthly!V:V,monthly!$A:$A,"&gt;="&amp;$A7,monthly!$B:$B,"&lt;="&amp;$B7))</f>
        <v>NA</v>
      </c>
      <c r="AE7" t="str">
        <f>IF(COUNTIFS(monthly!W:W,"",monthly!$A:$A,"&gt;="&amp;$A7,monthly!$B:$B,"&lt;="&amp;$B7)&gt;0,"NA",AVERAGEIFS(monthly!W:W,monthly!$A:$A,"&gt;="&amp;$A7,monthly!$B:$B,"&lt;="&amp;$B7))</f>
        <v>NA</v>
      </c>
      <c r="AF7" t="str">
        <f>IF(COUNTIFS(monthly!X:X,"",monthly!$A:$A,"&gt;="&amp;$A7,monthly!$B:$B,"&lt;="&amp;$B7)&gt;0,"NA",AVERAGEIFS(monthly!X:X,monthly!$A:$A,"&gt;="&amp;$A7,monthly!$B:$B,"&lt;="&amp;$B7))</f>
        <v>NA</v>
      </c>
      <c r="AG7" t="str">
        <f>IF(COUNTIFS(monthly!Y:Y,"",monthly!$A:$A,"&gt;="&amp;$A7,monthly!$B:$B,"&lt;="&amp;$B7)&gt;0,"NA",AVERAGEIFS(monthly!Y:Y,monthly!$A:$A,"&gt;="&amp;$A7,monthly!$B:$B,"&lt;="&amp;$B7))</f>
        <v>NA</v>
      </c>
      <c r="AH7" t="str">
        <f>IF(COUNTIFS(monthly!Z:Z,"",monthly!$A:$A,"&gt;="&amp;$A7,monthly!$B:$B,"&lt;="&amp;$B7)&gt;0,"NA",AVERAGEIFS(monthly!Z:Z,monthly!$A:$A,"&gt;="&amp;$A7,monthly!$B:$B,"&lt;="&amp;$B7))</f>
        <v>NA</v>
      </c>
    </row>
    <row r="8" spans="1:34" x14ac:dyDescent="0.2">
      <c r="A8" s="1">
        <v>26115</v>
      </c>
      <c r="B8" s="1">
        <v>26206</v>
      </c>
      <c r="C8">
        <f>IF(ISBLANK(VLOOKUP($A8,quarterly_data,MATCH(C$1,quarterly!$1:$1,FALSE),FALSE)),"NA",VLOOKUP($A8,quarterly_data,MATCH(C$1,quarterly!$1:$1,FALSE),FALSE))</f>
        <v>146.56490818769925</v>
      </c>
      <c r="D8">
        <f>IF(ISBLANK(VLOOKUP($A8,quarterly_data,MATCH(D$1,quarterly!$1:$1,FALSE),FALSE)),"NA",VLOOKUP($A8,quarterly_data,MATCH(D$1,quarterly!$1:$1,FALSE),FALSE))</f>
        <v>55.5</v>
      </c>
      <c r="E8">
        <f>IF(ISBLANK(VLOOKUP($A8,quarterly_data,MATCH(E$1,quarterly!$1:$1,FALSE),FALSE)),"NA",VLOOKUP($A8,quarterly_data,MATCH(E$1,quarterly!$1:$1,FALSE),FALSE))</f>
        <v>0.33734399999999998</v>
      </c>
      <c r="F8">
        <f>IF(ISBLANK(VLOOKUP($A8,quarterly_data,MATCH(F$1,quarterly!$1:$1,FALSE),FALSE)),"NA",VLOOKUP($A8,quarterly_data,MATCH(F$1,quarterly!$1:$1,FALSE),FALSE))</f>
        <v>8.93124E-2</v>
      </c>
      <c r="G8">
        <f>IF(ISBLANK(VLOOKUP($A8,quarterly_data,MATCH(G$1,quarterly!$1:$1,FALSE),FALSE)),"NA",VLOOKUP($A8,quarterly_data,MATCH(G$1,quarterly!$1:$1,FALSE),FALSE))</f>
        <v>5518.0720000000001</v>
      </c>
      <c r="H8">
        <f>IF(ISBLANK(VLOOKUP($A8,quarterly_data,MATCH(H$1,quarterly!$1:$1,FALSE),FALSE)),"NA",VLOOKUP($A8,quarterly_data,MATCH(H$1,quarterly!$1:$1,FALSE),FALSE))</f>
        <v>146097</v>
      </c>
      <c r="I8" t="str">
        <f>IF(ISBLANK(VLOOKUP($A8,quarterly_data,MATCH(I$1,quarterly!$1:$1,FALSE),FALSE)),"NA",VLOOKUP($A8,quarterly_data,MATCH(I$1,quarterly!$1:$1,FALSE),FALSE))</f>
        <v>NA</v>
      </c>
      <c r="J8">
        <f>IF(ISBLANK(VLOOKUP($A8,quarterly_data,MATCH(J$1,quarterly!$1:$1,FALSE),FALSE)),"NA",VLOOKUP($A8,quarterly_data,MATCH(J$1,quarterly!$1:$1,FALSE),FALSE))</f>
        <v>7.27</v>
      </c>
      <c r="K8">
        <f>IF(COUNTIFS(monthly!C:C,"",monthly!$A:$A,"&gt;="&amp;$A8,monthly!$B:$B,"&lt;="&amp;$B8)&gt;0,"NA",AVERAGEIFS(monthly!C:C,monthly!$A:$A,"&gt;="&amp;$A8,monthly!$B:$B,"&lt;="&amp;$B8))</f>
        <v>99.600000000000009</v>
      </c>
      <c r="L8">
        <f>IF(COUNTIFS(monthly!D:D,"",monthly!$A:$A,"&gt;="&amp;$A8,monthly!$B:$B,"&lt;="&amp;$B8)&gt;0,"NA",AVERAGEIFS(monthly!D:D,monthly!$A:$A,"&gt;="&amp;$A8,monthly!$B:$B,"&lt;="&amp;$B8))</f>
        <v>1.1440333333333335</v>
      </c>
      <c r="M8" t="str">
        <f>IF(COUNTIFS(monthly!E:E,"",monthly!$A:$A,"&gt;="&amp;$A8,monthly!$B:$B,"&lt;="&amp;$B8)&gt;0,"NA",AVERAGEIFS(monthly!E:E,monthly!$A:$A,"&gt;="&amp;$A8,monthly!$B:$B,"&lt;="&amp;$B8))</f>
        <v>NA</v>
      </c>
      <c r="N8" t="str">
        <f>IF(COUNTIFS(monthly!F:F,"",monthly!$A:$A,"&gt;="&amp;$A8,monthly!$B:$B,"&lt;="&amp;$B8)&gt;0,"NA",AVERAGEIFS(monthly!F:F,monthly!$A:$A,"&gt;="&amp;$A8,monthly!$B:$B,"&lt;="&amp;$B8))</f>
        <v>NA</v>
      </c>
      <c r="O8">
        <f>IF(COUNTIFS(monthly!G:G,"",monthly!$A:$A,"&gt;="&amp;$A8,monthly!$B:$B,"&lt;="&amp;$B8)&gt;0,"NA",AVERAGEIFS(monthly!G:G,monthly!$A:$A,"&gt;="&amp;$A8,monthly!$B:$B,"&lt;="&amp;$B8))</f>
        <v>10.3</v>
      </c>
      <c r="P8">
        <f>IF(COUNTIFS(monthly!H:H,"",monthly!$A:$A,"&gt;="&amp;$A8,monthly!$B:$B,"&lt;="&amp;$B8)&gt;0,"NA",AVERAGEIFS(monthly!H:H,monthly!$A:$A,"&gt;="&amp;$A8,monthly!$B:$B,"&lt;="&amp;$B8))</f>
        <v>8.6999999999999993</v>
      </c>
      <c r="Q8">
        <f>IF(COUNTIFS(monthly!I:I,"",monthly!$A:$A,"&gt;="&amp;$A8,monthly!$B:$B,"&lt;="&amp;$B8)&gt;0,"NA",AVERAGEIFS(monthly!I:I,monthly!$A:$A,"&gt;="&amp;$A8,monthly!$B:$B,"&lt;="&amp;$B8))</f>
        <v>1.7</v>
      </c>
      <c r="R8" t="str">
        <f>IF(COUNTIFS(monthly!J:J,"",monthly!$A:$A,"&gt;="&amp;$A8,monthly!$B:$B,"&lt;="&amp;$B8)&gt;0,"NA",AVERAGEIFS(monthly!J:J,monthly!$A:$A,"&gt;="&amp;$A8,monthly!$B:$B,"&lt;="&amp;$B8))</f>
        <v>NA</v>
      </c>
      <c r="S8" t="str">
        <f>IF(COUNTIFS(monthly!K:K,"",monthly!$A:$A,"&gt;="&amp;$A8,monthly!$B:$B,"&lt;="&amp;$B8)&gt;0,"NA",AVERAGEIFS(monthly!K:K,monthly!$A:$A,"&gt;="&amp;$A8,monthly!$B:$B,"&lt;="&amp;$B8))</f>
        <v>NA</v>
      </c>
      <c r="T8">
        <f>IF(COUNTIFS(monthly!L:L,"",monthly!$A:$A,"&gt;="&amp;$A8,monthly!$B:$B,"&lt;="&amp;$B8)&gt;0,"NA",AVERAGEIFS(monthly!L:L,monthly!$A:$A,"&gt;="&amp;$A8,monthly!$B:$B,"&lt;="&amp;$B8))</f>
        <v>5.4763835125448024</v>
      </c>
      <c r="U8" t="str">
        <f>IF(COUNTIFS(monthly!M:M,"",monthly!$A:$A,"&gt;="&amp;$A8,monthly!$B:$B,"&lt;="&amp;$B8)&gt;0,"NA",AVERAGEIFS(monthly!M:M,monthly!$A:$A,"&gt;="&amp;$A8,monthly!$B:$B,"&lt;="&amp;$B8))</f>
        <v>NA</v>
      </c>
      <c r="V8" t="str">
        <f>IF(COUNTIFS(monthly!N:N,"",monthly!$A:$A,"&gt;="&amp;$A8,monthly!$B:$B,"&lt;="&amp;$B8)&gt;0,"NA",AVERAGEIFS(monthly!N:N,monthly!$A:$A,"&gt;="&amp;$A8,monthly!$B:$B,"&lt;="&amp;$B8))</f>
        <v>NA</v>
      </c>
      <c r="W8" t="str">
        <f>IF(COUNTIFS(monthly!O:O,"",monthly!$A:$A,"&gt;="&amp;$A8,monthly!$B:$B,"&lt;="&amp;$B8)&gt;0,"NA",AVERAGEIFS(monthly!O:O,monthly!$A:$A,"&gt;="&amp;$A8,monthly!$B:$B,"&lt;="&amp;$B8))</f>
        <v>NA</v>
      </c>
      <c r="X8" t="str">
        <f>IF(COUNTIFS(monthly!P:P,"",monthly!$A:$A,"&gt;="&amp;$A8,monthly!$B:$B,"&lt;="&amp;$B8)&gt;0,"NA",AVERAGEIFS(monthly!P:P,monthly!$A:$A,"&gt;="&amp;$A8,monthly!$B:$B,"&lt;="&amp;$B8))</f>
        <v>NA</v>
      </c>
      <c r="Y8">
        <f>IF(COUNTIFS(monthly!Q:Q,"",monthly!$A:$A,"&gt;="&amp;$A8,monthly!$B:$B,"&lt;="&amp;$B8)&gt;0,"NA",AVERAGEIFS(monthly!Q:Q,monthly!$A:$A,"&gt;="&amp;$A8,monthly!$B:$B,"&lt;="&amp;$B8))</f>
        <v>6.8033333333333337</v>
      </c>
      <c r="Z8">
        <f>IF(COUNTIFS(monthly!R:R,"",monthly!$A:$A,"&gt;="&amp;$A8,monthly!$B:$B,"&lt;="&amp;$B8)&gt;0,"NA",AVERAGEIFS(monthly!R:R,monthly!$A:$A,"&gt;="&amp;$A8,monthly!$B:$B,"&lt;="&amp;$B8))</f>
        <v>6.4839249639249656</v>
      </c>
      <c r="AA8">
        <f>IF(COUNTIFS(monthly!S:S,"",monthly!$A:$A,"&gt;="&amp;$A8,monthly!$B:$B,"&lt;="&amp;$B8)&gt;0,"NA",AVERAGEIFS(monthly!S:S,monthly!$A:$A,"&gt;="&amp;$A8,monthly!$B:$B,"&lt;="&amp;$B8))</f>
        <v>0.31940836940836892</v>
      </c>
      <c r="AB8" t="str">
        <f>IF(COUNTIFS(monthly!T:T,"",monthly!$A:$A,"&gt;="&amp;$A8,monthly!$B:$B,"&lt;="&amp;$B8)&gt;0,"NA",AVERAGEIFS(monthly!T:T,monthly!$A:$A,"&gt;="&amp;$A8,monthly!$B:$B,"&lt;="&amp;$B8))</f>
        <v>NA</v>
      </c>
      <c r="AC8" t="str">
        <f>IF(COUNTIFS(monthly!U:U,"",monthly!$A:$A,"&gt;="&amp;$A8,monthly!$B:$B,"&lt;="&amp;$B8)&gt;0,"NA",AVERAGEIFS(monthly!U:U,monthly!$A:$A,"&gt;="&amp;$A8,monthly!$B:$B,"&lt;="&amp;$B8))</f>
        <v>NA</v>
      </c>
      <c r="AD8" t="str">
        <f>IF(COUNTIFS(monthly!V:V,"",monthly!$A:$A,"&gt;="&amp;$A8,monthly!$B:$B,"&lt;="&amp;$B8)&gt;0,"NA",AVERAGEIFS(monthly!V:V,monthly!$A:$A,"&gt;="&amp;$A8,monthly!$B:$B,"&lt;="&amp;$B8))</f>
        <v>NA</v>
      </c>
      <c r="AE8" t="str">
        <f>IF(COUNTIFS(monthly!W:W,"",monthly!$A:$A,"&gt;="&amp;$A8,monthly!$B:$B,"&lt;="&amp;$B8)&gt;0,"NA",AVERAGEIFS(monthly!W:W,monthly!$A:$A,"&gt;="&amp;$A8,monthly!$B:$B,"&lt;="&amp;$B8))</f>
        <v>NA</v>
      </c>
      <c r="AF8" t="str">
        <f>IF(COUNTIFS(monthly!X:X,"",monthly!$A:$A,"&gt;="&amp;$A8,monthly!$B:$B,"&lt;="&amp;$B8)&gt;0,"NA",AVERAGEIFS(monthly!X:X,monthly!$A:$A,"&gt;="&amp;$A8,monthly!$B:$B,"&lt;="&amp;$B8))</f>
        <v>NA</v>
      </c>
      <c r="AG8" t="str">
        <f>IF(COUNTIFS(monthly!Y:Y,"",monthly!$A:$A,"&gt;="&amp;$A8,monthly!$B:$B,"&lt;="&amp;$B8)&gt;0,"NA",AVERAGEIFS(monthly!Y:Y,monthly!$A:$A,"&gt;="&amp;$A8,monthly!$B:$B,"&lt;="&amp;$B8))</f>
        <v>NA</v>
      </c>
      <c r="AH8" t="str">
        <f>IF(COUNTIFS(monthly!Z:Z,"",monthly!$A:$A,"&gt;="&amp;$A8,monthly!$B:$B,"&lt;="&amp;$B8)&gt;0,"NA",AVERAGEIFS(monthly!Z:Z,monthly!$A:$A,"&gt;="&amp;$A8,monthly!$B:$B,"&lt;="&amp;$B8))</f>
        <v>NA</v>
      </c>
    </row>
    <row r="9" spans="1:34" x14ac:dyDescent="0.2">
      <c r="A9" s="1">
        <v>26207</v>
      </c>
      <c r="B9" s="1">
        <v>26297</v>
      </c>
      <c r="C9">
        <f>IF(ISBLANK(VLOOKUP($A9,quarterly_data,MATCH(C$1,quarterly!$1:$1,FALSE),FALSE)),"NA",VLOOKUP($A9,quarterly_data,MATCH(C$1,quarterly!$1:$1,FALSE),FALSE))</f>
        <v>147.06334486549164</v>
      </c>
      <c r="D9">
        <f>IF(ISBLANK(VLOOKUP($A9,quarterly_data,MATCH(D$1,quarterly!$1:$1,FALSE),FALSE)),"NA",VLOOKUP($A9,quarterly_data,MATCH(D$1,quarterly!$1:$1,FALSE),FALSE))</f>
        <v>48.6</v>
      </c>
      <c r="E9">
        <f>IF(ISBLANK(VLOOKUP($A9,quarterly_data,MATCH(E$1,quarterly!$1:$1,FALSE),FALSE)),"NA",VLOOKUP($A9,quarterly_data,MATCH(E$1,quarterly!$1:$1,FALSE),FALSE))</f>
        <v>0.44916899999999998</v>
      </c>
      <c r="F9">
        <f>IF(ISBLANK(VLOOKUP($A9,quarterly_data,MATCH(F$1,quarterly!$1:$1,FALSE),FALSE)),"NA",VLOOKUP($A9,quarterly_data,MATCH(F$1,quarterly!$1:$1,FALSE),FALSE))</f>
        <v>0.1235682</v>
      </c>
      <c r="G9">
        <f>IF(ISBLANK(VLOOKUP($A9,quarterly_data,MATCH(G$1,quarterly!$1:$1,FALSE),FALSE)),"NA",VLOOKUP($A9,quarterly_data,MATCH(G$1,quarterly!$1:$1,FALSE),FALSE))</f>
        <v>5531.0320000000002</v>
      </c>
      <c r="H9">
        <f>IF(ISBLANK(VLOOKUP($A9,quarterly_data,MATCH(H$1,quarterly!$1:$1,FALSE),FALSE)),"NA",VLOOKUP($A9,quarterly_data,MATCH(H$1,quarterly!$1:$1,FALSE),FALSE))</f>
        <v>145625</v>
      </c>
      <c r="I9" t="str">
        <f>IF(ISBLANK(VLOOKUP($A9,quarterly_data,MATCH(I$1,quarterly!$1:$1,FALSE),FALSE)),"NA",VLOOKUP($A9,quarterly_data,MATCH(I$1,quarterly!$1:$1,FALSE),FALSE))</f>
        <v>NA</v>
      </c>
      <c r="J9">
        <f>IF(ISBLANK(VLOOKUP($A9,quarterly_data,MATCH(J$1,quarterly!$1:$1,FALSE),FALSE)),"NA",VLOOKUP($A9,quarterly_data,MATCH(J$1,quarterly!$1:$1,FALSE),FALSE))</f>
        <v>7.42</v>
      </c>
      <c r="K9">
        <f>IF(COUNTIFS(monthly!C:C,"",monthly!$A:$A,"&gt;="&amp;$A9,monthly!$B:$B,"&lt;="&amp;$B9)&gt;0,"NA",AVERAGEIFS(monthly!C:C,monthly!$A:$A,"&gt;="&amp;$A9,monthly!$B:$B,"&lt;="&amp;$B9))</f>
        <v>99.35</v>
      </c>
      <c r="L9">
        <f>IF(COUNTIFS(monthly!D:D,"",monthly!$A:$A,"&gt;="&amp;$A9,monthly!$B:$B,"&lt;="&amp;$B9)&gt;0,"NA",AVERAGEIFS(monthly!D:D,monthly!$A:$A,"&gt;="&amp;$A9,monthly!$B:$B,"&lt;="&amp;$B9))</f>
        <v>1.1614499999999999</v>
      </c>
      <c r="M9" t="str">
        <f>IF(COUNTIFS(monthly!E:E,"",monthly!$A:$A,"&gt;="&amp;$A9,monthly!$B:$B,"&lt;="&amp;$B9)&gt;0,"NA",AVERAGEIFS(monthly!E:E,monthly!$A:$A,"&gt;="&amp;$A9,monthly!$B:$B,"&lt;="&amp;$B9))</f>
        <v>NA</v>
      </c>
      <c r="N9" t="str">
        <f>IF(COUNTIFS(monthly!F:F,"",monthly!$A:$A,"&gt;="&amp;$A9,monthly!$B:$B,"&lt;="&amp;$B9)&gt;0,"NA",AVERAGEIFS(monthly!F:F,monthly!$A:$A,"&gt;="&amp;$A9,monthly!$B:$B,"&lt;="&amp;$B9))</f>
        <v>NA</v>
      </c>
      <c r="O9">
        <f>IF(COUNTIFS(monthly!G:G,"",monthly!$A:$A,"&gt;="&amp;$A9,monthly!$B:$B,"&lt;="&amp;$B9)&gt;0,"NA",AVERAGEIFS(monthly!G:G,monthly!$A:$A,"&gt;="&amp;$A9,monthly!$B:$B,"&lt;="&amp;$B9))</f>
        <v>10.3</v>
      </c>
      <c r="P9">
        <f>IF(COUNTIFS(monthly!H:H,"",monthly!$A:$A,"&gt;="&amp;$A9,monthly!$B:$B,"&lt;="&amp;$B9)&gt;0,"NA",AVERAGEIFS(monthly!H:H,monthly!$A:$A,"&gt;="&amp;$A9,monthly!$B:$B,"&lt;="&amp;$B9))</f>
        <v>8.6999999999999993</v>
      </c>
      <c r="Q9">
        <f>IF(COUNTIFS(monthly!I:I,"",monthly!$A:$A,"&gt;="&amp;$A9,monthly!$B:$B,"&lt;="&amp;$B9)&gt;0,"NA",AVERAGEIFS(monthly!I:I,monthly!$A:$A,"&gt;="&amp;$A9,monthly!$B:$B,"&lt;="&amp;$B9))</f>
        <v>1.7</v>
      </c>
      <c r="R9" t="str">
        <f>IF(COUNTIFS(monthly!J:J,"",monthly!$A:$A,"&gt;="&amp;$A9,monthly!$B:$B,"&lt;="&amp;$B9)&gt;0,"NA",AVERAGEIFS(monthly!J:J,monthly!$A:$A,"&gt;="&amp;$A9,monthly!$B:$B,"&lt;="&amp;$B9))</f>
        <v>NA</v>
      </c>
      <c r="S9" t="str">
        <f>IF(COUNTIFS(monthly!K:K,"",monthly!$A:$A,"&gt;="&amp;$A9,monthly!$B:$B,"&lt;="&amp;$B9)&gt;0,"NA",AVERAGEIFS(monthly!K:K,monthly!$A:$A,"&gt;="&amp;$A9,monthly!$B:$B,"&lt;="&amp;$B9))</f>
        <v>NA</v>
      </c>
      <c r="T9">
        <f>IF(COUNTIFS(monthly!L:L,"",monthly!$A:$A,"&gt;="&amp;$A9,monthly!$B:$B,"&lt;="&amp;$B9)&gt;0,"NA",AVERAGEIFS(monthly!L:L,monthly!$A:$A,"&gt;="&amp;$A9,monthly!$B:$B,"&lt;="&amp;$B9))</f>
        <v>5.0548440860215047</v>
      </c>
      <c r="U9" t="str">
        <f>IF(COUNTIFS(monthly!M:M,"",monthly!$A:$A,"&gt;="&amp;$A9,monthly!$B:$B,"&lt;="&amp;$B9)&gt;0,"NA",AVERAGEIFS(monthly!M:M,monthly!$A:$A,"&gt;="&amp;$A9,monthly!$B:$B,"&lt;="&amp;$B9))</f>
        <v>NA</v>
      </c>
      <c r="V9" t="str">
        <f>IF(COUNTIFS(monthly!N:N,"",monthly!$A:$A,"&gt;="&amp;$A9,monthly!$B:$B,"&lt;="&amp;$B9)&gt;0,"NA",AVERAGEIFS(monthly!N:N,monthly!$A:$A,"&gt;="&amp;$A9,monthly!$B:$B,"&lt;="&amp;$B9))</f>
        <v>NA</v>
      </c>
      <c r="W9" t="str">
        <f>IF(COUNTIFS(monthly!O:O,"",monthly!$A:$A,"&gt;="&amp;$A9,monthly!$B:$B,"&lt;="&amp;$B9)&gt;0,"NA",AVERAGEIFS(monthly!O:O,monthly!$A:$A,"&gt;="&amp;$A9,monthly!$B:$B,"&lt;="&amp;$B9))</f>
        <v>NA</v>
      </c>
      <c r="X9" t="str">
        <f>IF(COUNTIFS(monthly!P:P,"",monthly!$A:$A,"&gt;="&amp;$A9,monthly!$B:$B,"&lt;="&amp;$B9)&gt;0,"NA",AVERAGEIFS(monthly!P:P,monthly!$A:$A,"&gt;="&amp;$A9,monthly!$B:$B,"&lt;="&amp;$B9))</f>
        <v>NA</v>
      </c>
      <c r="Y9">
        <f>IF(COUNTIFS(monthly!Q:Q,"",monthly!$A:$A,"&gt;="&amp;$A9,monthly!$B:$B,"&lt;="&amp;$B9)&gt;0,"NA",AVERAGEIFS(monthly!Q:Q,monthly!$A:$A,"&gt;="&amp;$A9,monthly!$B:$B,"&lt;="&amp;$B9))</f>
        <v>6.48</v>
      </c>
      <c r="Z9">
        <f>IF(COUNTIFS(monthly!R:R,"",monthly!$A:$A,"&gt;="&amp;$A9,monthly!$B:$B,"&lt;="&amp;$B9)&gt;0,"NA",AVERAGEIFS(monthly!R:R,monthly!$A:$A,"&gt;="&amp;$A9,monthly!$B:$B,"&lt;="&amp;$B9))</f>
        <v>5.8678947368421053</v>
      </c>
      <c r="AA9">
        <f>IF(COUNTIFS(monthly!S:S,"",monthly!$A:$A,"&gt;="&amp;$A9,monthly!$B:$B,"&lt;="&amp;$B9)&gt;0,"NA",AVERAGEIFS(monthly!S:S,monthly!$A:$A,"&gt;="&amp;$A9,monthly!$B:$B,"&lt;="&amp;$B9))</f>
        <v>0.61210526315789426</v>
      </c>
      <c r="AB9" t="str">
        <f>IF(COUNTIFS(monthly!T:T,"",monthly!$A:$A,"&gt;="&amp;$A9,monthly!$B:$B,"&lt;="&amp;$B9)&gt;0,"NA",AVERAGEIFS(monthly!T:T,monthly!$A:$A,"&gt;="&amp;$A9,monthly!$B:$B,"&lt;="&amp;$B9))</f>
        <v>NA</v>
      </c>
      <c r="AC9" t="str">
        <f>IF(COUNTIFS(monthly!U:U,"",monthly!$A:$A,"&gt;="&amp;$A9,monthly!$B:$B,"&lt;="&amp;$B9)&gt;0,"NA",AVERAGEIFS(monthly!U:U,monthly!$A:$A,"&gt;="&amp;$A9,monthly!$B:$B,"&lt;="&amp;$B9))</f>
        <v>NA</v>
      </c>
      <c r="AD9" t="str">
        <f>IF(COUNTIFS(monthly!V:V,"",monthly!$A:$A,"&gt;="&amp;$A9,monthly!$B:$B,"&lt;="&amp;$B9)&gt;0,"NA",AVERAGEIFS(monthly!V:V,monthly!$A:$A,"&gt;="&amp;$A9,monthly!$B:$B,"&lt;="&amp;$B9))</f>
        <v>NA</v>
      </c>
      <c r="AE9" t="str">
        <f>IF(COUNTIFS(monthly!W:W,"",monthly!$A:$A,"&gt;="&amp;$A9,monthly!$B:$B,"&lt;="&amp;$B9)&gt;0,"NA",AVERAGEIFS(monthly!W:W,monthly!$A:$A,"&gt;="&amp;$A9,monthly!$B:$B,"&lt;="&amp;$B9))</f>
        <v>NA</v>
      </c>
      <c r="AF9" t="str">
        <f>IF(COUNTIFS(monthly!X:X,"",monthly!$A:$A,"&gt;="&amp;$A9,monthly!$B:$B,"&lt;="&amp;$B9)&gt;0,"NA",AVERAGEIFS(monthly!X:X,monthly!$A:$A,"&gt;="&amp;$A9,monthly!$B:$B,"&lt;="&amp;$B9))</f>
        <v>NA</v>
      </c>
      <c r="AG9" t="str">
        <f>IF(COUNTIFS(monthly!Y:Y,"",monthly!$A:$A,"&gt;="&amp;$A9,monthly!$B:$B,"&lt;="&amp;$B9)&gt;0,"NA",AVERAGEIFS(monthly!Y:Y,monthly!$A:$A,"&gt;="&amp;$A9,monthly!$B:$B,"&lt;="&amp;$B9))</f>
        <v>NA</v>
      </c>
      <c r="AH9" t="str">
        <f>IF(COUNTIFS(monthly!Z:Z,"",monthly!$A:$A,"&gt;="&amp;$A9,monthly!$B:$B,"&lt;="&amp;$B9)&gt;0,"NA",AVERAGEIFS(monthly!Z:Z,monthly!$A:$A,"&gt;="&amp;$A9,monthly!$B:$B,"&lt;="&amp;$B9))</f>
        <v>NA</v>
      </c>
    </row>
    <row r="10" spans="1:34" x14ac:dyDescent="0.2">
      <c r="A10" s="1">
        <v>26299</v>
      </c>
      <c r="B10" s="1">
        <v>26388</v>
      </c>
      <c r="C10">
        <f>IF(ISBLANK(VLOOKUP($A10,quarterly_data,MATCH(C$1,quarterly!$1:$1,FALSE),FALSE)),"NA",VLOOKUP($A10,quarterly_data,MATCH(C$1,quarterly!$1:$1,FALSE),FALSE))</f>
        <v>145.50562205845043</v>
      </c>
      <c r="D10">
        <f>IF(ISBLANK(VLOOKUP($A10,quarterly_data,MATCH(D$1,quarterly!$1:$1,FALSE),FALSE)),"NA",VLOOKUP($A10,quarterly_data,MATCH(D$1,quarterly!$1:$1,FALSE),FALSE))</f>
        <v>51.8</v>
      </c>
      <c r="E10">
        <f>IF(ISBLANK(VLOOKUP($A10,quarterly_data,MATCH(E$1,quarterly!$1:$1,FALSE),FALSE)),"NA",VLOOKUP($A10,quarterly_data,MATCH(E$1,quarterly!$1:$1,FALSE),FALSE))</f>
        <v>0.30490899999999999</v>
      </c>
      <c r="F10">
        <f>IF(ISBLANK(VLOOKUP($A10,quarterly_data,MATCH(F$1,quarterly!$1:$1,FALSE),FALSE)),"NA",VLOOKUP($A10,quarterly_data,MATCH(F$1,quarterly!$1:$1,FALSE),FALSE))</f>
        <v>0.1171435</v>
      </c>
      <c r="G10">
        <f>IF(ISBLANK(VLOOKUP($A10,quarterly_data,MATCH(G$1,quarterly!$1:$1,FALSE),FALSE)),"NA",VLOOKUP($A10,quarterly_data,MATCH(G$1,quarterly!$1:$1,FALSE),FALSE))</f>
        <v>5632.6490000000003</v>
      </c>
      <c r="H10">
        <f>IF(ISBLANK(VLOOKUP($A10,quarterly_data,MATCH(H$1,quarterly!$1:$1,FALSE),FALSE)),"NA",VLOOKUP($A10,quarterly_data,MATCH(H$1,quarterly!$1:$1,FALSE),FALSE))</f>
        <v>143900</v>
      </c>
      <c r="I10" t="str">
        <f>IF(ISBLANK(VLOOKUP($A10,quarterly_data,MATCH(I$1,quarterly!$1:$1,FALSE),FALSE)),"NA",VLOOKUP($A10,quarterly_data,MATCH(I$1,quarterly!$1:$1,FALSE),FALSE))</f>
        <v>NA</v>
      </c>
      <c r="J10">
        <f>IF(ISBLANK(VLOOKUP($A10,quarterly_data,MATCH(J$1,quarterly!$1:$1,FALSE),FALSE)),"NA",VLOOKUP($A10,quarterly_data,MATCH(J$1,quarterly!$1:$1,FALSE),FALSE))</f>
        <v>7.5</v>
      </c>
      <c r="K10">
        <f>IF(COUNTIFS(monthly!C:C,"",monthly!$A:$A,"&gt;="&amp;$A10,monthly!$B:$B,"&lt;="&amp;$B10)&gt;0,"NA",AVERAGEIFS(monthly!C:C,monthly!$A:$A,"&gt;="&amp;$A10,monthly!$B:$B,"&lt;="&amp;$B10))</f>
        <v>98.449999999999989</v>
      </c>
      <c r="L10">
        <f>IF(COUNTIFS(monthly!D:D,"",monthly!$A:$A,"&gt;="&amp;$A10,monthly!$B:$B,"&lt;="&amp;$B10)&gt;0,"NA",AVERAGEIFS(monthly!D:D,monthly!$A:$A,"&gt;="&amp;$A10,monthly!$B:$B,"&lt;="&amp;$B10))</f>
        <v>1.1910000000000001</v>
      </c>
      <c r="M10" t="str">
        <f>IF(COUNTIFS(monthly!E:E,"",monthly!$A:$A,"&gt;="&amp;$A10,monthly!$B:$B,"&lt;="&amp;$B10)&gt;0,"NA",AVERAGEIFS(monthly!E:E,monthly!$A:$A,"&gt;="&amp;$A10,monthly!$B:$B,"&lt;="&amp;$B10))</f>
        <v>NA</v>
      </c>
      <c r="N10" t="str">
        <f>IF(COUNTIFS(monthly!F:F,"",monthly!$A:$A,"&gt;="&amp;$A10,monthly!$B:$B,"&lt;="&amp;$B10)&gt;0,"NA",AVERAGEIFS(monthly!F:F,monthly!$A:$A,"&gt;="&amp;$A10,monthly!$B:$B,"&lt;="&amp;$B10))</f>
        <v>NA</v>
      </c>
      <c r="O10">
        <f>IF(COUNTIFS(monthly!G:G,"",monthly!$A:$A,"&gt;="&amp;$A10,monthly!$B:$B,"&lt;="&amp;$B10)&gt;0,"NA",AVERAGEIFS(monthly!G:G,monthly!$A:$A,"&gt;="&amp;$A10,monthly!$B:$B,"&lt;="&amp;$B10))</f>
        <v>10.3</v>
      </c>
      <c r="P10">
        <f>IF(COUNTIFS(monthly!H:H,"",monthly!$A:$A,"&gt;="&amp;$A10,monthly!$B:$B,"&lt;="&amp;$B10)&gt;0,"NA",AVERAGEIFS(monthly!H:H,monthly!$A:$A,"&gt;="&amp;$A10,monthly!$B:$B,"&lt;="&amp;$B10))</f>
        <v>9.6</v>
      </c>
      <c r="Q10">
        <f>IF(COUNTIFS(monthly!I:I,"",monthly!$A:$A,"&gt;="&amp;$A10,monthly!$B:$B,"&lt;="&amp;$B10)&gt;0,"NA",AVERAGEIFS(monthly!I:I,monthly!$A:$A,"&gt;="&amp;$A10,monthly!$B:$B,"&lt;="&amp;$B10))</f>
        <v>1.8</v>
      </c>
      <c r="R10" t="str">
        <f>IF(COUNTIFS(monthly!J:J,"",monthly!$A:$A,"&gt;="&amp;$A10,monthly!$B:$B,"&lt;="&amp;$B10)&gt;0,"NA",AVERAGEIFS(monthly!J:J,monthly!$A:$A,"&gt;="&amp;$A10,monthly!$B:$B,"&lt;="&amp;$B10))</f>
        <v>NA</v>
      </c>
      <c r="S10" t="str">
        <f>IF(COUNTIFS(monthly!K:K,"",monthly!$A:$A,"&gt;="&amp;$A10,monthly!$B:$B,"&lt;="&amp;$B10)&gt;0,"NA",AVERAGEIFS(monthly!K:K,monthly!$A:$A,"&gt;="&amp;$A10,monthly!$B:$B,"&lt;="&amp;$B10))</f>
        <v>NA</v>
      </c>
      <c r="T10">
        <f>IF(COUNTIFS(monthly!L:L,"",monthly!$A:$A,"&gt;="&amp;$A10,monthly!$B:$B,"&lt;="&amp;$B10)&gt;0,"NA",AVERAGEIFS(monthly!L:L,monthly!$A:$A,"&gt;="&amp;$A10,monthly!$B:$B,"&lt;="&amp;$B10))</f>
        <v>3.400661846496106</v>
      </c>
      <c r="U10" t="str">
        <f>IF(COUNTIFS(monthly!M:M,"",monthly!$A:$A,"&gt;="&amp;$A10,monthly!$B:$B,"&lt;="&amp;$B10)&gt;0,"NA",AVERAGEIFS(monthly!M:M,monthly!$A:$A,"&gt;="&amp;$A10,monthly!$B:$B,"&lt;="&amp;$B10))</f>
        <v>NA</v>
      </c>
      <c r="V10" t="str">
        <f>IF(COUNTIFS(monthly!N:N,"",monthly!$A:$A,"&gt;="&amp;$A10,monthly!$B:$B,"&lt;="&amp;$B10)&gt;0,"NA",AVERAGEIFS(monthly!N:N,monthly!$A:$A,"&gt;="&amp;$A10,monthly!$B:$B,"&lt;="&amp;$B10))</f>
        <v>NA</v>
      </c>
      <c r="W10" t="str">
        <f>IF(COUNTIFS(monthly!O:O,"",monthly!$A:$A,"&gt;="&amp;$A10,monthly!$B:$B,"&lt;="&amp;$B10)&gt;0,"NA",AVERAGEIFS(monthly!O:O,monthly!$A:$A,"&gt;="&amp;$A10,monthly!$B:$B,"&lt;="&amp;$B10))</f>
        <v>NA</v>
      </c>
      <c r="X10" t="str">
        <f>IF(COUNTIFS(monthly!P:P,"",monthly!$A:$A,"&gt;="&amp;$A10,monthly!$B:$B,"&lt;="&amp;$B10)&gt;0,"NA",AVERAGEIFS(monthly!P:P,monthly!$A:$A,"&gt;="&amp;$A10,monthly!$B:$B,"&lt;="&amp;$B10))</f>
        <v>NA</v>
      </c>
      <c r="Y10">
        <f>IF(COUNTIFS(monthly!Q:Q,"",monthly!$A:$A,"&gt;="&amp;$A10,monthly!$B:$B,"&lt;="&amp;$B10)&gt;0,"NA",AVERAGEIFS(monthly!Q:Q,monthly!$A:$A,"&gt;="&amp;$A10,monthly!$B:$B,"&lt;="&amp;$B10))</f>
        <v>5.99</v>
      </c>
      <c r="Z10">
        <f>IF(COUNTIFS(monthly!R:R,"",monthly!$A:$A,"&gt;="&amp;$A10,monthly!$B:$B,"&lt;="&amp;$B10)&gt;0,"NA",AVERAGEIFS(monthly!R:R,monthly!$A:$A,"&gt;="&amp;$A10,monthly!$B:$B,"&lt;="&amp;$B10))</f>
        <v>6.0143095238095237</v>
      </c>
      <c r="AA10">
        <f>IF(COUNTIFS(monthly!S:S,"",monthly!$A:$A,"&gt;="&amp;$A10,monthly!$B:$B,"&lt;="&amp;$B10)&gt;0,"NA",AVERAGEIFS(monthly!S:S,monthly!$A:$A,"&gt;="&amp;$A10,monthly!$B:$B,"&lt;="&amp;$B10))</f>
        <v>-2.4309523809523892E-2</v>
      </c>
      <c r="AB10" t="str">
        <f>IF(COUNTIFS(monthly!T:T,"",monthly!$A:$A,"&gt;="&amp;$A10,monthly!$B:$B,"&lt;="&amp;$B10)&gt;0,"NA",AVERAGEIFS(monthly!T:T,monthly!$A:$A,"&gt;="&amp;$A10,monthly!$B:$B,"&lt;="&amp;$B10))</f>
        <v>NA</v>
      </c>
      <c r="AC10" t="str">
        <f>IF(COUNTIFS(monthly!U:U,"",monthly!$A:$A,"&gt;="&amp;$A10,monthly!$B:$B,"&lt;="&amp;$B10)&gt;0,"NA",AVERAGEIFS(monthly!U:U,monthly!$A:$A,"&gt;="&amp;$A10,monthly!$B:$B,"&lt;="&amp;$B10))</f>
        <v>NA</v>
      </c>
      <c r="AD10" t="str">
        <f>IF(COUNTIFS(monthly!V:V,"",monthly!$A:$A,"&gt;="&amp;$A10,monthly!$B:$B,"&lt;="&amp;$B10)&gt;0,"NA",AVERAGEIFS(monthly!V:V,monthly!$A:$A,"&gt;="&amp;$A10,monthly!$B:$B,"&lt;="&amp;$B10))</f>
        <v>NA</v>
      </c>
      <c r="AE10" t="str">
        <f>IF(COUNTIFS(monthly!W:W,"",monthly!$A:$A,"&gt;="&amp;$A10,monthly!$B:$B,"&lt;="&amp;$B10)&gt;0,"NA",AVERAGEIFS(monthly!W:W,monthly!$A:$A,"&gt;="&amp;$A10,monthly!$B:$B,"&lt;="&amp;$B10))</f>
        <v>NA</v>
      </c>
      <c r="AF10" t="str">
        <f>IF(COUNTIFS(monthly!X:X,"",monthly!$A:$A,"&gt;="&amp;$A10,monthly!$B:$B,"&lt;="&amp;$B10)&gt;0,"NA",AVERAGEIFS(monthly!X:X,monthly!$A:$A,"&gt;="&amp;$A10,monthly!$B:$B,"&lt;="&amp;$B10))</f>
        <v>NA</v>
      </c>
      <c r="AG10" t="str">
        <f>IF(COUNTIFS(monthly!Y:Y,"",monthly!$A:$A,"&gt;="&amp;$A10,monthly!$B:$B,"&lt;="&amp;$B10)&gt;0,"NA",AVERAGEIFS(monthly!Y:Y,monthly!$A:$A,"&gt;="&amp;$A10,monthly!$B:$B,"&lt;="&amp;$B10))</f>
        <v>NA</v>
      </c>
      <c r="AH10" t="str">
        <f>IF(COUNTIFS(monthly!Z:Z,"",monthly!$A:$A,"&gt;="&amp;$A10,monthly!$B:$B,"&lt;="&amp;$B10)&gt;0,"NA",AVERAGEIFS(monthly!Z:Z,monthly!$A:$A,"&gt;="&amp;$A10,monthly!$B:$B,"&lt;="&amp;$B10))</f>
        <v>NA</v>
      </c>
    </row>
    <row r="11" spans="1:34" x14ac:dyDescent="0.2">
      <c r="A11" s="1">
        <v>26390</v>
      </c>
      <c r="B11" s="1">
        <v>26480</v>
      </c>
      <c r="C11">
        <f>IF(ISBLANK(VLOOKUP($A11,quarterly_data,MATCH(C$1,quarterly!$1:$1,FALSE),FALSE)),"NA",VLOOKUP($A11,quarterly_data,MATCH(C$1,quarterly!$1:$1,FALSE),FALSE))</f>
        <v>144.61214887179102</v>
      </c>
      <c r="D11">
        <f>IF(ISBLANK(VLOOKUP($A11,quarterly_data,MATCH(D$1,quarterly!$1:$1,FALSE),FALSE)),"NA",VLOOKUP($A11,quarterly_data,MATCH(D$1,quarterly!$1:$1,FALSE),FALSE))</f>
        <v>53.9</v>
      </c>
      <c r="E11">
        <f>IF(ISBLANK(VLOOKUP($A11,quarterly_data,MATCH(E$1,quarterly!$1:$1,FALSE),FALSE)),"NA",VLOOKUP($A11,quarterly_data,MATCH(E$1,quarterly!$1:$1,FALSE),FALSE))</f>
        <v>0</v>
      </c>
      <c r="F11">
        <f>IF(ISBLANK(VLOOKUP($A11,quarterly_data,MATCH(F$1,quarterly!$1:$1,FALSE),FALSE)),"NA",VLOOKUP($A11,quarterly_data,MATCH(F$1,quarterly!$1:$1,FALSE),FALSE))</f>
        <v>4.5463200000000002E-2</v>
      </c>
      <c r="G11">
        <f>IF(ISBLANK(VLOOKUP($A11,quarterly_data,MATCH(G$1,quarterly!$1:$1,FALSE),FALSE)),"NA",VLOOKUP($A11,quarterly_data,MATCH(G$1,quarterly!$1:$1,FALSE),FALSE))</f>
        <v>5760.47</v>
      </c>
      <c r="H11">
        <f>IF(ISBLANK(VLOOKUP($A11,quarterly_data,MATCH(H$1,quarterly!$1:$1,FALSE),FALSE)),"NA",VLOOKUP($A11,quarterly_data,MATCH(H$1,quarterly!$1:$1,FALSE),FALSE))</f>
        <v>147105</v>
      </c>
      <c r="I11" t="str">
        <f>IF(ISBLANK(VLOOKUP($A11,quarterly_data,MATCH(I$1,quarterly!$1:$1,FALSE),FALSE)),"NA",VLOOKUP($A11,quarterly_data,MATCH(I$1,quarterly!$1:$1,FALSE),FALSE))</f>
        <v>NA</v>
      </c>
      <c r="J11">
        <f>IF(ISBLANK(VLOOKUP($A11,quarterly_data,MATCH(J$1,quarterly!$1:$1,FALSE),FALSE)),"NA",VLOOKUP($A11,quarterly_data,MATCH(J$1,quarterly!$1:$1,FALSE),FALSE))</f>
        <v>7.58</v>
      </c>
      <c r="K11">
        <f>IF(COUNTIFS(monthly!C:C,"",monthly!$A:$A,"&gt;="&amp;$A11,monthly!$B:$B,"&lt;="&amp;$B11)&gt;0,"NA",AVERAGEIFS(monthly!C:C,monthly!$A:$A,"&gt;="&amp;$A11,monthly!$B:$B,"&lt;="&amp;$B11))</f>
        <v>98.100000000000009</v>
      </c>
      <c r="L11">
        <f>IF(COUNTIFS(monthly!D:D,"",monthly!$A:$A,"&gt;="&amp;$A11,monthly!$B:$B,"&lt;="&amp;$B11)&gt;0,"NA",AVERAGEIFS(monthly!D:D,monthly!$A:$A,"&gt;="&amp;$A11,monthly!$B:$B,"&lt;="&amp;$B11))</f>
        <v>1.1910000000000001</v>
      </c>
      <c r="M11" t="str">
        <f>IF(COUNTIFS(monthly!E:E,"",monthly!$A:$A,"&gt;="&amp;$A11,monthly!$B:$B,"&lt;="&amp;$B11)&gt;0,"NA",AVERAGEIFS(monthly!E:E,monthly!$A:$A,"&gt;="&amp;$A11,monthly!$B:$B,"&lt;="&amp;$B11))</f>
        <v>NA</v>
      </c>
      <c r="N11" t="str">
        <f>IF(COUNTIFS(monthly!F:F,"",monthly!$A:$A,"&gt;="&amp;$A11,monthly!$B:$B,"&lt;="&amp;$B11)&gt;0,"NA",AVERAGEIFS(monthly!F:F,monthly!$A:$A,"&gt;="&amp;$A11,monthly!$B:$B,"&lt;="&amp;$B11))</f>
        <v>NA</v>
      </c>
      <c r="O11">
        <f>IF(COUNTIFS(monthly!G:G,"",monthly!$A:$A,"&gt;="&amp;$A11,monthly!$B:$B,"&lt;="&amp;$B11)&gt;0,"NA",AVERAGEIFS(monthly!G:G,monthly!$A:$A,"&gt;="&amp;$A11,monthly!$B:$B,"&lt;="&amp;$B11))</f>
        <v>10.3</v>
      </c>
      <c r="P11">
        <f>IF(COUNTIFS(monthly!H:H,"",monthly!$A:$A,"&gt;="&amp;$A11,monthly!$B:$B,"&lt;="&amp;$B11)&gt;0,"NA",AVERAGEIFS(monthly!H:H,monthly!$A:$A,"&gt;="&amp;$A11,monthly!$B:$B,"&lt;="&amp;$B11))</f>
        <v>9.6</v>
      </c>
      <c r="Q11">
        <f>IF(COUNTIFS(monthly!I:I,"",monthly!$A:$A,"&gt;="&amp;$A11,monthly!$B:$B,"&lt;="&amp;$B11)&gt;0,"NA",AVERAGEIFS(monthly!I:I,monthly!$A:$A,"&gt;="&amp;$A11,monthly!$B:$B,"&lt;="&amp;$B11))</f>
        <v>1.8</v>
      </c>
      <c r="R11" t="str">
        <f>IF(COUNTIFS(monthly!J:J,"",monthly!$A:$A,"&gt;="&amp;$A11,monthly!$B:$B,"&lt;="&amp;$B11)&gt;0,"NA",AVERAGEIFS(monthly!J:J,monthly!$A:$A,"&gt;="&amp;$A11,monthly!$B:$B,"&lt;="&amp;$B11))</f>
        <v>NA</v>
      </c>
      <c r="S11" t="str">
        <f>IF(COUNTIFS(monthly!K:K,"",monthly!$A:$A,"&gt;="&amp;$A11,monthly!$B:$B,"&lt;="&amp;$B11)&gt;0,"NA",AVERAGEIFS(monthly!K:K,monthly!$A:$A,"&gt;="&amp;$A11,monthly!$B:$B,"&lt;="&amp;$B11))</f>
        <v>NA</v>
      </c>
      <c r="T11">
        <f>IF(COUNTIFS(monthly!L:L,"",monthly!$A:$A,"&gt;="&amp;$A11,monthly!$B:$B,"&lt;="&amp;$B11)&gt;0,"NA",AVERAGEIFS(monthly!L:L,monthly!$A:$A,"&gt;="&amp;$A11,monthly!$B:$B,"&lt;="&amp;$B11))</f>
        <v>4.3017813620071683</v>
      </c>
      <c r="U11" t="str">
        <f>IF(COUNTIFS(monthly!M:M,"",monthly!$A:$A,"&gt;="&amp;$A11,monthly!$B:$B,"&lt;="&amp;$B11)&gt;0,"NA",AVERAGEIFS(monthly!M:M,monthly!$A:$A,"&gt;="&amp;$A11,monthly!$B:$B,"&lt;="&amp;$B11))</f>
        <v>NA</v>
      </c>
      <c r="V11" t="str">
        <f>IF(COUNTIFS(monthly!N:N,"",monthly!$A:$A,"&gt;="&amp;$A11,monthly!$B:$B,"&lt;="&amp;$B11)&gt;0,"NA",AVERAGEIFS(monthly!N:N,monthly!$A:$A,"&gt;="&amp;$A11,monthly!$B:$B,"&lt;="&amp;$B11))</f>
        <v>NA</v>
      </c>
      <c r="W11" t="str">
        <f>IF(COUNTIFS(monthly!O:O,"",monthly!$A:$A,"&gt;="&amp;$A11,monthly!$B:$B,"&lt;="&amp;$B11)&gt;0,"NA",AVERAGEIFS(monthly!O:O,monthly!$A:$A,"&gt;="&amp;$A11,monthly!$B:$B,"&lt;="&amp;$B11))</f>
        <v>NA</v>
      </c>
      <c r="X11" t="str">
        <f>IF(COUNTIFS(monthly!P:P,"",monthly!$A:$A,"&gt;="&amp;$A11,monthly!$B:$B,"&lt;="&amp;$B11)&gt;0,"NA",AVERAGEIFS(monthly!P:P,monthly!$A:$A,"&gt;="&amp;$A11,monthly!$B:$B,"&lt;="&amp;$B11))</f>
        <v>NA</v>
      </c>
      <c r="Y11">
        <f>IF(COUNTIFS(monthly!Q:Q,"",monthly!$A:$A,"&gt;="&amp;$A11,monthly!$B:$B,"&lt;="&amp;$B11)&gt;0,"NA",AVERAGEIFS(monthly!Q:Q,monthly!$A:$A,"&gt;="&amp;$A11,monthly!$B:$B,"&lt;="&amp;$B11))</f>
        <v>5.8499999999999988</v>
      </c>
      <c r="Z11">
        <f>IF(COUNTIFS(monthly!R:R,"",monthly!$A:$A,"&gt;="&amp;$A11,monthly!$B:$B,"&lt;="&amp;$B11)&gt;0,"NA",AVERAGEIFS(monthly!R:R,monthly!$A:$A,"&gt;="&amp;$A11,monthly!$B:$B,"&lt;="&amp;$B11))</f>
        <v>6.1425606060606057</v>
      </c>
      <c r="AA11">
        <f>IF(COUNTIFS(monthly!S:S,"",monthly!$A:$A,"&gt;="&amp;$A11,monthly!$B:$B,"&lt;="&amp;$B11)&gt;0,"NA",AVERAGEIFS(monthly!S:S,monthly!$A:$A,"&gt;="&amp;$A11,monthly!$B:$B,"&lt;="&amp;$B11))</f>
        <v>-0.2925606060606058</v>
      </c>
      <c r="AB11" t="str">
        <f>IF(COUNTIFS(monthly!T:T,"",monthly!$A:$A,"&gt;="&amp;$A11,monthly!$B:$B,"&lt;="&amp;$B11)&gt;0,"NA",AVERAGEIFS(monthly!T:T,monthly!$A:$A,"&gt;="&amp;$A11,monthly!$B:$B,"&lt;="&amp;$B11))</f>
        <v>NA</v>
      </c>
      <c r="AC11" t="str">
        <f>IF(COUNTIFS(monthly!U:U,"",monthly!$A:$A,"&gt;="&amp;$A11,monthly!$B:$B,"&lt;="&amp;$B11)&gt;0,"NA",AVERAGEIFS(monthly!U:U,monthly!$A:$A,"&gt;="&amp;$A11,monthly!$B:$B,"&lt;="&amp;$B11))</f>
        <v>NA</v>
      </c>
      <c r="AD11" t="str">
        <f>IF(COUNTIFS(monthly!V:V,"",monthly!$A:$A,"&gt;="&amp;$A11,monthly!$B:$B,"&lt;="&amp;$B11)&gt;0,"NA",AVERAGEIFS(monthly!V:V,monthly!$A:$A,"&gt;="&amp;$A11,monthly!$B:$B,"&lt;="&amp;$B11))</f>
        <v>NA</v>
      </c>
      <c r="AE11" t="str">
        <f>IF(COUNTIFS(monthly!W:W,"",monthly!$A:$A,"&gt;="&amp;$A11,monthly!$B:$B,"&lt;="&amp;$B11)&gt;0,"NA",AVERAGEIFS(monthly!W:W,monthly!$A:$A,"&gt;="&amp;$A11,monthly!$B:$B,"&lt;="&amp;$B11))</f>
        <v>NA</v>
      </c>
      <c r="AF11" t="str">
        <f>IF(COUNTIFS(monthly!X:X,"",monthly!$A:$A,"&gt;="&amp;$A11,monthly!$B:$B,"&lt;="&amp;$B11)&gt;0,"NA",AVERAGEIFS(monthly!X:X,monthly!$A:$A,"&gt;="&amp;$A11,monthly!$B:$B,"&lt;="&amp;$B11))</f>
        <v>NA</v>
      </c>
      <c r="AG11" t="str">
        <f>IF(COUNTIFS(monthly!Y:Y,"",monthly!$A:$A,"&gt;="&amp;$A11,monthly!$B:$B,"&lt;="&amp;$B11)&gt;0,"NA",AVERAGEIFS(monthly!Y:Y,monthly!$A:$A,"&gt;="&amp;$A11,monthly!$B:$B,"&lt;="&amp;$B11))</f>
        <v>NA</v>
      </c>
      <c r="AH11" t="str">
        <f>IF(COUNTIFS(monthly!Z:Z,"",monthly!$A:$A,"&gt;="&amp;$A11,monthly!$B:$B,"&lt;="&amp;$B11)&gt;0,"NA",AVERAGEIFS(monthly!Z:Z,monthly!$A:$A,"&gt;="&amp;$A11,monthly!$B:$B,"&lt;="&amp;$B11))</f>
        <v>NA</v>
      </c>
    </row>
    <row r="12" spans="1:34" x14ac:dyDescent="0.2">
      <c r="A12" s="1">
        <v>26481</v>
      </c>
      <c r="B12" s="1">
        <v>26572</v>
      </c>
      <c r="C12">
        <f>IF(ISBLANK(VLOOKUP($A12,quarterly_data,MATCH(C$1,quarterly!$1:$1,FALSE),FALSE)),"NA",VLOOKUP($A12,quarterly_data,MATCH(C$1,quarterly!$1:$1,FALSE),FALSE))</f>
        <v>143.92312858915938</v>
      </c>
      <c r="D12">
        <f>IF(ISBLANK(VLOOKUP($A12,quarterly_data,MATCH(D$1,quarterly!$1:$1,FALSE),FALSE)),"NA",VLOOKUP($A12,quarterly_data,MATCH(D$1,quarterly!$1:$1,FALSE),FALSE))</f>
        <v>56.9</v>
      </c>
      <c r="E12">
        <f>IF(ISBLANK(VLOOKUP($A12,quarterly_data,MATCH(E$1,quarterly!$1:$1,FALSE),FALSE)),"NA",VLOOKUP($A12,quarterly_data,MATCH(E$1,quarterly!$1:$1,FALSE),FALSE))</f>
        <v>0.37392500000000001</v>
      </c>
      <c r="F12">
        <f>IF(ISBLANK(VLOOKUP($A12,quarterly_data,MATCH(F$1,quarterly!$1:$1,FALSE),FALSE)),"NA",VLOOKUP($A12,quarterly_data,MATCH(F$1,quarterly!$1:$1,FALSE),FALSE))</f>
        <v>8.4948599999999999E-2</v>
      </c>
      <c r="G12">
        <f>IF(ISBLANK(VLOOKUP($A12,quarterly_data,MATCH(G$1,quarterly!$1:$1,FALSE),FALSE)),"NA",VLOOKUP($A12,quarterly_data,MATCH(G$1,quarterly!$1:$1,FALSE),FALSE))</f>
        <v>5814.8540000000003</v>
      </c>
      <c r="H12">
        <f>IF(ISBLANK(VLOOKUP($A12,quarterly_data,MATCH(H$1,quarterly!$1:$1,FALSE),FALSE)),"NA",VLOOKUP($A12,quarterly_data,MATCH(H$1,quarterly!$1:$1,FALSE),FALSE))</f>
        <v>146356</v>
      </c>
      <c r="I12" t="str">
        <f>IF(ISBLANK(VLOOKUP($A12,quarterly_data,MATCH(I$1,quarterly!$1:$1,FALSE),FALSE)),"NA",VLOOKUP($A12,quarterly_data,MATCH(I$1,quarterly!$1:$1,FALSE),FALSE))</f>
        <v>NA</v>
      </c>
      <c r="J12">
        <f>IF(ISBLANK(VLOOKUP($A12,quarterly_data,MATCH(J$1,quarterly!$1:$1,FALSE),FALSE)),"NA",VLOOKUP($A12,quarterly_data,MATCH(J$1,quarterly!$1:$1,FALSE),FALSE))</f>
        <v>7.69</v>
      </c>
      <c r="K12">
        <f>IF(COUNTIFS(monthly!C:C,"",monthly!$A:$A,"&gt;="&amp;$A12,monthly!$B:$B,"&lt;="&amp;$B12)&gt;0,"NA",AVERAGEIFS(monthly!C:C,monthly!$A:$A,"&gt;="&amp;$A12,monthly!$B:$B,"&lt;="&amp;$B12))</f>
        <v>98.666666666666671</v>
      </c>
      <c r="L12">
        <f>IF(COUNTIFS(monthly!D:D,"",monthly!$A:$A,"&gt;="&amp;$A12,monthly!$B:$B,"&lt;="&amp;$B12)&gt;0,"NA",AVERAGEIFS(monthly!D:D,monthly!$A:$A,"&gt;="&amp;$A12,monthly!$B:$B,"&lt;="&amp;$B12))</f>
        <v>1.1910000000000001</v>
      </c>
      <c r="M12" t="str">
        <f>IF(COUNTIFS(monthly!E:E,"",monthly!$A:$A,"&gt;="&amp;$A12,monthly!$B:$B,"&lt;="&amp;$B12)&gt;0,"NA",AVERAGEIFS(monthly!E:E,monthly!$A:$A,"&gt;="&amp;$A12,monthly!$B:$B,"&lt;="&amp;$B12))</f>
        <v>NA</v>
      </c>
      <c r="N12" t="str">
        <f>IF(COUNTIFS(monthly!F:F,"",monthly!$A:$A,"&gt;="&amp;$A12,monthly!$B:$B,"&lt;="&amp;$B12)&gt;0,"NA",AVERAGEIFS(monthly!F:F,monthly!$A:$A,"&gt;="&amp;$A12,monthly!$B:$B,"&lt;="&amp;$B12))</f>
        <v>NA</v>
      </c>
      <c r="O12">
        <f>IF(COUNTIFS(monthly!G:G,"",monthly!$A:$A,"&gt;="&amp;$A12,monthly!$B:$B,"&lt;="&amp;$B12)&gt;0,"NA",AVERAGEIFS(monthly!G:G,monthly!$A:$A,"&gt;="&amp;$A12,monthly!$B:$B,"&lt;="&amp;$B12))</f>
        <v>10.3</v>
      </c>
      <c r="P12">
        <f>IF(COUNTIFS(monthly!H:H,"",monthly!$A:$A,"&gt;="&amp;$A12,monthly!$B:$B,"&lt;="&amp;$B12)&gt;0,"NA",AVERAGEIFS(monthly!H:H,monthly!$A:$A,"&gt;="&amp;$A12,monthly!$B:$B,"&lt;="&amp;$B12))</f>
        <v>9.6</v>
      </c>
      <c r="Q12">
        <f>IF(COUNTIFS(monthly!I:I,"",monthly!$A:$A,"&gt;="&amp;$A12,monthly!$B:$B,"&lt;="&amp;$B12)&gt;0,"NA",AVERAGEIFS(monthly!I:I,monthly!$A:$A,"&gt;="&amp;$A12,monthly!$B:$B,"&lt;="&amp;$B12))</f>
        <v>1.8999999999999997</v>
      </c>
      <c r="R12" t="str">
        <f>IF(COUNTIFS(monthly!J:J,"",monthly!$A:$A,"&gt;="&amp;$A12,monthly!$B:$B,"&lt;="&amp;$B12)&gt;0,"NA",AVERAGEIFS(monthly!J:J,monthly!$A:$A,"&gt;="&amp;$A12,monthly!$B:$B,"&lt;="&amp;$B12))</f>
        <v>NA</v>
      </c>
      <c r="S12" t="str">
        <f>IF(COUNTIFS(monthly!K:K,"",monthly!$A:$A,"&gt;="&amp;$A12,monthly!$B:$B,"&lt;="&amp;$B12)&gt;0,"NA",AVERAGEIFS(monthly!K:K,monthly!$A:$A,"&gt;="&amp;$A12,monthly!$B:$B,"&lt;="&amp;$B12))</f>
        <v>NA</v>
      </c>
      <c r="T12">
        <f>IF(COUNTIFS(monthly!L:L,"",monthly!$A:$A,"&gt;="&amp;$A12,monthly!$B:$B,"&lt;="&amp;$B12)&gt;0,"NA",AVERAGEIFS(monthly!L:L,monthly!$A:$A,"&gt;="&amp;$A12,monthly!$B:$B,"&lt;="&amp;$B12))</f>
        <v>4.7428422939068104</v>
      </c>
      <c r="U12" t="str">
        <f>IF(COUNTIFS(monthly!M:M,"",monthly!$A:$A,"&gt;="&amp;$A12,monthly!$B:$B,"&lt;="&amp;$B12)&gt;0,"NA",AVERAGEIFS(monthly!M:M,monthly!$A:$A,"&gt;="&amp;$A12,monthly!$B:$B,"&lt;="&amp;$B12))</f>
        <v>NA</v>
      </c>
      <c r="V12" t="str">
        <f>IF(COUNTIFS(monthly!N:N,"",monthly!$A:$A,"&gt;="&amp;$A12,monthly!$B:$B,"&lt;="&amp;$B12)&gt;0,"NA",AVERAGEIFS(monthly!N:N,monthly!$A:$A,"&gt;="&amp;$A12,monthly!$B:$B,"&lt;="&amp;$B12))</f>
        <v>NA</v>
      </c>
      <c r="W12" t="str">
        <f>IF(COUNTIFS(monthly!O:O,"",monthly!$A:$A,"&gt;="&amp;$A12,monthly!$B:$B,"&lt;="&amp;$B12)&gt;0,"NA",AVERAGEIFS(monthly!O:O,monthly!$A:$A,"&gt;="&amp;$A12,monthly!$B:$B,"&lt;="&amp;$B12))</f>
        <v>NA</v>
      </c>
      <c r="X12" t="str">
        <f>IF(COUNTIFS(monthly!P:P,"",monthly!$A:$A,"&gt;="&amp;$A12,monthly!$B:$B,"&lt;="&amp;$B12)&gt;0,"NA",AVERAGEIFS(monthly!P:P,monthly!$A:$A,"&gt;="&amp;$A12,monthly!$B:$B,"&lt;="&amp;$B12))</f>
        <v>NA</v>
      </c>
      <c r="Y12">
        <f>IF(COUNTIFS(monthly!Q:Q,"",monthly!$A:$A,"&gt;="&amp;$A12,monthly!$B:$B,"&lt;="&amp;$B12)&gt;0,"NA",AVERAGEIFS(monthly!Q:Q,monthly!$A:$A,"&gt;="&amp;$A12,monthly!$B:$B,"&lt;="&amp;$B12))</f>
        <v>5.7666666666666666</v>
      </c>
      <c r="Z12">
        <f>IF(COUNTIFS(monthly!R:R,"",monthly!$A:$A,"&gt;="&amp;$A12,monthly!$B:$B,"&lt;="&amp;$B12)&gt;0,"NA",AVERAGEIFS(monthly!R:R,monthly!$A:$A,"&gt;="&amp;$A12,monthly!$B:$B,"&lt;="&amp;$B12))</f>
        <v>6.290978260869565</v>
      </c>
      <c r="AA12">
        <f>IF(COUNTIFS(monthly!S:S,"",monthly!$A:$A,"&gt;="&amp;$A12,monthly!$B:$B,"&lt;="&amp;$B12)&gt;0,"NA",AVERAGEIFS(monthly!S:S,monthly!$A:$A,"&gt;="&amp;$A12,monthly!$B:$B,"&lt;="&amp;$B12))</f>
        <v>-0.52431159420289841</v>
      </c>
      <c r="AB12" t="str">
        <f>IF(COUNTIFS(monthly!T:T,"",monthly!$A:$A,"&gt;="&amp;$A12,monthly!$B:$B,"&lt;="&amp;$B12)&gt;0,"NA",AVERAGEIFS(monthly!T:T,monthly!$A:$A,"&gt;="&amp;$A12,monthly!$B:$B,"&lt;="&amp;$B12))</f>
        <v>NA</v>
      </c>
      <c r="AC12" t="str">
        <f>IF(COUNTIFS(monthly!U:U,"",monthly!$A:$A,"&gt;="&amp;$A12,monthly!$B:$B,"&lt;="&amp;$B12)&gt;0,"NA",AVERAGEIFS(monthly!U:U,monthly!$A:$A,"&gt;="&amp;$A12,monthly!$B:$B,"&lt;="&amp;$B12))</f>
        <v>NA</v>
      </c>
      <c r="AD12" t="str">
        <f>IF(COUNTIFS(monthly!V:V,"",monthly!$A:$A,"&gt;="&amp;$A12,monthly!$B:$B,"&lt;="&amp;$B12)&gt;0,"NA",AVERAGEIFS(monthly!V:V,monthly!$A:$A,"&gt;="&amp;$A12,monthly!$B:$B,"&lt;="&amp;$B12))</f>
        <v>NA</v>
      </c>
      <c r="AE12" t="str">
        <f>IF(COUNTIFS(monthly!W:W,"",monthly!$A:$A,"&gt;="&amp;$A12,monthly!$B:$B,"&lt;="&amp;$B12)&gt;0,"NA",AVERAGEIFS(monthly!W:W,monthly!$A:$A,"&gt;="&amp;$A12,monthly!$B:$B,"&lt;="&amp;$B12))</f>
        <v>NA</v>
      </c>
      <c r="AF12" t="str">
        <f>IF(COUNTIFS(monthly!X:X,"",monthly!$A:$A,"&gt;="&amp;$A12,monthly!$B:$B,"&lt;="&amp;$B12)&gt;0,"NA",AVERAGEIFS(monthly!X:X,monthly!$A:$A,"&gt;="&amp;$A12,monthly!$B:$B,"&lt;="&amp;$B12))</f>
        <v>NA</v>
      </c>
      <c r="AG12" t="str">
        <f>IF(COUNTIFS(monthly!Y:Y,"",monthly!$A:$A,"&gt;="&amp;$A12,monthly!$B:$B,"&lt;="&amp;$B12)&gt;0,"NA",AVERAGEIFS(monthly!Y:Y,monthly!$A:$A,"&gt;="&amp;$A12,monthly!$B:$B,"&lt;="&amp;$B12))</f>
        <v>NA</v>
      </c>
      <c r="AH12" t="str">
        <f>IF(COUNTIFS(monthly!Z:Z,"",monthly!$A:$A,"&gt;="&amp;$A12,monthly!$B:$B,"&lt;="&amp;$B12)&gt;0,"NA",AVERAGEIFS(monthly!Z:Z,monthly!$A:$A,"&gt;="&amp;$A12,monthly!$B:$B,"&lt;="&amp;$B12))</f>
        <v>NA</v>
      </c>
    </row>
    <row r="13" spans="1:34" x14ac:dyDescent="0.2">
      <c r="A13" s="1">
        <v>26573</v>
      </c>
      <c r="B13" s="1">
        <v>26663</v>
      </c>
      <c r="C13">
        <f>IF(ISBLANK(VLOOKUP($A13,quarterly_data,MATCH(C$1,quarterly!$1:$1,FALSE),FALSE)),"NA",VLOOKUP($A13,quarterly_data,MATCH(C$1,quarterly!$1:$1,FALSE),FALSE))</f>
        <v>144.5260591075857</v>
      </c>
      <c r="D13">
        <f>IF(ISBLANK(VLOOKUP($A13,quarterly_data,MATCH(D$1,quarterly!$1:$1,FALSE),FALSE)),"NA",VLOOKUP($A13,quarterly_data,MATCH(D$1,quarterly!$1:$1,FALSE),FALSE))</f>
        <v>58</v>
      </c>
      <c r="E13">
        <f>IF(ISBLANK(VLOOKUP($A13,quarterly_data,MATCH(E$1,quarterly!$1:$1,FALSE),FALSE)),"NA",VLOOKUP($A13,quarterly_data,MATCH(E$1,quarterly!$1:$1,FALSE),FALSE))</f>
        <v>0</v>
      </c>
      <c r="F13">
        <f>IF(ISBLANK(VLOOKUP($A13,quarterly_data,MATCH(F$1,quarterly!$1:$1,FALSE),FALSE)),"NA",VLOOKUP($A13,quarterly_data,MATCH(F$1,quarterly!$1:$1,FALSE),FALSE))</f>
        <v>3.7392500000000002E-2</v>
      </c>
      <c r="G13">
        <f>IF(ISBLANK(VLOOKUP($A13,quarterly_data,MATCH(G$1,quarterly!$1:$1,FALSE),FALSE)),"NA",VLOOKUP($A13,quarterly_data,MATCH(G$1,quarterly!$1:$1,FALSE),FALSE))</f>
        <v>5912.22</v>
      </c>
      <c r="H13">
        <f>IF(ISBLANK(VLOOKUP($A13,quarterly_data,MATCH(H$1,quarterly!$1:$1,FALSE),FALSE)),"NA",VLOOKUP($A13,quarterly_data,MATCH(H$1,quarterly!$1:$1,FALSE),FALSE))</f>
        <v>147885</v>
      </c>
      <c r="I13" t="str">
        <f>IF(ISBLANK(VLOOKUP($A13,quarterly_data,MATCH(I$1,quarterly!$1:$1,FALSE),FALSE)),"NA",VLOOKUP($A13,quarterly_data,MATCH(I$1,quarterly!$1:$1,FALSE),FALSE))</f>
        <v>NA</v>
      </c>
      <c r="J13">
        <f>IF(ISBLANK(VLOOKUP($A13,quarterly_data,MATCH(J$1,quarterly!$1:$1,FALSE),FALSE)),"NA",VLOOKUP($A13,quarterly_data,MATCH(J$1,quarterly!$1:$1,FALSE),FALSE))</f>
        <v>7.77</v>
      </c>
      <c r="K13">
        <f>IF(COUNTIFS(monthly!C:C,"",monthly!$A:$A,"&gt;="&amp;$A13,monthly!$B:$B,"&lt;="&amp;$B13)&gt;0,"NA",AVERAGEIFS(monthly!C:C,monthly!$A:$A,"&gt;="&amp;$A13,monthly!$B:$B,"&lt;="&amp;$B13))</f>
        <v>99.6</v>
      </c>
      <c r="L13">
        <f>IF(COUNTIFS(monthly!D:D,"",monthly!$A:$A,"&gt;="&amp;$A13,monthly!$B:$B,"&lt;="&amp;$B13)&gt;0,"NA",AVERAGEIFS(monthly!D:D,monthly!$A:$A,"&gt;="&amp;$A13,monthly!$B:$B,"&lt;="&amp;$B13))</f>
        <v>1.1910000000000001</v>
      </c>
      <c r="M13" t="str">
        <f>IF(COUNTIFS(monthly!E:E,"",monthly!$A:$A,"&gt;="&amp;$A13,monthly!$B:$B,"&lt;="&amp;$B13)&gt;0,"NA",AVERAGEIFS(monthly!E:E,monthly!$A:$A,"&gt;="&amp;$A13,monthly!$B:$B,"&lt;="&amp;$B13))</f>
        <v>NA</v>
      </c>
      <c r="N13" t="str">
        <f>IF(COUNTIFS(monthly!F:F,"",monthly!$A:$A,"&gt;="&amp;$A13,monthly!$B:$B,"&lt;="&amp;$B13)&gt;0,"NA",AVERAGEIFS(monthly!F:F,monthly!$A:$A,"&gt;="&amp;$A13,monthly!$B:$B,"&lt;="&amp;$B13))</f>
        <v>NA</v>
      </c>
      <c r="O13">
        <f>IF(COUNTIFS(monthly!G:G,"",monthly!$A:$A,"&gt;="&amp;$A13,monthly!$B:$B,"&lt;="&amp;$B13)&gt;0,"NA",AVERAGEIFS(monthly!G:G,monthly!$A:$A,"&gt;="&amp;$A13,monthly!$B:$B,"&lt;="&amp;$B13))</f>
        <v>10.3</v>
      </c>
      <c r="P13">
        <f>IF(COUNTIFS(monthly!H:H,"",monthly!$A:$A,"&gt;="&amp;$A13,monthly!$B:$B,"&lt;="&amp;$B13)&gt;0,"NA",AVERAGEIFS(monthly!H:H,monthly!$A:$A,"&gt;="&amp;$A13,monthly!$B:$B,"&lt;="&amp;$B13))</f>
        <v>9.6</v>
      </c>
      <c r="Q13">
        <f>IF(COUNTIFS(monthly!I:I,"",monthly!$A:$A,"&gt;="&amp;$A13,monthly!$B:$B,"&lt;="&amp;$B13)&gt;0,"NA",AVERAGEIFS(monthly!I:I,monthly!$A:$A,"&gt;="&amp;$A13,monthly!$B:$B,"&lt;="&amp;$B13))</f>
        <v>1.9</v>
      </c>
      <c r="R13" t="str">
        <f>IF(COUNTIFS(monthly!J:J,"",monthly!$A:$A,"&gt;="&amp;$A13,monthly!$B:$B,"&lt;="&amp;$B13)&gt;0,"NA",AVERAGEIFS(monthly!J:J,monthly!$A:$A,"&gt;="&amp;$A13,monthly!$B:$B,"&lt;="&amp;$B13))</f>
        <v>NA</v>
      </c>
      <c r="S13" t="str">
        <f>IF(COUNTIFS(monthly!K:K,"",monthly!$A:$A,"&gt;="&amp;$A13,monthly!$B:$B,"&lt;="&amp;$B13)&gt;0,"NA",AVERAGEIFS(monthly!K:K,monthly!$A:$A,"&gt;="&amp;$A13,monthly!$B:$B,"&lt;="&amp;$B13))</f>
        <v>NA</v>
      </c>
      <c r="T13">
        <f>IF(COUNTIFS(monthly!L:L,"",monthly!$A:$A,"&gt;="&amp;$A13,monthly!$B:$B,"&lt;="&amp;$B13)&gt;0,"NA",AVERAGEIFS(monthly!L:L,monthly!$A:$A,"&gt;="&amp;$A13,monthly!$B:$B,"&lt;="&amp;$B13))</f>
        <v>5.0507473118279558</v>
      </c>
      <c r="U13" t="str">
        <f>IF(COUNTIFS(monthly!M:M,"",monthly!$A:$A,"&gt;="&amp;$A13,monthly!$B:$B,"&lt;="&amp;$B13)&gt;0,"NA",AVERAGEIFS(monthly!M:M,monthly!$A:$A,"&gt;="&amp;$A13,monthly!$B:$B,"&lt;="&amp;$B13))</f>
        <v>NA</v>
      </c>
      <c r="V13" t="str">
        <f>IF(COUNTIFS(monthly!N:N,"",monthly!$A:$A,"&gt;="&amp;$A13,monthly!$B:$B,"&lt;="&amp;$B13)&gt;0,"NA",AVERAGEIFS(monthly!N:N,monthly!$A:$A,"&gt;="&amp;$A13,monthly!$B:$B,"&lt;="&amp;$B13))</f>
        <v>NA</v>
      </c>
      <c r="W13" t="str">
        <f>IF(COUNTIFS(monthly!O:O,"",monthly!$A:$A,"&gt;="&amp;$A13,monthly!$B:$B,"&lt;="&amp;$B13)&gt;0,"NA",AVERAGEIFS(monthly!O:O,monthly!$A:$A,"&gt;="&amp;$A13,monthly!$B:$B,"&lt;="&amp;$B13))</f>
        <v>NA</v>
      </c>
      <c r="X13" t="str">
        <f>IF(COUNTIFS(monthly!P:P,"",monthly!$A:$A,"&gt;="&amp;$A13,monthly!$B:$B,"&lt;="&amp;$B13)&gt;0,"NA",AVERAGEIFS(monthly!P:P,monthly!$A:$A,"&gt;="&amp;$A13,monthly!$B:$B,"&lt;="&amp;$B13))</f>
        <v>NA</v>
      </c>
      <c r="Y13">
        <f>IF(COUNTIFS(monthly!Q:Q,"",monthly!$A:$A,"&gt;="&amp;$A13,monthly!$B:$B,"&lt;="&amp;$B13)&gt;0,"NA",AVERAGEIFS(monthly!Q:Q,monthly!$A:$A,"&gt;="&amp;$A13,monthly!$B:$B,"&lt;="&amp;$B13))</f>
        <v>5.7649999999999997</v>
      </c>
      <c r="Z13">
        <f>IF(COUNTIFS(monthly!R:R,"",monthly!$A:$A,"&gt;="&amp;$A13,monthly!$B:$B,"&lt;="&amp;$B13)&gt;0,"NA",AVERAGEIFS(monthly!R:R,monthly!$A:$A,"&gt;="&amp;$A13,monthly!$B:$B,"&lt;="&amp;$B13))</f>
        <v>6.379999999999999</v>
      </c>
      <c r="AA13">
        <f>IF(COUNTIFS(monthly!S:S,"",monthly!$A:$A,"&gt;="&amp;$A13,monthly!$B:$B,"&lt;="&amp;$B13)&gt;0,"NA",AVERAGEIFS(monthly!S:S,monthly!$A:$A,"&gt;="&amp;$A13,monthly!$B:$B,"&lt;="&amp;$B13))</f>
        <v>-0.61499999999999977</v>
      </c>
      <c r="AB13" t="str">
        <f>IF(COUNTIFS(monthly!T:T,"",monthly!$A:$A,"&gt;="&amp;$A13,monthly!$B:$B,"&lt;="&amp;$B13)&gt;0,"NA",AVERAGEIFS(monthly!T:T,monthly!$A:$A,"&gt;="&amp;$A13,monthly!$B:$B,"&lt;="&amp;$B13))</f>
        <v>NA</v>
      </c>
      <c r="AC13" t="str">
        <f>IF(COUNTIFS(monthly!U:U,"",monthly!$A:$A,"&gt;="&amp;$A13,monthly!$B:$B,"&lt;="&amp;$B13)&gt;0,"NA",AVERAGEIFS(monthly!U:U,monthly!$A:$A,"&gt;="&amp;$A13,monthly!$B:$B,"&lt;="&amp;$B13))</f>
        <v>NA</v>
      </c>
      <c r="AD13" t="str">
        <f>IF(COUNTIFS(monthly!V:V,"",monthly!$A:$A,"&gt;="&amp;$A13,monthly!$B:$B,"&lt;="&amp;$B13)&gt;0,"NA",AVERAGEIFS(monthly!V:V,monthly!$A:$A,"&gt;="&amp;$A13,monthly!$B:$B,"&lt;="&amp;$B13))</f>
        <v>NA</v>
      </c>
      <c r="AE13" t="str">
        <f>IF(COUNTIFS(monthly!W:W,"",monthly!$A:$A,"&gt;="&amp;$A13,monthly!$B:$B,"&lt;="&amp;$B13)&gt;0,"NA",AVERAGEIFS(monthly!W:W,monthly!$A:$A,"&gt;="&amp;$A13,monthly!$B:$B,"&lt;="&amp;$B13))</f>
        <v>NA</v>
      </c>
      <c r="AF13" t="str">
        <f>IF(COUNTIFS(monthly!X:X,"",monthly!$A:$A,"&gt;="&amp;$A13,monthly!$B:$B,"&lt;="&amp;$B13)&gt;0,"NA",AVERAGEIFS(monthly!X:X,monthly!$A:$A,"&gt;="&amp;$A13,monthly!$B:$B,"&lt;="&amp;$B13))</f>
        <v>NA</v>
      </c>
      <c r="AG13" t="str">
        <f>IF(COUNTIFS(monthly!Y:Y,"",monthly!$A:$A,"&gt;="&amp;$A13,monthly!$B:$B,"&lt;="&amp;$B13)&gt;0,"NA",AVERAGEIFS(monthly!Y:Y,monthly!$A:$A,"&gt;="&amp;$A13,monthly!$B:$B,"&lt;="&amp;$B13))</f>
        <v>NA</v>
      </c>
      <c r="AH13" t="str">
        <f>IF(COUNTIFS(monthly!Z:Z,"",monthly!$A:$A,"&gt;="&amp;$A13,monthly!$B:$B,"&lt;="&amp;$B13)&gt;0,"NA",AVERAGEIFS(monthly!Z:Z,monthly!$A:$A,"&gt;="&amp;$A13,monthly!$B:$B,"&lt;="&amp;$B13))</f>
        <v>NA</v>
      </c>
    </row>
    <row r="14" spans="1:34" x14ac:dyDescent="0.2">
      <c r="A14" s="1">
        <v>26665</v>
      </c>
      <c r="B14" s="1">
        <v>26753</v>
      </c>
      <c r="C14">
        <f>IF(ISBLANK(VLOOKUP($A14,quarterly_data,MATCH(C$1,quarterly!$1:$1,FALSE),FALSE)),"NA",VLOOKUP($A14,quarterly_data,MATCH(C$1,quarterly!$1:$1,FALSE),FALSE))</f>
        <v>156.01260298130694</v>
      </c>
      <c r="D14">
        <f>IF(ISBLANK(VLOOKUP($A14,quarterly_data,MATCH(D$1,quarterly!$1:$1,FALSE),FALSE)),"NA",VLOOKUP($A14,quarterly_data,MATCH(D$1,quarterly!$1:$1,FALSE),FALSE))</f>
        <v>66.2</v>
      </c>
      <c r="E14">
        <f>IF(ISBLANK(VLOOKUP($A14,quarterly_data,MATCH(E$1,quarterly!$1:$1,FALSE),FALSE)),"NA",VLOOKUP($A14,quarterly_data,MATCH(E$1,quarterly!$1:$1,FALSE),FALSE))</f>
        <v>0.24476809999999999</v>
      </c>
      <c r="F14">
        <f>IF(ISBLANK(VLOOKUP($A14,quarterly_data,MATCH(F$1,quarterly!$1:$1,FALSE),FALSE)),"NA",VLOOKUP($A14,quarterly_data,MATCH(F$1,quarterly!$1:$1,FALSE),FALSE))</f>
        <v>6.1417800000000002E-2</v>
      </c>
      <c r="G14">
        <f>IF(ISBLANK(VLOOKUP($A14,quarterly_data,MATCH(G$1,quarterly!$1:$1,FALSE),FALSE)),"NA",VLOOKUP($A14,quarterly_data,MATCH(G$1,quarterly!$1:$1,FALSE),FALSE))</f>
        <v>6058.5439999999999</v>
      </c>
      <c r="H14">
        <f>IF(ISBLANK(VLOOKUP($A14,quarterly_data,MATCH(H$1,quarterly!$1:$1,FALSE),FALSE)),"NA",VLOOKUP($A14,quarterly_data,MATCH(H$1,quarterly!$1:$1,FALSE),FALSE))</f>
        <v>151729</v>
      </c>
      <c r="I14" t="str">
        <f>IF(ISBLANK(VLOOKUP($A14,quarterly_data,MATCH(I$1,quarterly!$1:$1,FALSE),FALSE)),"NA",VLOOKUP($A14,quarterly_data,MATCH(I$1,quarterly!$1:$1,FALSE),FALSE))</f>
        <v>NA</v>
      </c>
      <c r="J14">
        <f>IF(ISBLANK(VLOOKUP($A14,quarterly_data,MATCH(J$1,quarterly!$1:$1,FALSE),FALSE)),"NA",VLOOKUP($A14,quarterly_data,MATCH(J$1,quarterly!$1:$1,FALSE),FALSE))</f>
        <v>7.93</v>
      </c>
      <c r="K14">
        <f>IF(COUNTIFS(monthly!C:C,"",monthly!$A:$A,"&gt;="&amp;$A14,monthly!$B:$B,"&lt;="&amp;$B14)&gt;0,"NA",AVERAGEIFS(monthly!C:C,monthly!$A:$A,"&gt;="&amp;$A14,monthly!$B:$B,"&lt;="&amp;$B14))</f>
        <v>108.30000000000001</v>
      </c>
      <c r="L14">
        <f>IF(COUNTIFS(monthly!D:D,"",monthly!$A:$A,"&gt;="&amp;$A14,monthly!$B:$B,"&lt;="&amp;$B14)&gt;0,"NA",AVERAGEIFS(monthly!D:D,monthly!$A:$A,"&gt;="&amp;$A14,monthly!$B:$B,"&lt;="&amp;$B14))</f>
        <v>1.34585</v>
      </c>
      <c r="M14" t="str">
        <f>IF(COUNTIFS(monthly!E:E,"",monthly!$A:$A,"&gt;="&amp;$A14,monthly!$B:$B,"&lt;="&amp;$B14)&gt;0,"NA",AVERAGEIFS(monthly!E:E,monthly!$A:$A,"&gt;="&amp;$A14,monthly!$B:$B,"&lt;="&amp;$B14))</f>
        <v>NA</v>
      </c>
      <c r="N14" t="str">
        <f>IF(COUNTIFS(monthly!F:F,"",monthly!$A:$A,"&gt;="&amp;$A14,monthly!$B:$B,"&lt;="&amp;$B14)&gt;0,"NA",AVERAGEIFS(monthly!F:F,monthly!$A:$A,"&gt;="&amp;$A14,monthly!$B:$B,"&lt;="&amp;$B14))</f>
        <v>NA</v>
      </c>
      <c r="O14">
        <f>IF(COUNTIFS(monthly!G:G,"",monthly!$A:$A,"&gt;="&amp;$A14,monthly!$B:$B,"&lt;="&amp;$B14)&gt;0,"NA",AVERAGEIFS(monthly!G:G,monthly!$A:$A,"&gt;="&amp;$A14,monthly!$B:$B,"&lt;="&amp;$B14))</f>
        <v>10.3</v>
      </c>
      <c r="P14">
        <f>IF(COUNTIFS(monthly!H:H,"",monthly!$A:$A,"&gt;="&amp;$A14,monthly!$B:$B,"&lt;="&amp;$B14)&gt;0,"NA",AVERAGEIFS(monthly!H:H,monthly!$A:$A,"&gt;="&amp;$A14,monthly!$B:$B,"&lt;="&amp;$B14))</f>
        <v>11.5</v>
      </c>
      <c r="Q14">
        <f>IF(COUNTIFS(monthly!I:I,"",monthly!$A:$A,"&gt;="&amp;$A14,monthly!$B:$B,"&lt;="&amp;$B14)&gt;0,"NA",AVERAGEIFS(monthly!I:I,monthly!$A:$A,"&gt;="&amp;$A14,monthly!$B:$B,"&lt;="&amp;$B14))</f>
        <v>2.1</v>
      </c>
      <c r="R14" t="str">
        <f>IF(COUNTIFS(monthly!J:J,"",monthly!$A:$A,"&gt;="&amp;$A14,monthly!$B:$B,"&lt;="&amp;$B14)&gt;0,"NA",AVERAGEIFS(monthly!J:J,monthly!$A:$A,"&gt;="&amp;$A14,monthly!$B:$B,"&lt;="&amp;$B14))</f>
        <v>NA</v>
      </c>
      <c r="S14" t="str">
        <f>IF(COUNTIFS(monthly!K:K,"",monthly!$A:$A,"&gt;="&amp;$A14,monthly!$B:$B,"&lt;="&amp;$B14)&gt;0,"NA",AVERAGEIFS(monthly!K:K,monthly!$A:$A,"&gt;="&amp;$A14,monthly!$B:$B,"&lt;="&amp;$B14))</f>
        <v>NA</v>
      </c>
      <c r="T14">
        <f>IF(COUNTIFS(monthly!L:L,"",monthly!$A:$A,"&gt;="&amp;$A14,monthly!$B:$B,"&lt;="&amp;$B14)&gt;0,"NA",AVERAGEIFS(monthly!L:L,monthly!$A:$A,"&gt;="&amp;$A14,monthly!$B:$B,"&lt;="&amp;$B14))</f>
        <v>6.2644009216589858</v>
      </c>
      <c r="U14" t="str">
        <f>IF(COUNTIFS(monthly!M:M,"",monthly!$A:$A,"&gt;="&amp;$A14,monthly!$B:$B,"&lt;="&amp;$B14)&gt;0,"NA",AVERAGEIFS(monthly!M:M,monthly!$A:$A,"&gt;="&amp;$A14,monthly!$B:$B,"&lt;="&amp;$B14))</f>
        <v>NA</v>
      </c>
      <c r="V14" t="str">
        <f>IF(COUNTIFS(monthly!N:N,"",monthly!$A:$A,"&gt;="&amp;$A14,monthly!$B:$B,"&lt;="&amp;$B14)&gt;0,"NA",AVERAGEIFS(monthly!N:N,monthly!$A:$A,"&gt;="&amp;$A14,monthly!$B:$B,"&lt;="&amp;$B14))</f>
        <v>NA</v>
      </c>
      <c r="W14" t="str">
        <f>IF(COUNTIFS(monthly!O:O,"",monthly!$A:$A,"&gt;="&amp;$A14,monthly!$B:$B,"&lt;="&amp;$B14)&gt;0,"NA",AVERAGEIFS(monthly!O:O,monthly!$A:$A,"&gt;="&amp;$A14,monthly!$B:$B,"&lt;="&amp;$B14))</f>
        <v>NA</v>
      </c>
      <c r="X14" t="str">
        <f>IF(COUNTIFS(monthly!P:P,"",monthly!$A:$A,"&gt;="&amp;$A14,monthly!$B:$B,"&lt;="&amp;$B14)&gt;0,"NA",AVERAGEIFS(monthly!P:P,monthly!$A:$A,"&gt;="&amp;$A14,monthly!$B:$B,"&lt;="&amp;$B14))</f>
        <v>NA</v>
      </c>
      <c r="Y14">
        <f>IF(COUNTIFS(monthly!Q:Q,"",monthly!$A:$A,"&gt;="&amp;$A14,monthly!$B:$B,"&lt;="&amp;$B14)&gt;0,"NA",AVERAGEIFS(monthly!Q:Q,monthly!$A:$A,"&gt;="&amp;$A14,monthly!$B:$B,"&lt;="&amp;$B14))</f>
        <v>5.7249999999999996</v>
      </c>
      <c r="Z14">
        <f>IF(COUNTIFS(monthly!R:R,"",monthly!$A:$A,"&gt;="&amp;$A14,monthly!$B:$B,"&lt;="&amp;$B14)&gt;0,"NA",AVERAGEIFS(monthly!R:R,monthly!$A:$A,"&gt;="&amp;$A14,monthly!$B:$B,"&lt;="&amp;$B14))</f>
        <v>6.5500505050505051</v>
      </c>
      <c r="AA14">
        <f>IF(COUNTIFS(monthly!S:S,"",monthly!$A:$A,"&gt;="&amp;$A14,monthly!$B:$B,"&lt;="&amp;$B14)&gt;0,"NA",AVERAGEIFS(monthly!S:S,monthly!$A:$A,"&gt;="&amp;$A14,monthly!$B:$B,"&lt;="&amp;$B14))</f>
        <v>-0.82505050505050503</v>
      </c>
      <c r="AB14" t="str">
        <f>IF(COUNTIFS(monthly!T:T,"",monthly!$A:$A,"&gt;="&amp;$A14,monthly!$B:$B,"&lt;="&amp;$B14)&gt;0,"NA",AVERAGEIFS(monthly!T:T,monthly!$A:$A,"&gt;="&amp;$A14,monthly!$B:$B,"&lt;="&amp;$B14))</f>
        <v>NA</v>
      </c>
      <c r="AC14" t="str">
        <f>IF(COUNTIFS(monthly!U:U,"",monthly!$A:$A,"&gt;="&amp;$A14,monthly!$B:$B,"&lt;="&amp;$B14)&gt;0,"NA",AVERAGEIFS(monthly!U:U,monthly!$A:$A,"&gt;="&amp;$A14,monthly!$B:$B,"&lt;="&amp;$B14))</f>
        <v>NA</v>
      </c>
      <c r="AD14" t="str">
        <f>IF(COUNTIFS(monthly!V:V,"",monthly!$A:$A,"&gt;="&amp;$A14,monthly!$B:$B,"&lt;="&amp;$B14)&gt;0,"NA",AVERAGEIFS(monthly!V:V,monthly!$A:$A,"&gt;="&amp;$A14,monthly!$B:$B,"&lt;="&amp;$B14))</f>
        <v>NA</v>
      </c>
      <c r="AE14" t="str">
        <f>IF(COUNTIFS(monthly!W:W,"",monthly!$A:$A,"&gt;="&amp;$A14,monthly!$B:$B,"&lt;="&amp;$B14)&gt;0,"NA",AVERAGEIFS(monthly!W:W,monthly!$A:$A,"&gt;="&amp;$A14,monthly!$B:$B,"&lt;="&amp;$B14))</f>
        <v>NA</v>
      </c>
      <c r="AF14" t="str">
        <f>IF(COUNTIFS(monthly!X:X,"",monthly!$A:$A,"&gt;="&amp;$A14,monthly!$B:$B,"&lt;="&amp;$B14)&gt;0,"NA",AVERAGEIFS(monthly!X:X,monthly!$A:$A,"&gt;="&amp;$A14,monthly!$B:$B,"&lt;="&amp;$B14))</f>
        <v>NA</v>
      </c>
      <c r="AG14" t="str">
        <f>IF(COUNTIFS(monthly!Y:Y,"",monthly!$A:$A,"&gt;="&amp;$A14,monthly!$B:$B,"&lt;="&amp;$B14)&gt;0,"NA",AVERAGEIFS(monthly!Y:Y,monthly!$A:$A,"&gt;="&amp;$A14,monthly!$B:$B,"&lt;="&amp;$B14))</f>
        <v>NA</v>
      </c>
      <c r="AH14" t="str">
        <f>IF(COUNTIFS(monthly!Z:Z,"",monthly!$A:$A,"&gt;="&amp;$A14,monthly!$B:$B,"&lt;="&amp;$B14)&gt;0,"NA",AVERAGEIFS(monthly!Z:Z,monthly!$A:$A,"&gt;="&amp;$A14,monthly!$B:$B,"&lt;="&amp;$B14))</f>
        <v>NA</v>
      </c>
    </row>
    <row r="15" spans="1:34" x14ac:dyDescent="0.2">
      <c r="A15" s="1">
        <v>26755</v>
      </c>
      <c r="B15" s="1">
        <v>26845</v>
      </c>
      <c r="C15">
        <f>IF(ISBLANK(VLOOKUP($A15,quarterly_data,MATCH(C$1,quarterly!$1:$1,FALSE),FALSE)),"NA",VLOOKUP($A15,quarterly_data,MATCH(C$1,quarterly!$1:$1,FALSE),FALSE))</f>
        <v>156.59221210048679</v>
      </c>
      <c r="D15">
        <f>IF(ISBLANK(VLOOKUP($A15,quarterly_data,MATCH(D$1,quarterly!$1:$1,FALSE),FALSE)),"NA",VLOOKUP($A15,quarterly_data,MATCH(D$1,quarterly!$1:$1,FALSE),FALSE))</f>
        <v>68.2</v>
      </c>
      <c r="E15">
        <f>IF(ISBLANK(VLOOKUP($A15,quarterly_data,MATCH(E$1,quarterly!$1:$1,FALSE),FALSE)),"NA",VLOOKUP($A15,quarterly_data,MATCH(E$1,quarterly!$1:$1,FALSE),FALSE))</f>
        <v>1.2309589999999999</v>
      </c>
      <c r="F15">
        <f>IF(ISBLANK(VLOOKUP($A15,quarterly_data,MATCH(F$1,quarterly!$1:$1,FALSE),FALSE)),"NA",VLOOKUP($A15,quarterly_data,MATCH(F$1,quarterly!$1:$1,FALSE),FALSE))</f>
        <v>0.27066849999999998</v>
      </c>
      <c r="G15">
        <f>IF(ISBLANK(VLOOKUP($A15,quarterly_data,MATCH(G$1,quarterly!$1:$1,FALSE),FALSE)),"NA",VLOOKUP($A15,quarterly_data,MATCH(G$1,quarterly!$1:$1,FALSE),FALSE))</f>
        <v>6124.5060000000003</v>
      </c>
      <c r="H15">
        <f>IF(ISBLANK(VLOOKUP($A15,quarterly_data,MATCH(H$1,quarterly!$1:$1,FALSE),FALSE)),"NA",VLOOKUP($A15,quarterly_data,MATCH(H$1,quarterly!$1:$1,FALSE),FALSE))</f>
        <v>152017</v>
      </c>
      <c r="I15" t="str">
        <f>IF(ISBLANK(VLOOKUP($A15,quarterly_data,MATCH(I$1,quarterly!$1:$1,FALSE),FALSE)),"NA",VLOOKUP($A15,quarterly_data,MATCH(I$1,quarterly!$1:$1,FALSE),FALSE))</f>
        <v>NA</v>
      </c>
      <c r="J15">
        <f>IF(ISBLANK(VLOOKUP($A15,quarterly_data,MATCH(J$1,quarterly!$1:$1,FALSE),FALSE)),"NA",VLOOKUP($A15,quarterly_data,MATCH(J$1,quarterly!$1:$1,FALSE),FALSE))</f>
        <v>8.1999999999999993</v>
      </c>
      <c r="K15">
        <f>IF(COUNTIFS(monthly!C:C,"",monthly!$A:$A,"&gt;="&amp;$A15,monthly!$B:$B,"&lt;="&amp;$B15)&gt;0,"NA",AVERAGEIFS(monthly!C:C,monthly!$A:$A,"&gt;="&amp;$A15,monthly!$B:$B,"&lt;="&amp;$B15))</f>
        <v>109.16666666666667</v>
      </c>
      <c r="L15">
        <f>IF(COUNTIFS(monthly!D:D,"",monthly!$A:$A,"&gt;="&amp;$A15,monthly!$B:$B,"&lt;="&amp;$B15)&gt;0,"NA",AVERAGEIFS(monthly!D:D,monthly!$A:$A,"&gt;="&amp;$A15,monthly!$B:$B,"&lt;="&amp;$B15))</f>
        <v>1.4166999999999998</v>
      </c>
      <c r="M15" t="str">
        <f>IF(COUNTIFS(monthly!E:E,"",monthly!$A:$A,"&gt;="&amp;$A15,monthly!$B:$B,"&lt;="&amp;$B15)&gt;0,"NA",AVERAGEIFS(monthly!E:E,monthly!$A:$A,"&gt;="&amp;$A15,monthly!$B:$B,"&lt;="&amp;$B15))</f>
        <v>NA</v>
      </c>
      <c r="N15" t="str">
        <f>IF(COUNTIFS(monthly!F:F,"",monthly!$A:$A,"&gt;="&amp;$A15,monthly!$B:$B,"&lt;="&amp;$B15)&gt;0,"NA",AVERAGEIFS(monthly!F:F,monthly!$A:$A,"&gt;="&amp;$A15,monthly!$B:$B,"&lt;="&amp;$B15))</f>
        <v>NA</v>
      </c>
      <c r="O15">
        <f>IF(COUNTIFS(monthly!G:G,"",monthly!$A:$A,"&gt;="&amp;$A15,monthly!$B:$B,"&lt;="&amp;$B15)&gt;0,"NA",AVERAGEIFS(monthly!G:G,monthly!$A:$A,"&gt;="&amp;$A15,monthly!$B:$B,"&lt;="&amp;$B15))</f>
        <v>10.3</v>
      </c>
      <c r="P15">
        <f>IF(COUNTIFS(monthly!H:H,"",monthly!$A:$A,"&gt;="&amp;$A15,monthly!$B:$B,"&lt;="&amp;$B15)&gt;0,"NA",AVERAGEIFS(monthly!H:H,monthly!$A:$A,"&gt;="&amp;$A15,monthly!$B:$B,"&lt;="&amp;$B15))</f>
        <v>11.5</v>
      </c>
      <c r="Q15">
        <f>IF(COUNTIFS(monthly!I:I,"",monthly!$A:$A,"&gt;="&amp;$A15,monthly!$B:$B,"&lt;="&amp;$B15)&gt;0,"NA",AVERAGEIFS(monthly!I:I,monthly!$A:$A,"&gt;="&amp;$A15,monthly!$B:$B,"&lt;="&amp;$B15))</f>
        <v>2.4</v>
      </c>
      <c r="R15" t="str">
        <f>IF(COUNTIFS(monthly!J:J,"",monthly!$A:$A,"&gt;="&amp;$A15,monthly!$B:$B,"&lt;="&amp;$B15)&gt;0,"NA",AVERAGEIFS(monthly!J:J,monthly!$A:$A,"&gt;="&amp;$A15,monthly!$B:$B,"&lt;="&amp;$B15))</f>
        <v>NA</v>
      </c>
      <c r="S15" t="str">
        <f>IF(COUNTIFS(monthly!K:K,"",monthly!$A:$A,"&gt;="&amp;$A15,monthly!$B:$B,"&lt;="&amp;$B15)&gt;0,"NA",AVERAGEIFS(monthly!K:K,monthly!$A:$A,"&gt;="&amp;$A15,monthly!$B:$B,"&lt;="&amp;$B15))</f>
        <v>NA</v>
      </c>
      <c r="T15">
        <f>IF(COUNTIFS(monthly!L:L,"",monthly!$A:$A,"&gt;="&amp;$A15,monthly!$B:$B,"&lt;="&amp;$B15)&gt;0,"NA",AVERAGEIFS(monthly!L:L,monthly!$A:$A,"&gt;="&amp;$A15,monthly!$B:$B,"&lt;="&amp;$B15))</f>
        <v>7.8182293906810019</v>
      </c>
      <c r="U15" t="str">
        <f>IF(COUNTIFS(monthly!M:M,"",monthly!$A:$A,"&gt;="&amp;$A15,monthly!$B:$B,"&lt;="&amp;$B15)&gt;0,"NA",AVERAGEIFS(monthly!M:M,monthly!$A:$A,"&gt;="&amp;$A15,monthly!$B:$B,"&lt;="&amp;$B15))</f>
        <v>NA</v>
      </c>
      <c r="V15" t="str">
        <f>IF(COUNTIFS(monthly!N:N,"",monthly!$A:$A,"&gt;="&amp;$A15,monthly!$B:$B,"&lt;="&amp;$B15)&gt;0,"NA",AVERAGEIFS(monthly!N:N,monthly!$A:$A,"&gt;="&amp;$A15,monthly!$B:$B,"&lt;="&amp;$B15))</f>
        <v>NA</v>
      </c>
      <c r="W15" t="str">
        <f>IF(COUNTIFS(monthly!O:O,"",monthly!$A:$A,"&gt;="&amp;$A15,monthly!$B:$B,"&lt;="&amp;$B15)&gt;0,"NA",AVERAGEIFS(monthly!O:O,monthly!$A:$A,"&gt;="&amp;$A15,monthly!$B:$B,"&lt;="&amp;$B15))</f>
        <v>NA</v>
      </c>
      <c r="X15" t="str">
        <f>IF(COUNTIFS(monthly!P:P,"",monthly!$A:$A,"&gt;="&amp;$A15,monthly!$B:$B,"&lt;="&amp;$B15)&gt;0,"NA",AVERAGEIFS(monthly!P:P,monthly!$A:$A,"&gt;="&amp;$A15,monthly!$B:$B,"&lt;="&amp;$B15))</f>
        <v>NA</v>
      </c>
      <c r="Y15">
        <f>IF(COUNTIFS(monthly!Q:Q,"",monthly!$A:$A,"&gt;="&amp;$A15,monthly!$B:$B,"&lt;="&amp;$B15)&gt;0,"NA",AVERAGEIFS(monthly!Q:Q,monthly!$A:$A,"&gt;="&amp;$A15,monthly!$B:$B,"&lt;="&amp;$B15))</f>
        <v>6.3466666666666667</v>
      </c>
      <c r="Z15">
        <f>IF(COUNTIFS(monthly!R:R,"",monthly!$A:$A,"&gt;="&amp;$A15,monthly!$B:$B,"&lt;="&amp;$B15)&gt;0,"NA",AVERAGEIFS(monthly!R:R,monthly!$A:$A,"&gt;="&amp;$A15,monthly!$B:$B,"&lt;="&amp;$B15))</f>
        <v>6.8052575757575751</v>
      </c>
      <c r="AA15">
        <f>IF(COUNTIFS(monthly!S:S,"",monthly!$A:$A,"&gt;="&amp;$A15,monthly!$B:$B,"&lt;="&amp;$B15)&gt;0,"NA",AVERAGEIFS(monthly!S:S,monthly!$A:$A,"&gt;="&amp;$A15,monthly!$B:$B,"&lt;="&amp;$B15))</f>
        <v>-0.45859090909090838</v>
      </c>
      <c r="AB15" t="str">
        <f>IF(COUNTIFS(monthly!T:T,"",monthly!$A:$A,"&gt;="&amp;$A15,monthly!$B:$B,"&lt;="&amp;$B15)&gt;0,"NA",AVERAGEIFS(monthly!T:T,monthly!$A:$A,"&gt;="&amp;$A15,monthly!$B:$B,"&lt;="&amp;$B15))</f>
        <v>NA</v>
      </c>
      <c r="AC15" t="str">
        <f>IF(COUNTIFS(monthly!U:U,"",monthly!$A:$A,"&gt;="&amp;$A15,monthly!$B:$B,"&lt;="&amp;$B15)&gt;0,"NA",AVERAGEIFS(monthly!U:U,monthly!$A:$A,"&gt;="&amp;$A15,monthly!$B:$B,"&lt;="&amp;$B15))</f>
        <v>NA</v>
      </c>
      <c r="AD15" t="str">
        <f>IF(COUNTIFS(monthly!V:V,"",monthly!$A:$A,"&gt;="&amp;$A15,monthly!$B:$B,"&lt;="&amp;$B15)&gt;0,"NA",AVERAGEIFS(monthly!V:V,monthly!$A:$A,"&gt;="&amp;$A15,monthly!$B:$B,"&lt;="&amp;$B15))</f>
        <v>NA</v>
      </c>
      <c r="AE15" t="str">
        <f>IF(COUNTIFS(monthly!W:W,"",monthly!$A:$A,"&gt;="&amp;$A15,monthly!$B:$B,"&lt;="&amp;$B15)&gt;0,"NA",AVERAGEIFS(monthly!W:W,monthly!$A:$A,"&gt;="&amp;$A15,monthly!$B:$B,"&lt;="&amp;$B15))</f>
        <v>NA</v>
      </c>
      <c r="AF15" t="str">
        <f>IF(COUNTIFS(monthly!X:X,"",monthly!$A:$A,"&gt;="&amp;$A15,monthly!$B:$B,"&lt;="&amp;$B15)&gt;0,"NA",AVERAGEIFS(monthly!X:X,monthly!$A:$A,"&gt;="&amp;$A15,monthly!$B:$B,"&lt;="&amp;$B15))</f>
        <v>NA</v>
      </c>
      <c r="AG15" t="str">
        <f>IF(COUNTIFS(monthly!Y:Y,"",monthly!$A:$A,"&gt;="&amp;$A15,monthly!$B:$B,"&lt;="&amp;$B15)&gt;0,"NA",AVERAGEIFS(monthly!Y:Y,monthly!$A:$A,"&gt;="&amp;$A15,monthly!$B:$B,"&lt;="&amp;$B15))</f>
        <v>NA</v>
      </c>
      <c r="AH15" t="str">
        <f>IF(COUNTIFS(monthly!Z:Z,"",monthly!$A:$A,"&gt;="&amp;$A15,monthly!$B:$B,"&lt;="&amp;$B15)&gt;0,"NA",AVERAGEIFS(monthly!Z:Z,monthly!$A:$A,"&gt;="&amp;$A15,monthly!$B:$B,"&lt;="&amp;$B15))</f>
        <v>NA</v>
      </c>
    </row>
    <row r="16" spans="1:34" x14ac:dyDescent="0.2">
      <c r="A16" s="1">
        <v>26846</v>
      </c>
      <c r="B16" s="1">
        <v>26937</v>
      </c>
      <c r="C16">
        <f>IF(ISBLANK(VLOOKUP($A16,quarterly_data,MATCH(C$1,quarterly!$1:$1,FALSE),FALSE)),"NA",VLOOKUP($A16,quarterly_data,MATCH(C$1,quarterly!$1:$1,FALSE),FALSE))</f>
        <v>155.79976129048845</v>
      </c>
      <c r="D16">
        <f>IF(ISBLANK(VLOOKUP($A16,quarterly_data,MATCH(D$1,quarterly!$1:$1,FALSE),FALSE)),"NA",VLOOKUP($A16,quarterly_data,MATCH(D$1,quarterly!$1:$1,FALSE),FALSE))</f>
        <v>67.8</v>
      </c>
      <c r="E16">
        <f>IF(ISBLANK(VLOOKUP($A16,quarterly_data,MATCH(E$1,quarterly!$1:$1,FALSE),FALSE)),"NA",VLOOKUP($A16,quarterly_data,MATCH(E$1,quarterly!$1:$1,FALSE),FALSE))</f>
        <v>0.354045</v>
      </c>
      <c r="F16">
        <f>IF(ISBLANK(VLOOKUP($A16,quarterly_data,MATCH(F$1,quarterly!$1:$1,FALSE),FALSE)),"NA",VLOOKUP($A16,quarterly_data,MATCH(F$1,quarterly!$1:$1,FALSE),FALSE))</f>
        <v>0.20206379999999999</v>
      </c>
      <c r="G16">
        <f>IF(ISBLANK(VLOOKUP($A16,quarterly_data,MATCH(G$1,quarterly!$1:$1,FALSE),FALSE)),"NA",VLOOKUP($A16,quarterly_data,MATCH(G$1,quarterly!$1:$1,FALSE),FALSE))</f>
        <v>6092.3010000000004</v>
      </c>
      <c r="H16">
        <f>IF(ISBLANK(VLOOKUP($A16,quarterly_data,MATCH(H$1,quarterly!$1:$1,FALSE),FALSE)),"NA",VLOOKUP($A16,quarterly_data,MATCH(H$1,quarterly!$1:$1,FALSE),FALSE))</f>
        <v>153533</v>
      </c>
      <c r="I16" t="str">
        <f>IF(ISBLANK(VLOOKUP($A16,quarterly_data,MATCH(I$1,quarterly!$1:$1,FALSE),FALSE)),"NA",VLOOKUP($A16,quarterly_data,MATCH(I$1,quarterly!$1:$1,FALSE),FALSE))</f>
        <v>NA</v>
      </c>
      <c r="J16">
        <f>IF(ISBLANK(VLOOKUP($A16,quarterly_data,MATCH(J$1,quarterly!$1:$1,FALSE),FALSE)),"NA",VLOOKUP($A16,quarterly_data,MATCH(J$1,quarterly!$1:$1,FALSE),FALSE))</f>
        <v>8.4700000000000006</v>
      </c>
      <c r="K16">
        <f>IF(COUNTIFS(monthly!C:C,"",monthly!$A:$A,"&gt;="&amp;$A16,monthly!$B:$B,"&lt;="&amp;$B16)&gt;0,"NA",AVERAGEIFS(monthly!C:C,monthly!$A:$A,"&gt;="&amp;$A16,monthly!$B:$B,"&lt;="&amp;$B16))</f>
        <v>110.23333333333335</v>
      </c>
      <c r="L16">
        <f>IF(COUNTIFS(monthly!D:D,"",monthly!$A:$A,"&gt;="&amp;$A16,monthly!$B:$B,"&lt;="&amp;$B16)&gt;0,"NA",AVERAGEIFS(monthly!D:D,monthly!$A:$A,"&gt;="&amp;$A16,monthly!$B:$B,"&lt;="&amp;$B16))</f>
        <v>1.4402999999999999</v>
      </c>
      <c r="M16" t="str">
        <f>IF(COUNTIFS(monthly!E:E,"",monthly!$A:$A,"&gt;="&amp;$A16,monthly!$B:$B,"&lt;="&amp;$B16)&gt;0,"NA",AVERAGEIFS(monthly!E:E,monthly!$A:$A,"&gt;="&amp;$A16,monthly!$B:$B,"&lt;="&amp;$B16))</f>
        <v>NA</v>
      </c>
      <c r="N16" t="str">
        <f>IF(COUNTIFS(monthly!F:F,"",monthly!$A:$A,"&gt;="&amp;$A16,monthly!$B:$B,"&lt;="&amp;$B16)&gt;0,"NA",AVERAGEIFS(monthly!F:F,monthly!$A:$A,"&gt;="&amp;$A16,monthly!$B:$B,"&lt;="&amp;$B16))</f>
        <v>NA</v>
      </c>
      <c r="O16">
        <f>IF(COUNTIFS(monthly!G:G,"",monthly!$A:$A,"&gt;="&amp;$A16,monthly!$B:$B,"&lt;="&amp;$B16)&gt;0,"NA",AVERAGEIFS(monthly!G:G,monthly!$A:$A,"&gt;="&amp;$A16,monthly!$B:$B,"&lt;="&amp;$B16))</f>
        <v>10.3</v>
      </c>
      <c r="P16">
        <f>IF(COUNTIFS(monthly!H:H,"",monthly!$A:$A,"&gt;="&amp;$A16,monthly!$B:$B,"&lt;="&amp;$B16)&gt;0,"NA",AVERAGEIFS(monthly!H:H,monthly!$A:$A,"&gt;="&amp;$A16,monthly!$B:$B,"&lt;="&amp;$B16))</f>
        <v>11.5</v>
      </c>
      <c r="Q16">
        <f>IF(COUNTIFS(monthly!I:I,"",monthly!$A:$A,"&gt;="&amp;$A16,monthly!$B:$B,"&lt;="&amp;$B16)&gt;0,"NA",AVERAGEIFS(monthly!I:I,monthly!$A:$A,"&gt;="&amp;$A16,monthly!$B:$B,"&lt;="&amp;$B16))</f>
        <v>2.7000000000000006</v>
      </c>
      <c r="R16" t="str">
        <f>IF(COUNTIFS(monthly!J:J,"",monthly!$A:$A,"&gt;="&amp;$A16,monthly!$B:$B,"&lt;="&amp;$B16)&gt;0,"NA",AVERAGEIFS(monthly!J:J,monthly!$A:$A,"&gt;="&amp;$A16,monthly!$B:$B,"&lt;="&amp;$B16))</f>
        <v>NA</v>
      </c>
      <c r="S16" t="str">
        <f>IF(COUNTIFS(monthly!K:K,"",monthly!$A:$A,"&gt;="&amp;$A16,monthly!$B:$B,"&lt;="&amp;$B16)&gt;0,"NA",AVERAGEIFS(monthly!K:K,monthly!$A:$A,"&gt;="&amp;$A16,monthly!$B:$B,"&lt;="&amp;$B16))</f>
        <v>NA</v>
      </c>
      <c r="T16">
        <f>IF(COUNTIFS(monthly!L:L,"",monthly!$A:$A,"&gt;="&amp;$A16,monthly!$B:$B,"&lt;="&amp;$B16)&gt;0,"NA",AVERAGEIFS(monthly!L:L,monthly!$A:$A,"&gt;="&amp;$A16,monthly!$B:$B,"&lt;="&amp;$B16))</f>
        <v>10.560157706093191</v>
      </c>
      <c r="U16" t="str">
        <f>IF(COUNTIFS(monthly!M:M,"",monthly!$A:$A,"&gt;="&amp;$A16,monthly!$B:$B,"&lt;="&amp;$B16)&gt;0,"NA",AVERAGEIFS(monthly!M:M,monthly!$A:$A,"&gt;="&amp;$A16,monthly!$B:$B,"&lt;="&amp;$B16))</f>
        <v>NA</v>
      </c>
      <c r="V16" t="str">
        <f>IF(COUNTIFS(monthly!N:N,"",monthly!$A:$A,"&gt;="&amp;$A16,monthly!$B:$B,"&lt;="&amp;$B16)&gt;0,"NA",AVERAGEIFS(monthly!N:N,monthly!$A:$A,"&gt;="&amp;$A16,monthly!$B:$B,"&lt;="&amp;$B16))</f>
        <v>NA</v>
      </c>
      <c r="W16" t="str">
        <f>IF(COUNTIFS(monthly!O:O,"",monthly!$A:$A,"&gt;="&amp;$A16,monthly!$B:$B,"&lt;="&amp;$B16)&gt;0,"NA",AVERAGEIFS(monthly!O:O,monthly!$A:$A,"&gt;="&amp;$A16,monthly!$B:$B,"&lt;="&amp;$B16))</f>
        <v>NA</v>
      </c>
      <c r="X16" t="str">
        <f>IF(COUNTIFS(monthly!P:P,"",monthly!$A:$A,"&gt;="&amp;$A16,monthly!$B:$B,"&lt;="&amp;$B16)&gt;0,"NA",AVERAGEIFS(monthly!P:P,monthly!$A:$A,"&gt;="&amp;$A16,monthly!$B:$B,"&lt;="&amp;$B16))</f>
        <v>NA</v>
      </c>
      <c r="Y16">
        <f>IF(COUNTIFS(monthly!Q:Q,"",monthly!$A:$A,"&gt;="&amp;$A16,monthly!$B:$B,"&lt;="&amp;$B16)&gt;0,"NA",AVERAGEIFS(monthly!Q:Q,monthly!$A:$A,"&gt;="&amp;$A16,monthly!$B:$B,"&lt;="&amp;$B16))</f>
        <v>7.2833333333333341</v>
      </c>
      <c r="Z16">
        <f>IF(COUNTIFS(monthly!R:R,"",monthly!$A:$A,"&gt;="&amp;$A16,monthly!$B:$B,"&lt;="&amp;$B16)&gt;0,"NA",AVERAGEIFS(monthly!R:R,monthly!$A:$A,"&gt;="&amp;$A16,monthly!$B:$B,"&lt;="&amp;$B16))</f>
        <v>7.2087537684791689</v>
      </c>
      <c r="AA16">
        <f>IF(COUNTIFS(monthly!S:S,"",monthly!$A:$A,"&gt;="&amp;$A16,monthly!$B:$B,"&lt;="&amp;$B16)&gt;0,"NA",AVERAGEIFS(monthly!S:S,monthly!$A:$A,"&gt;="&amp;$A16,monthly!$B:$B,"&lt;="&amp;$B16))</f>
        <v>7.4579564854165462E-2</v>
      </c>
      <c r="AB16" t="str">
        <f>IF(COUNTIFS(monthly!T:T,"",monthly!$A:$A,"&gt;="&amp;$A16,monthly!$B:$B,"&lt;="&amp;$B16)&gt;0,"NA",AVERAGEIFS(monthly!T:T,monthly!$A:$A,"&gt;="&amp;$A16,monthly!$B:$B,"&lt;="&amp;$B16))</f>
        <v>NA</v>
      </c>
      <c r="AC16" t="str">
        <f>IF(COUNTIFS(monthly!U:U,"",monthly!$A:$A,"&gt;="&amp;$A16,monthly!$B:$B,"&lt;="&amp;$B16)&gt;0,"NA",AVERAGEIFS(monthly!U:U,monthly!$A:$A,"&gt;="&amp;$A16,monthly!$B:$B,"&lt;="&amp;$B16))</f>
        <v>NA</v>
      </c>
      <c r="AD16" t="str">
        <f>IF(COUNTIFS(monthly!V:V,"",monthly!$A:$A,"&gt;="&amp;$A16,monthly!$B:$B,"&lt;="&amp;$B16)&gt;0,"NA",AVERAGEIFS(monthly!V:V,monthly!$A:$A,"&gt;="&amp;$A16,monthly!$B:$B,"&lt;="&amp;$B16))</f>
        <v>NA</v>
      </c>
      <c r="AE16" t="str">
        <f>IF(COUNTIFS(monthly!W:W,"",monthly!$A:$A,"&gt;="&amp;$A16,monthly!$B:$B,"&lt;="&amp;$B16)&gt;0,"NA",AVERAGEIFS(monthly!W:W,monthly!$A:$A,"&gt;="&amp;$A16,monthly!$B:$B,"&lt;="&amp;$B16))</f>
        <v>NA</v>
      </c>
      <c r="AF16" t="str">
        <f>IF(COUNTIFS(monthly!X:X,"",monthly!$A:$A,"&gt;="&amp;$A16,monthly!$B:$B,"&lt;="&amp;$B16)&gt;0,"NA",AVERAGEIFS(monthly!X:X,monthly!$A:$A,"&gt;="&amp;$A16,monthly!$B:$B,"&lt;="&amp;$B16))</f>
        <v>NA</v>
      </c>
      <c r="AG16" t="str">
        <f>IF(COUNTIFS(monthly!Y:Y,"",monthly!$A:$A,"&gt;="&amp;$A16,monthly!$B:$B,"&lt;="&amp;$B16)&gt;0,"NA",AVERAGEIFS(monthly!Y:Y,monthly!$A:$A,"&gt;="&amp;$A16,monthly!$B:$B,"&lt;="&amp;$B16))</f>
        <v>NA</v>
      </c>
      <c r="AH16" t="str">
        <f>IF(COUNTIFS(monthly!Z:Z,"",monthly!$A:$A,"&gt;="&amp;$A16,monthly!$B:$B,"&lt;="&amp;$B16)&gt;0,"NA",AVERAGEIFS(monthly!Z:Z,monthly!$A:$A,"&gt;="&amp;$A16,monthly!$B:$B,"&lt;="&amp;$B16))</f>
        <v>NA</v>
      </c>
    </row>
    <row r="17" spans="1:34" x14ac:dyDescent="0.2">
      <c r="A17" s="1">
        <v>26938</v>
      </c>
      <c r="B17" s="1">
        <v>27028</v>
      </c>
      <c r="C17">
        <f>IF(ISBLANK(VLOOKUP($A17,quarterly_data,MATCH(C$1,quarterly!$1:$1,FALSE),FALSE)),"NA",VLOOKUP($A17,quarterly_data,MATCH(C$1,quarterly!$1:$1,FALSE),FALSE))</f>
        <v>163.13408516887125</v>
      </c>
      <c r="D17">
        <f>IF(ISBLANK(VLOOKUP($A17,quarterly_data,MATCH(D$1,quarterly!$1:$1,FALSE),FALSE)),"NA",VLOOKUP($A17,quarterly_data,MATCH(D$1,quarterly!$1:$1,FALSE),FALSE))</f>
        <v>67.3</v>
      </c>
      <c r="E17">
        <f>IF(ISBLANK(VLOOKUP($A17,quarterly_data,MATCH(E$1,quarterly!$1:$1,FALSE),FALSE)),"NA",VLOOKUP($A17,quarterly_data,MATCH(E$1,quarterly!$1:$1,FALSE),FALSE))</f>
        <v>0.22614200000000001</v>
      </c>
      <c r="F17">
        <f>IF(ISBLANK(VLOOKUP($A17,quarterly_data,MATCH(F$1,quarterly!$1:$1,FALSE),FALSE)),"NA",VLOOKUP($A17,quarterly_data,MATCH(F$1,quarterly!$1:$1,FALSE),FALSE))</f>
        <v>0.12166490000000001</v>
      </c>
      <c r="G17">
        <f>IF(ISBLANK(VLOOKUP($A17,quarterly_data,MATCH(G$1,quarterly!$1:$1,FALSE),FALSE)),"NA",VLOOKUP($A17,quarterly_data,MATCH(G$1,quarterly!$1:$1,FALSE),FALSE))</f>
        <v>6150.1310000000003</v>
      </c>
      <c r="H17">
        <f>IF(ISBLANK(VLOOKUP($A17,quarterly_data,MATCH(H$1,quarterly!$1:$1,FALSE),FALSE)),"NA",VLOOKUP($A17,quarterly_data,MATCH(H$1,quarterly!$1:$1,FALSE),FALSE))</f>
        <v>157363</v>
      </c>
      <c r="I17" t="str">
        <f>IF(ISBLANK(VLOOKUP($A17,quarterly_data,MATCH(I$1,quarterly!$1:$1,FALSE),FALSE)),"NA",VLOOKUP($A17,quarterly_data,MATCH(I$1,quarterly!$1:$1,FALSE),FALSE))</f>
        <v>NA</v>
      </c>
      <c r="J17">
        <f>IF(ISBLANK(VLOOKUP($A17,quarterly_data,MATCH(J$1,quarterly!$1:$1,FALSE),FALSE)),"NA",VLOOKUP($A17,quarterly_data,MATCH(J$1,quarterly!$1:$1,FALSE),FALSE))</f>
        <v>8.7799999999999994</v>
      </c>
      <c r="K17">
        <f>IF(COUNTIFS(monthly!C:C,"",monthly!$A:$A,"&gt;="&amp;$A17,monthly!$B:$B,"&lt;="&amp;$B17)&gt;0,"NA",AVERAGEIFS(monthly!C:C,monthly!$A:$A,"&gt;="&amp;$A17,monthly!$B:$B,"&lt;="&amp;$B17))</f>
        <v>115.55</v>
      </c>
      <c r="L17">
        <f>IF(COUNTIFS(monthly!D:D,"",monthly!$A:$A,"&gt;="&amp;$A17,monthly!$B:$B,"&lt;="&amp;$B17)&gt;0,"NA",AVERAGEIFS(monthly!D:D,monthly!$A:$A,"&gt;="&amp;$A17,monthly!$B:$B,"&lt;="&amp;$B17))</f>
        <v>1.4875</v>
      </c>
      <c r="M17" t="str">
        <f>IF(COUNTIFS(monthly!E:E,"",monthly!$A:$A,"&gt;="&amp;$A17,monthly!$B:$B,"&lt;="&amp;$B17)&gt;0,"NA",AVERAGEIFS(monthly!E:E,monthly!$A:$A,"&gt;="&amp;$A17,monthly!$B:$B,"&lt;="&amp;$B17))</f>
        <v>NA</v>
      </c>
      <c r="N17" t="str">
        <f>IF(COUNTIFS(monthly!F:F,"",monthly!$A:$A,"&gt;="&amp;$A17,monthly!$B:$B,"&lt;="&amp;$B17)&gt;0,"NA",AVERAGEIFS(monthly!F:F,monthly!$A:$A,"&gt;="&amp;$A17,monthly!$B:$B,"&lt;="&amp;$B17))</f>
        <v>NA</v>
      </c>
      <c r="O17">
        <f>IF(COUNTIFS(monthly!G:G,"",monthly!$A:$A,"&gt;="&amp;$A17,monthly!$B:$B,"&lt;="&amp;$B17)&gt;0,"NA",AVERAGEIFS(monthly!G:G,monthly!$A:$A,"&gt;="&amp;$A17,monthly!$B:$B,"&lt;="&amp;$B17))</f>
        <v>10.3</v>
      </c>
      <c r="P17">
        <f>IF(COUNTIFS(monthly!H:H,"",monthly!$A:$A,"&gt;="&amp;$A17,monthly!$B:$B,"&lt;="&amp;$B17)&gt;0,"NA",AVERAGEIFS(monthly!H:H,monthly!$A:$A,"&gt;="&amp;$A17,monthly!$B:$B,"&lt;="&amp;$B17))</f>
        <v>11.5</v>
      </c>
      <c r="Q17">
        <f>IF(COUNTIFS(monthly!I:I,"",monthly!$A:$A,"&gt;="&amp;$A17,monthly!$B:$B,"&lt;="&amp;$B17)&gt;0,"NA",AVERAGEIFS(monthly!I:I,monthly!$A:$A,"&gt;="&amp;$A17,monthly!$B:$B,"&lt;="&amp;$B17))</f>
        <v>4.0999999999999996</v>
      </c>
      <c r="R17" t="str">
        <f>IF(COUNTIFS(monthly!J:J,"",monthly!$A:$A,"&gt;="&amp;$A17,monthly!$B:$B,"&lt;="&amp;$B17)&gt;0,"NA",AVERAGEIFS(monthly!J:J,monthly!$A:$A,"&gt;="&amp;$A17,monthly!$B:$B,"&lt;="&amp;$B17))</f>
        <v>NA</v>
      </c>
      <c r="S17" t="str">
        <f>IF(COUNTIFS(monthly!K:K,"",monthly!$A:$A,"&gt;="&amp;$A17,monthly!$B:$B,"&lt;="&amp;$B17)&gt;0,"NA",AVERAGEIFS(monthly!K:K,monthly!$A:$A,"&gt;="&amp;$A17,monthly!$B:$B,"&lt;="&amp;$B17))</f>
        <v>NA</v>
      </c>
      <c r="T17">
        <f>IF(COUNTIFS(monthly!L:L,"",monthly!$A:$A,"&gt;="&amp;$A17,monthly!$B:$B,"&lt;="&amp;$B17)&gt;0,"NA",AVERAGEIFS(monthly!L:L,monthly!$A:$A,"&gt;="&amp;$A17,monthly!$B:$B,"&lt;="&amp;$B17))</f>
        <v>10.021833333333332</v>
      </c>
      <c r="U17" t="str">
        <f>IF(COUNTIFS(monthly!M:M,"",monthly!$A:$A,"&gt;="&amp;$A17,monthly!$B:$B,"&lt;="&amp;$B17)&gt;0,"NA",AVERAGEIFS(monthly!M:M,monthly!$A:$A,"&gt;="&amp;$A17,monthly!$B:$B,"&lt;="&amp;$B17))</f>
        <v>NA</v>
      </c>
      <c r="V17" t="str">
        <f>IF(COUNTIFS(monthly!N:N,"",monthly!$A:$A,"&gt;="&amp;$A17,monthly!$B:$B,"&lt;="&amp;$B17)&gt;0,"NA",AVERAGEIFS(monthly!N:N,monthly!$A:$A,"&gt;="&amp;$A17,monthly!$B:$B,"&lt;="&amp;$B17))</f>
        <v>NA</v>
      </c>
      <c r="W17" t="str">
        <f>IF(COUNTIFS(monthly!O:O,"",monthly!$A:$A,"&gt;="&amp;$A17,monthly!$B:$B,"&lt;="&amp;$B17)&gt;0,"NA",AVERAGEIFS(monthly!O:O,monthly!$A:$A,"&gt;="&amp;$A17,monthly!$B:$B,"&lt;="&amp;$B17))</f>
        <v>NA</v>
      </c>
      <c r="X17" t="str">
        <f>IF(COUNTIFS(monthly!P:P,"",monthly!$A:$A,"&gt;="&amp;$A17,monthly!$B:$B,"&lt;="&amp;$B17)&gt;0,"NA",AVERAGEIFS(monthly!P:P,monthly!$A:$A,"&gt;="&amp;$A17,monthly!$B:$B,"&lt;="&amp;$B17))</f>
        <v>NA</v>
      </c>
      <c r="Y17">
        <f>IF(COUNTIFS(monthly!Q:Q,"",monthly!$A:$A,"&gt;="&amp;$A17,monthly!$B:$B,"&lt;="&amp;$B17)&gt;0,"NA",AVERAGEIFS(monthly!Q:Q,monthly!$A:$A,"&gt;="&amp;$A17,monthly!$B:$B,"&lt;="&amp;$B17))</f>
        <v>8.35</v>
      </c>
      <c r="Z17">
        <f>IF(COUNTIFS(monthly!R:R,"",monthly!$A:$A,"&gt;="&amp;$A17,monthly!$B:$B,"&lt;="&amp;$B17)&gt;0,"NA",AVERAGEIFS(monthly!R:R,monthly!$A:$A,"&gt;="&amp;$A17,monthly!$B:$B,"&lt;="&amp;$B17))</f>
        <v>6.7613928571428579</v>
      </c>
      <c r="AA17">
        <f>IF(COUNTIFS(monthly!S:S,"",monthly!$A:$A,"&gt;="&amp;$A17,monthly!$B:$B,"&lt;="&amp;$B17)&gt;0,"NA",AVERAGEIFS(monthly!S:S,monthly!$A:$A,"&gt;="&amp;$A17,monthly!$B:$B,"&lt;="&amp;$B17))</f>
        <v>1.5886071428571418</v>
      </c>
      <c r="AB17" t="str">
        <f>IF(COUNTIFS(monthly!T:T,"",monthly!$A:$A,"&gt;="&amp;$A17,monthly!$B:$B,"&lt;="&amp;$B17)&gt;0,"NA",AVERAGEIFS(monthly!T:T,monthly!$A:$A,"&gt;="&amp;$A17,monthly!$B:$B,"&lt;="&amp;$B17))</f>
        <v>NA</v>
      </c>
      <c r="AC17" t="str">
        <f>IF(COUNTIFS(monthly!U:U,"",monthly!$A:$A,"&gt;="&amp;$A17,monthly!$B:$B,"&lt;="&amp;$B17)&gt;0,"NA",AVERAGEIFS(monthly!U:U,monthly!$A:$A,"&gt;="&amp;$A17,monthly!$B:$B,"&lt;="&amp;$B17))</f>
        <v>NA</v>
      </c>
      <c r="AD17" t="str">
        <f>IF(COUNTIFS(monthly!V:V,"",monthly!$A:$A,"&gt;="&amp;$A17,monthly!$B:$B,"&lt;="&amp;$B17)&gt;0,"NA",AVERAGEIFS(monthly!V:V,monthly!$A:$A,"&gt;="&amp;$A17,monthly!$B:$B,"&lt;="&amp;$B17))</f>
        <v>NA</v>
      </c>
      <c r="AE17" t="str">
        <f>IF(COUNTIFS(monthly!W:W,"",monthly!$A:$A,"&gt;="&amp;$A17,monthly!$B:$B,"&lt;="&amp;$B17)&gt;0,"NA",AVERAGEIFS(monthly!W:W,monthly!$A:$A,"&gt;="&amp;$A17,monthly!$B:$B,"&lt;="&amp;$B17))</f>
        <v>NA</v>
      </c>
      <c r="AF17" t="str">
        <f>IF(COUNTIFS(monthly!X:X,"",monthly!$A:$A,"&gt;="&amp;$A17,monthly!$B:$B,"&lt;="&amp;$B17)&gt;0,"NA",AVERAGEIFS(monthly!X:X,monthly!$A:$A,"&gt;="&amp;$A17,monthly!$B:$B,"&lt;="&amp;$B17))</f>
        <v>NA</v>
      </c>
      <c r="AG17" t="str">
        <f>IF(COUNTIFS(monthly!Y:Y,"",monthly!$A:$A,"&gt;="&amp;$A17,monthly!$B:$B,"&lt;="&amp;$B17)&gt;0,"NA",AVERAGEIFS(monthly!Y:Y,monthly!$A:$A,"&gt;="&amp;$A17,monthly!$B:$B,"&lt;="&amp;$B17))</f>
        <v>NA</v>
      </c>
      <c r="AH17" t="str">
        <f>IF(COUNTIFS(monthly!Z:Z,"",monthly!$A:$A,"&gt;="&amp;$A17,monthly!$B:$B,"&lt;="&amp;$B17)&gt;0,"NA",AVERAGEIFS(monthly!Z:Z,monthly!$A:$A,"&gt;="&amp;$A17,monthly!$B:$B,"&lt;="&amp;$B17))</f>
        <v>NA</v>
      </c>
    </row>
    <row r="18" spans="1:34" x14ac:dyDescent="0.2">
      <c r="A18" s="1">
        <v>27030</v>
      </c>
      <c r="B18" s="1">
        <v>27118</v>
      </c>
      <c r="C18">
        <f>IF(ISBLANK(VLOOKUP($A18,quarterly_data,MATCH(C$1,quarterly!$1:$1,FALSE),FALSE)),"NA",VLOOKUP($A18,quarterly_data,MATCH(C$1,quarterly!$1:$1,FALSE),FALSE))</f>
        <v>166.03299620181201</v>
      </c>
      <c r="D18">
        <f>IF(ISBLANK(VLOOKUP($A18,quarterly_data,MATCH(D$1,quarterly!$1:$1,FALSE),FALSE)),"NA",VLOOKUP($A18,quarterly_data,MATCH(D$1,quarterly!$1:$1,FALSE),FALSE))</f>
        <v>70.8</v>
      </c>
      <c r="E18">
        <f>IF(ISBLANK(VLOOKUP($A18,quarterly_data,MATCH(E$1,quarterly!$1:$1,FALSE),FALSE)),"NA",VLOOKUP($A18,quarterly_data,MATCH(E$1,quarterly!$1:$1,FALSE),FALSE))</f>
        <v>0</v>
      </c>
      <c r="F18">
        <f>IF(ISBLANK(VLOOKUP($A18,quarterly_data,MATCH(F$1,quarterly!$1:$1,FALSE),FALSE)),"NA",VLOOKUP($A18,quarterly_data,MATCH(F$1,quarterly!$1:$1,FALSE),FALSE))</f>
        <v>3.44157E-2</v>
      </c>
      <c r="G18">
        <f>IF(ISBLANK(VLOOKUP($A18,quarterly_data,MATCH(G$1,quarterly!$1:$1,FALSE),FALSE)),"NA",VLOOKUP($A18,quarterly_data,MATCH(G$1,quarterly!$1:$1,FALSE),FALSE))</f>
        <v>6097.2579999999998</v>
      </c>
      <c r="H18">
        <f>IF(ISBLANK(VLOOKUP($A18,quarterly_data,MATCH(H$1,quarterly!$1:$1,FALSE),FALSE)),"NA",VLOOKUP($A18,quarterly_data,MATCH(H$1,quarterly!$1:$1,FALSE),FALSE))</f>
        <v>157420</v>
      </c>
      <c r="I18" t="str">
        <f>IF(ISBLANK(VLOOKUP($A18,quarterly_data,MATCH(I$1,quarterly!$1:$1,FALSE),FALSE)),"NA",VLOOKUP($A18,quarterly_data,MATCH(I$1,quarterly!$1:$1,FALSE),FALSE))</f>
        <v>NA</v>
      </c>
      <c r="J18">
        <f>IF(ISBLANK(VLOOKUP($A18,quarterly_data,MATCH(J$1,quarterly!$1:$1,FALSE),FALSE)),"NA",VLOOKUP($A18,quarterly_data,MATCH(J$1,quarterly!$1:$1,FALSE),FALSE))</f>
        <v>9.01</v>
      </c>
      <c r="K18">
        <f>IF(COUNTIFS(monthly!C:C,"",monthly!$A:$A,"&gt;="&amp;$A18,monthly!$B:$B,"&lt;="&amp;$B18)&gt;0,"NA",AVERAGEIFS(monthly!C:C,monthly!$A:$A,"&gt;="&amp;$A18,monthly!$B:$B,"&lt;="&amp;$B18))</f>
        <v>120.15</v>
      </c>
      <c r="L18">
        <f>IF(COUNTIFS(monthly!D:D,"",monthly!$A:$A,"&gt;="&amp;$A18,monthly!$B:$B,"&lt;="&amp;$B18)&gt;0,"NA",AVERAGEIFS(monthly!D:D,monthly!$A:$A,"&gt;="&amp;$A18,monthly!$B:$B,"&lt;="&amp;$B18))</f>
        <v>1.4875</v>
      </c>
      <c r="M18" t="str">
        <f>IF(COUNTIFS(monthly!E:E,"",monthly!$A:$A,"&gt;="&amp;$A18,monthly!$B:$B,"&lt;="&amp;$B18)&gt;0,"NA",AVERAGEIFS(monthly!E:E,monthly!$A:$A,"&gt;="&amp;$A18,monthly!$B:$B,"&lt;="&amp;$B18))</f>
        <v>NA</v>
      </c>
      <c r="N18" t="str">
        <f>IF(COUNTIFS(monthly!F:F,"",monthly!$A:$A,"&gt;="&amp;$A18,monthly!$B:$B,"&lt;="&amp;$B18)&gt;0,"NA",AVERAGEIFS(monthly!F:F,monthly!$A:$A,"&gt;="&amp;$A18,monthly!$B:$B,"&lt;="&amp;$B18))</f>
        <v>NA</v>
      </c>
      <c r="O18">
        <f>IF(COUNTIFS(monthly!G:G,"",monthly!$A:$A,"&gt;="&amp;$A18,monthly!$B:$B,"&lt;="&amp;$B18)&gt;0,"NA",AVERAGEIFS(monthly!G:G,monthly!$A:$A,"&gt;="&amp;$A18,monthly!$B:$B,"&lt;="&amp;$B18))</f>
        <v>13.4</v>
      </c>
      <c r="P18">
        <f>IF(COUNTIFS(monthly!H:H,"",monthly!$A:$A,"&gt;="&amp;$A18,monthly!$B:$B,"&lt;="&amp;$B18)&gt;0,"NA",AVERAGEIFS(monthly!H:H,monthly!$A:$A,"&gt;="&amp;$A18,monthly!$B:$B,"&lt;="&amp;$B18))</f>
        <v>16.899999999999999</v>
      </c>
      <c r="Q18">
        <f>IF(COUNTIFS(monthly!I:I,"",monthly!$A:$A,"&gt;="&amp;$A18,monthly!$B:$B,"&lt;="&amp;$B18)&gt;0,"NA",AVERAGEIFS(monthly!I:I,monthly!$A:$A,"&gt;="&amp;$A18,monthly!$B:$B,"&lt;="&amp;$B18))</f>
        <v>13</v>
      </c>
      <c r="R18" t="str">
        <f>IF(COUNTIFS(monthly!J:J,"",monthly!$A:$A,"&gt;="&amp;$A18,monthly!$B:$B,"&lt;="&amp;$B18)&gt;0,"NA",AVERAGEIFS(monthly!J:J,monthly!$A:$A,"&gt;="&amp;$A18,monthly!$B:$B,"&lt;="&amp;$B18))</f>
        <v>NA</v>
      </c>
      <c r="S18" t="str">
        <f>IF(COUNTIFS(monthly!K:K,"",monthly!$A:$A,"&gt;="&amp;$A18,monthly!$B:$B,"&lt;="&amp;$B18)&gt;0,"NA",AVERAGEIFS(monthly!K:K,monthly!$A:$A,"&gt;="&amp;$A18,monthly!$B:$B,"&lt;="&amp;$B18))</f>
        <v>NA</v>
      </c>
      <c r="T18">
        <f>IF(COUNTIFS(monthly!L:L,"",monthly!$A:$A,"&gt;="&amp;$A18,monthly!$B:$B,"&lt;="&amp;$B18)&gt;0,"NA",AVERAGEIFS(monthly!L:L,monthly!$A:$A,"&gt;="&amp;$A18,monthly!$B:$B,"&lt;="&amp;$B18))</f>
        <v>9.3100864055299546</v>
      </c>
      <c r="U18" t="str">
        <f>IF(COUNTIFS(monthly!M:M,"",monthly!$A:$A,"&gt;="&amp;$A18,monthly!$B:$B,"&lt;="&amp;$B18)&gt;0,"NA",AVERAGEIFS(monthly!M:M,monthly!$A:$A,"&gt;="&amp;$A18,monthly!$B:$B,"&lt;="&amp;$B18))</f>
        <v>NA</v>
      </c>
      <c r="V18" t="str">
        <f>IF(COUNTIFS(monthly!N:N,"",monthly!$A:$A,"&gt;="&amp;$A18,monthly!$B:$B,"&lt;="&amp;$B18)&gt;0,"NA",AVERAGEIFS(monthly!N:N,monthly!$A:$A,"&gt;="&amp;$A18,monthly!$B:$B,"&lt;="&amp;$B18))</f>
        <v>NA</v>
      </c>
      <c r="W18" t="str">
        <f>IF(COUNTIFS(monthly!O:O,"",monthly!$A:$A,"&gt;="&amp;$A18,monthly!$B:$B,"&lt;="&amp;$B18)&gt;0,"NA",AVERAGEIFS(monthly!O:O,monthly!$A:$A,"&gt;="&amp;$A18,monthly!$B:$B,"&lt;="&amp;$B18))</f>
        <v>NA</v>
      </c>
      <c r="X18" t="str">
        <f>IF(COUNTIFS(monthly!P:P,"",monthly!$A:$A,"&gt;="&amp;$A18,monthly!$B:$B,"&lt;="&amp;$B18)&gt;0,"NA",AVERAGEIFS(monthly!P:P,monthly!$A:$A,"&gt;="&amp;$A18,monthly!$B:$B,"&lt;="&amp;$B18))</f>
        <v>NA</v>
      </c>
      <c r="Y18">
        <f>IF(COUNTIFS(monthly!Q:Q,"",monthly!$A:$A,"&gt;="&amp;$A18,monthly!$B:$B,"&lt;="&amp;$B18)&gt;0,"NA",AVERAGEIFS(monthly!Q:Q,monthly!$A:$A,"&gt;="&amp;$A18,monthly!$B:$B,"&lt;="&amp;$B18))</f>
        <v>8.36</v>
      </c>
      <c r="Z18">
        <f>IF(COUNTIFS(monthly!R:R,"",monthly!$A:$A,"&gt;="&amp;$A18,monthly!$B:$B,"&lt;="&amp;$B18)&gt;0,"NA",AVERAGEIFS(monthly!R:R,monthly!$A:$A,"&gt;="&amp;$A18,monthly!$B:$B,"&lt;="&amp;$B18))</f>
        <v>6.9729292929292921</v>
      </c>
      <c r="AA18">
        <f>IF(COUNTIFS(monthly!S:S,"",monthly!$A:$A,"&gt;="&amp;$A18,monthly!$B:$B,"&lt;="&amp;$B18)&gt;0,"NA",AVERAGEIFS(monthly!S:S,monthly!$A:$A,"&gt;="&amp;$A18,monthly!$B:$B,"&lt;="&amp;$B18))</f>
        <v>1.3870707070707069</v>
      </c>
      <c r="AB18" t="str">
        <f>IF(COUNTIFS(monthly!T:T,"",monthly!$A:$A,"&gt;="&amp;$A18,monthly!$B:$B,"&lt;="&amp;$B18)&gt;0,"NA",AVERAGEIFS(monthly!T:T,monthly!$A:$A,"&gt;="&amp;$A18,monthly!$B:$B,"&lt;="&amp;$B18))</f>
        <v>NA</v>
      </c>
      <c r="AC18" t="str">
        <f>IF(COUNTIFS(monthly!U:U,"",monthly!$A:$A,"&gt;="&amp;$A18,monthly!$B:$B,"&lt;="&amp;$B18)&gt;0,"NA",AVERAGEIFS(monthly!U:U,monthly!$A:$A,"&gt;="&amp;$A18,monthly!$B:$B,"&lt;="&amp;$B18))</f>
        <v>NA</v>
      </c>
      <c r="AD18" t="str">
        <f>IF(COUNTIFS(monthly!V:V,"",monthly!$A:$A,"&gt;="&amp;$A18,monthly!$B:$B,"&lt;="&amp;$B18)&gt;0,"NA",AVERAGEIFS(monthly!V:V,monthly!$A:$A,"&gt;="&amp;$A18,monthly!$B:$B,"&lt;="&amp;$B18))</f>
        <v>NA</v>
      </c>
      <c r="AE18" t="str">
        <f>IF(COUNTIFS(monthly!W:W,"",monthly!$A:$A,"&gt;="&amp;$A18,monthly!$B:$B,"&lt;="&amp;$B18)&gt;0,"NA",AVERAGEIFS(monthly!W:W,monthly!$A:$A,"&gt;="&amp;$A18,monthly!$B:$B,"&lt;="&amp;$B18))</f>
        <v>NA</v>
      </c>
      <c r="AF18" t="str">
        <f>IF(COUNTIFS(monthly!X:X,"",monthly!$A:$A,"&gt;="&amp;$A18,monthly!$B:$B,"&lt;="&amp;$B18)&gt;0,"NA",AVERAGEIFS(monthly!X:X,monthly!$A:$A,"&gt;="&amp;$A18,monthly!$B:$B,"&lt;="&amp;$B18))</f>
        <v>NA</v>
      </c>
      <c r="AG18" t="str">
        <f>IF(COUNTIFS(monthly!Y:Y,"",monthly!$A:$A,"&gt;="&amp;$A18,monthly!$B:$B,"&lt;="&amp;$B18)&gt;0,"NA",AVERAGEIFS(monthly!Y:Y,monthly!$A:$A,"&gt;="&amp;$A18,monthly!$B:$B,"&lt;="&amp;$B18))</f>
        <v>NA</v>
      </c>
      <c r="AH18" t="str">
        <f>IF(COUNTIFS(monthly!Z:Z,"",monthly!$A:$A,"&gt;="&amp;$A18,monthly!$B:$B,"&lt;="&amp;$B18)&gt;0,"NA",AVERAGEIFS(monthly!Z:Z,monthly!$A:$A,"&gt;="&amp;$A18,monthly!$B:$B,"&lt;="&amp;$B18))</f>
        <v>NA</v>
      </c>
    </row>
    <row r="19" spans="1:34" x14ac:dyDescent="0.2">
      <c r="A19" s="1">
        <v>27120</v>
      </c>
      <c r="B19" s="1">
        <v>27210</v>
      </c>
      <c r="C19">
        <f>IF(ISBLANK(VLOOKUP($A19,quarterly_data,MATCH(C$1,quarterly!$1:$1,FALSE),FALSE)),"NA",VLOOKUP($A19,quarterly_data,MATCH(C$1,quarterly!$1:$1,FALSE),FALSE))</f>
        <v>162.81103166426416</v>
      </c>
      <c r="D19">
        <f>IF(ISBLANK(VLOOKUP($A19,quarterly_data,MATCH(D$1,quarterly!$1:$1,FALSE),FALSE)),"NA",VLOOKUP($A19,quarterly_data,MATCH(D$1,quarterly!$1:$1,FALSE),FALSE))</f>
        <v>64.5</v>
      </c>
      <c r="E19">
        <f>IF(ISBLANK(VLOOKUP($A19,quarterly_data,MATCH(E$1,quarterly!$1:$1,FALSE),FALSE)),"NA",VLOOKUP($A19,quarterly_data,MATCH(E$1,quarterly!$1:$1,FALSE),FALSE))</f>
        <v>0</v>
      </c>
      <c r="F19">
        <f>IF(ISBLANK(VLOOKUP($A19,quarterly_data,MATCH(F$1,quarterly!$1:$1,FALSE),FALSE)),"NA",VLOOKUP($A19,quarterly_data,MATCH(F$1,quarterly!$1:$1,FALSE),FALSE))</f>
        <v>7.5380999999999998E-3</v>
      </c>
      <c r="G19">
        <f>IF(ISBLANK(VLOOKUP($A19,quarterly_data,MATCH(G$1,quarterly!$1:$1,FALSE),FALSE)),"NA",VLOOKUP($A19,quarterly_data,MATCH(G$1,quarterly!$1:$1,FALSE),FALSE))</f>
        <v>6111.7510000000002</v>
      </c>
      <c r="H19">
        <f>IF(ISBLANK(VLOOKUP($A19,quarterly_data,MATCH(H$1,quarterly!$1:$1,FALSE),FALSE)),"NA",VLOOKUP($A19,quarterly_data,MATCH(H$1,quarterly!$1:$1,FALSE),FALSE))</f>
        <v>154228</v>
      </c>
      <c r="I19" t="str">
        <f>IF(ISBLANK(VLOOKUP($A19,quarterly_data,MATCH(I$1,quarterly!$1:$1,FALSE),FALSE)),"NA",VLOOKUP($A19,quarterly_data,MATCH(I$1,quarterly!$1:$1,FALSE),FALSE))</f>
        <v>NA</v>
      </c>
      <c r="J19">
        <f>IF(ISBLANK(VLOOKUP($A19,quarterly_data,MATCH(J$1,quarterly!$1:$1,FALSE),FALSE)),"NA",VLOOKUP($A19,quarterly_data,MATCH(J$1,quarterly!$1:$1,FALSE),FALSE))</f>
        <v>9.39</v>
      </c>
      <c r="K19">
        <f>IF(COUNTIFS(monthly!C:C,"",monthly!$A:$A,"&gt;="&amp;$A19,monthly!$B:$B,"&lt;="&amp;$B19)&gt;0,"NA",AVERAGEIFS(monthly!C:C,monthly!$A:$A,"&gt;="&amp;$A19,monthly!$B:$B,"&lt;="&amp;$B19))</f>
        <v>116.76666666666667</v>
      </c>
      <c r="L19">
        <f>IF(COUNTIFS(monthly!D:D,"",monthly!$A:$A,"&gt;="&amp;$A19,monthly!$B:$B,"&lt;="&amp;$B19)&gt;0,"NA",AVERAGEIFS(monthly!D:D,monthly!$A:$A,"&gt;="&amp;$A19,monthly!$B:$B,"&lt;="&amp;$B19))</f>
        <v>1.4875</v>
      </c>
      <c r="M19" t="str">
        <f>IF(COUNTIFS(monthly!E:E,"",monthly!$A:$A,"&gt;="&amp;$A19,monthly!$B:$B,"&lt;="&amp;$B19)&gt;0,"NA",AVERAGEIFS(monthly!E:E,monthly!$A:$A,"&gt;="&amp;$A19,monthly!$B:$B,"&lt;="&amp;$B19))</f>
        <v>NA</v>
      </c>
      <c r="N19" t="str">
        <f>IF(COUNTIFS(monthly!F:F,"",monthly!$A:$A,"&gt;="&amp;$A19,monthly!$B:$B,"&lt;="&amp;$B19)&gt;0,"NA",AVERAGEIFS(monthly!F:F,monthly!$A:$A,"&gt;="&amp;$A19,monthly!$B:$B,"&lt;="&amp;$B19))</f>
        <v>NA</v>
      </c>
      <c r="O19">
        <f>IF(COUNTIFS(monthly!G:G,"",monthly!$A:$A,"&gt;="&amp;$A19,monthly!$B:$B,"&lt;="&amp;$B19)&gt;0,"NA",AVERAGEIFS(monthly!G:G,monthly!$A:$A,"&gt;="&amp;$A19,monthly!$B:$B,"&lt;="&amp;$B19))</f>
        <v>13.4</v>
      </c>
      <c r="P19">
        <f>IF(COUNTIFS(monthly!H:H,"",monthly!$A:$A,"&gt;="&amp;$A19,monthly!$B:$B,"&lt;="&amp;$B19)&gt;0,"NA",AVERAGEIFS(monthly!H:H,monthly!$A:$A,"&gt;="&amp;$A19,monthly!$B:$B,"&lt;="&amp;$B19))</f>
        <v>16.899999999999999</v>
      </c>
      <c r="Q19">
        <f>IF(COUNTIFS(monthly!I:I,"",monthly!$A:$A,"&gt;="&amp;$A19,monthly!$B:$B,"&lt;="&amp;$B19)&gt;0,"NA",AVERAGEIFS(monthly!I:I,monthly!$A:$A,"&gt;="&amp;$A19,monthly!$B:$B,"&lt;="&amp;$B19))</f>
        <v>10.6</v>
      </c>
      <c r="R19" t="str">
        <f>IF(COUNTIFS(monthly!J:J,"",monthly!$A:$A,"&gt;="&amp;$A19,monthly!$B:$B,"&lt;="&amp;$B19)&gt;0,"NA",AVERAGEIFS(monthly!J:J,monthly!$A:$A,"&gt;="&amp;$A19,monthly!$B:$B,"&lt;="&amp;$B19))</f>
        <v>NA</v>
      </c>
      <c r="S19" t="str">
        <f>IF(COUNTIFS(monthly!K:K,"",monthly!$A:$A,"&gt;="&amp;$A19,monthly!$B:$B,"&lt;="&amp;$B19)&gt;0,"NA",AVERAGEIFS(monthly!K:K,monthly!$A:$A,"&gt;="&amp;$A19,monthly!$B:$B,"&lt;="&amp;$B19))</f>
        <v>NA</v>
      </c>
      <c r="T19">
        <f>IF(COUNTIFS(monthly!L:L,"",monthly!$A:$A,"&gt;="&amp;$A19,monthly!$B:$B,"&lt;="&amp;$B19)&gt;0,"NA",AVERAGEIFS(monthly!L:L,monthly!$A:$A,"&gt;="&amp;$A19,monthly!$B:$B,"&lt;="&amp;$B19))</f>
        <v>11.250709677419358</v>
      </c>
      <c r="U19" t="str">
        <f>IF(COUNTIFS(monthly!M:M,"",monthly!$A:$A,"&gt;="&amp;$A19,monthly!$B:$B,"&lt;="&amp;$B19)&gt;0,"NA",AVERAGEIFS(monthly!M:M,monthly!$A:$A,"&gt;="&amp;$A19,monthly!$B:$B,"&lt;="&amp;$B19))</f>
        <v>NA</v>
      </c>
      <c r="V19" t="str">
        <f>IF(COUNTIFS(monthly!N:N,"",monthly!$A:$A,"&gt;="&amp;$A19,monthly!$B:$B,"&lt;="&amp;$B19)&gt;0,"NA",AVERAGEIFS(monthly!N:N,monthly!$A:$A,"&gt;="&amp;$A19,monthly!$B:$B,"&lt;="&amp;$B19))</f>
        <v>NA</v>
      </c>
      <c r="W19" t="str">
        <f>IF(COUNTIFS(monthly!O:O,"",monthly!$A:$A,"&gt;="&amp;$A19,monthly!$B:$B,"&lt;="&amp;$B19)&gt;0,"NA",AVERAGEIFS(monthly!O:O,monthly!$A:$A,"&gt;="&amp;$A19,monthly!$B:$B,"&lt;="&amp;$B19))</f>
        <v>NA</v>
      </c>
      <c r="X19" t="str">
        <f>IF(COUNTIFS(monthly!P:P,"",monthly!$A:$A,"&gt;="&amp;$A19,monthly!$B:$B,"&lt;="&amp;$B19)&gt;0,"NA",AVERAGEIFS(monthly!P:P,monthly!$A:$A,"&gt;="&amp;$A19,monthly!$B:$B,"&lt;="&amp;$B19))</f>
        <v>NA</v>
      </c>
      <c r="Y19">
        <f>IF(COUNTIFS(monthly!Q:Q,"",monthly!$A:$A,"&gt;="&amp;$A19,monthly!$B:$B,"&lt;="&amp;$B19)&gt;0,"NA",AVERAGEIFS(monthly!Q:Q,monthly!$A:$A,"&gt;="&amp;$A19,monthly!$B:$B,"&lt;="&amp;$B19))</f>
        <v>8.7833333333333332</v>
      </c>
      <c r="Z19">
        <f>IF(COUNTIFS(monthly!R:R,"",monthly!$A:$A,"&gt;="&amp;$A19,monthly!$B:$B,"&lt;="&amp;$B19)&gt;0,"NA",AVERAGEIFS(monthly!R:R,monthly!$A:$A,"&gt;="&amp;$A19,monthly!$B:$B,"&lt;="&amp;$B19))</f>
        <v>7.5412633477633477</v>
      </c>
      <c r="AA19">
        <f>IF(COUNTIFS(monthly!S:S,"",monthly!$A:$A,"&gt;="&amp;$A19,monthly!$B:$B,"&lt;="&amp;$B19)&gt;0,"NA",AVERAGEIFS(monthly!S:S,monthly!$A:$A,"&gt;="&amp;$A19,monthly!$B:$B,"&lt;="&amp;$B19))</f>
        <v>1.2420699855699855</v>
      </c>
      <c r="AB19" t="str">
        <f>IF(COUNTIFS(monthly!T:T,"",monthly!$A:$A,"&gt;="&amp;$A19,monthly!$B:$B,"&lt;="&amp;$B19)&gt;0,"NA",AVERAGEIFS(monthly!T:T,monthly!$A:$A,"&gt;="&amp;$A19,monthly!$B:$B,"&lt;="&amp;$B19))</f>
        <v>NA</v>
      </c>
      <c r="AC19" t="str">
        <f>IF(COUNTIFS(monthly!U:U,"",monthly!$A:$A,"&gt;="&amp;$A19,monthly!$B:$B,"&lt;="&amp;$B19)&gt;0,"NA",AVERAGEIFS(monthly!U:U,monthly!$A:$A,"&gt;="&amp;$A19,monthly!$B:$B,"&lt;="&amp;$B19))</f>
        <v>NA</v>
      </c>
      <c r="AD19" t="str">
        <f>IF(COUNTIFS(monthly!V:V,"",monthly!$A:$A,"&gt;="&amp;$A19,monthly!$B:$B,"&lt;="&amp;$B19)&gt;0,"NA",AVERAGEIFS(monthly!V:V,monthly!$A:$A,"&gt;="&amp;$A19,monthly!$B:$B,"&lt;="&amp;$B19))</f>
        <v>NA</v>
      </c>
      <c r="AE19" t="str">
        <f>IF(COUNTIFS(monthly!W:W,"",monthly!$A:$A,"&gt;="&amp;$A19,monthly!$B:$B,"&lt;="&amp;$B19)&gt;0,"NA",AVERAGEIFS(monthly!W:W,monthly!$A:$A,"&gt;="&amp;$A19,monthly!$B:$B,"&lt;="&amp;$B19))</f>
        <v>NA</v>
      </c>
      <c r="AF19" t="str">
        <f>IF(COUNTIFS(monthly!X:X,"",monthly!$A:$A,"&gt;="&amp;$A19,monthly!$B:$B,"&lt;="&amp;$B19)&gt;0,"NA",AVERAGEIFS(monthly!X:X,monthly!$A:$A,"&gt;="&amp;$A19,monthly!$B:$B,"&lt;="&amp;$B19))</f>
        <v>NA</v>
      </c>
      <c r="AG19" t="str">
        <f>IF(COUNTIFS(monthly!Y:Y,"",monthly!$A:$A,"&gt;="&amp;$A19,monthly!$B:$B,"&lt;="&amp;$B19)&gt;0,"NA",AVERAGEIFS(monthly!Y:Y,monthly!$A:$A,"&gt;="&amp;$A19,monthly!$B:$B,"&lt;="&amp;$B19))</f>
        <v>NA</v>
      </c>
      <c r="AH19" t="str">
        <f>IF(COUNTIFS(monthly!Z:Z,"",monthly!$A:$A,"&gt;="&amp;$A19,monthly!$B:$B,"&lt;="&amp;$B19)&gt;0,"NA",AVERAGEIFS(monthly!Z:Z,monthly!$A:$A,"&gt;="&amp;$A19,monthly!$B:$B,"&lt;="&amp;$B19))</f>
        <v>NA</v>
      </c>
    </row>
    <row r="20" spans="1:34" x14ac:dyDescent="0.2">
      <c r="A20" s="1">
        <v>27211</v>
      </c>
      <c r="B20" s="1">
        <v>27302</v>
      </c>
      <c r="C20">
        <f>IF(ISBLANK(VLOOKUP($A20,quarterly_data,MATCH(C$1,quarterly!$1:$1,FALSE),FALSE)),"NA",VLOOKUP($A20,quarterly_data,MATCH(C$1,quarterly!$1:$1,FALSE),FALSE))</f>
        <v>172.07482343060511</v>
      </c>
      <c r="D20">
        <f>IF(ISBLANK(VLOOKUP($A20,quarterly_data,MATCH(D$1,quarterly!$1:$1,FALSE),FALSE)),"NA",VLOOKUP($A20,quarterly_data,MATCH(D$1,quarterly!$1:$1,FALSE),FALSE))</f>
        <v>64</v>
      </c>
      <c r="E20">
        <f>IF(ISBLANK(VLOOKUP($A20,quarterly_data,MATCH(E$1,quarterly!$1:$1,FALSE),FALSE)),"NA",VLOOKUP($A20,quarterly_data,MATCH(E$1,quarterly!$1:$1,FALSE),FALSE))</f>
        <v>0.42498940000000002</v>
      </c>
      <c r="F20">
        <f>IF(ISBLANK(VLOOKUP($A20,quarterly_data,MATCH(F$1,quarterly!$1:$1,FALSE),FALSE)),"NA",VLOOKUP($A20,quarterly_data,MATCH(F$1,quarterly!$1:$1,FALSE),FALSE))</f>
        <v>8.4997900000000001E-2</v>
      </c>
      <c r="G20">
        <f>IF(ISBLANK(VLOOKUP($A20,quarterly_data,MATCH(G$1,quarterly!$1:$1,FALSE),FALSE)),"NA",VLOOKUP($A20,quarterly_data,MATCH(G$1,quarterly!$1:$1,FALSE),FALSE))</f>
        <v>6053.9780000000001</v>
      </c>
      <c r="H20">
        <f>IF(ISBLANK(VLOOKUP($A20,quarterly_data,MATCH(H$1,quarterly!$1:$1,FALSE),FALSE)),"NA",VLOOKUP($A20,quarterly_data,MATCH(H$1,quarterly!$1:$1,FALSE),FALSE))</f>
        <v>156047</v>
      </c>
      <c r="I20" t="str">
        <f>IF(ISBLANK(VLOOKUP($A20,quarterly_data,MATCH(I$1,quarterly!$1:$1,FALSE),FALSE)),"NA",VLOOKUP($A20,quarterly_data,MATCH(I$1,quarterly!$1:$1,FALSE),FALSE))</f>
        <v>NA</v>
      </c>
      <c r="J20">
        <f>IF(ISBLANK(VLOOKUP($A20,quarterly_data,MATCH(J$1,quarterly!$1:$1,FALSE),FALSE)),"NA",VLOOKUP($A20,quarterly_data,MATCH(J$1,quarterly!$1:$1,FALSE),FALSE))</f>
        <v>9.86</v>
      </c>
      <c r="K20">
        <f>IF(COUNTIFS(monthly!C:C,"",monthly!$A:$A,"&gt;="&amp;$A20,monthly!$B:$B,"&lt;="&amp;$B20)&gt;0,"NA",AVERAGEIFS(monthly!C:C,monthly!$A:$A,"&gt;="&amp;$A20,monthly!$B:$B,"&lt;="&amp;$B20))</f>
        <v>114.86666666666667</v>
      </c>
      <c r="L20">
        <f>IF(COUNTIFS(monthly!D:D,"",monthly!$A:$A,"&gt;="&amp;$A20,monthly!$B:$B,"&lt;="&amp;$B20)&gt;0,"NA",AVERAGEIFS(monthly!D:D,monthly!$A:$A,"&gt;="&amp;$A20,monthly!$B:$B,"&lt;="&amp;$B20))</f>
        <v>1.4284333333333334</v>
      </c>
      <c r="M20" t="str">
        <f>IF(COUNTIFS(monthly!E:E,"",monthly!$A:$A,"&gt;="&amp;$A20,monthly!$B:$B,"&lt;="&amp;$B20)&gt;0,"NA",AVERAGEIFS(monthly!E:E,monthly!$A:$A,"&gt;="&amp;$A20,monthly!$B:$B,"&lt;="&amp;$B20))</f>
        <v>NA</v>
      </c>
      <c r="N20" t="str">
        <f>IF(COUNTIFS(monthly!F:F,"",monthly!$A:$A,"&gt;="&amp;$A20,monthly!$B:$B,"&lt;="&amp;$B20)&gt;0,"NA",AVERAGEIFS(monthly!F:F,monthly!$A:$A,"&gt;="&amp;$A20,monthly!$B:$B,"&lt;="&amp;$B20))</f>
        <v>NA</v>
      </c>
      <c r="O20">
        <f>IF(COUNTIFS(monthly!G:G,"",monthly!$A:$A,"&gt;="&amp;$A20,monthly!$B:$B,"&lt;="&amp;$B20)&gt;0,"NA",AVERAGEIFS(monthly!G:G,monthly!$A:$A,"&gt;="&amp;$A20,monthly!$B:$B,"&lt;="&amp;$B20))</f>
        <v>13.4</v>
      </c>
      <c r="P20">
        <f>IF(COUNTIFS(monthly!H:H,"",monthly!$A:$A,"&gt;="&amp;$A20,monthly!$B:$B,"&lt;="&amp;$B20)&gt;0,"NA",AVERAGEIFS(monthly!H:H,monthly!$A:$A,"&gt;="&amp;$A20,monthly!$B:$B,"&lt;="&amp;$B20))</f>
        <v>16.899999999999999</v>
      </c>
      <c r="Q20">
        <f>IF(COUNTIFS(monthly!I:I,"",monthly!$A:$A,"&gt;="&amp;$A20,monthly!$B:$B,"&lt;="&amp;$B20)&gt;0,"NA",AVERAGEIFS(monthly!I:I,monthly!$A:$A,"&gt;="&amp;$A20,monthly!$B:$B,"&lt;="&amp;$B20))</f>
        <v>10</v>
      </c>
      <c r="R20" t="str">
        <f>IF(COUNTIFS(monthly!J:J,"",monthly!$A:$A,"&gt;="&amp;$A20,monthly!$B:$B,"&lt;="&amp;$B20)&gt;0,"NA",AVERAGEIFS(monthly!J:J,monthly!$A:$A,"&gt;="&amp;$A20,monthly!$B:$B,"&lt;="&amp;$B20))</f>
        <v>NA</v>
      </c>
      <c r="S20" t="str">
        <f>IF(COUNTIFS(monthly!K:K,"",monthly!$A:$A,"&gt;="&amp;$A20,monthly!$B:$B,"&lt;="&amp;$B20)&gt;0,"NA",AVERAGEIFS(monthly!K:K,monthly!$A:$A,"&gt;="&amp;$A20,monthly!$B:$B,"&lt;="&amp;$B20))</f>
        <v>NA</v>
      </c>
      <c r="T20">
        <f>IF(COUNTIFS(monthly!L:L,"",monthly!$A:$A,"&gt;="&amp;$A20,monthly!$B:$B,"&lt;="&amp;$B20)&gt;0,"NA",AVERAGEIFS(monthly!L:L,monthly!$A:$A,"&gt;="&amp;$A20,monthly!$B:$B,"&lt;="&amp;$B20))</f>
        <v>12.090465949820789</v>
      </c>
      <c r="U20" t="str">
        <f>IF(COUNTIFS(monthly!M:M,"",monthly!$A:$A,"&gt;="&amp;$A20,monthly!$B:$B,"&lt;="&amp;$B20)&gt;0,"NA",AVERAGEIFS(monthly!M:M,monthly!$A:$A,"&gt;="&amp;$A20,monthly!$B:$B,"&lt;="&amp;$B20))</f>
        <v>NA</v>
      </c>
      <c r="V20" t="str">
        <f>IF(COUNTIFS(monthly!N:N,"",monthly!$A:$A,"&gt;="&amp;$A20,monthly!$B:$B,"&lt;="&amp;$B20)&gt;0,"NA",AVERAGEIFS(monthly!N:N,monthly!$A:$A,"&gt;="&amp;$A20,monthly!$B:$B,"&lt;="&amp;$B20))</f>
        <v>NA</v>
      </c>
      <c r="W20" t="str">
        <f>IF(COUNTIFS(monthly!O:O,"",monthly!$A:$A,"&gt;="&amp;$A20,monthly!$B:$B,"&lt;="&amp;$B20)&gt;0,"NA",AVERAGEIFS(monthly!O:O,monthly!$A:$A,"&gt;="&amp;$A20,monthly!$B:$B,"&lt;="&amp;$B20))</f>
        <v>NA</v>
      </c>
      <c r="X20" t="str">
        <f>IF(COUNTIFS(monthly!P:P,"",monthly!$A:$A,"&gt;="&amp;$A20,monthly!$B:$B,"&lt;="&amp;$B20)&gt;0,"NA",AVERAGEIFS(monthly!P:P,monthly!$A:$A,"&gt;="&amp;$A20,monthly!$B:$B,"&lt;="&amp;$B20))</f>
        <v>NA</v>
      </c>
      <c r="Y20">
        <f>IF(COUNTIFS(monthly!Q:Q,"",monthly!$A:$A,"&gt;="&amp;$A20,monthly!$B:$B,"&lt;="&amp;$B20)&gt;0,"NA",AVERAGEIFS(monthly!Q:Q,monthly!$A:$A,"&gt;="&amp;$A20,monthly!$B:$B,"&lt;="&amp;$B20))</f>
        <v>9.5</v>
      </c>
      <c r="Z20">
        <f>IF(COUNTIFS(monthly!R:R,"",monthly!$A:$A,"&gt;="&amp;$A20,monthly!$B:$B,"&lt;="&amp;$B20)&gt;0,"NA",AVERAGEIFS(monthly!R:R,monthly!$A:$A,"&gt;="&amp;$A20,monthly!$B:$B,"&lt;="&amp;$B20))</f>
        <v>7.9621969696969686</v>
      </c>
      <c r="AA20">
        <f>IF(COUNTIFS(monthly!S:S,"",monthly!$A:$A,"&gt;="&amp;$A20,monthly!$B:$B,"&lt;="&amp;$B20)&gt;0,"NA",AVERAGEIFS(monthly!S:S,monthly!$A:$A,"&gt;="&amp;$A20,monthly!$B:$B,"&lt;="&amp;$B20))</f>
        <v>1.5378030303030308</v>
      </c>
      <c r="AB20" t="str">
        <f>IF(COUNTIFS(monthly!T:T,"",monthly!$A:$A,"&gt;="&amp;$A20,monthly!$B:$B,"&lt;="&amp;$B20)&gt;0,"NA",AVERAGEIFS(monthly!T:T,monthly!$A:$A,"&gt;="&amp;$A20,monthly!$B:$B,"&lt;="&amp;$B20))</f>
        <v>NA</v>
      </c>
      <c r="AC20" t="str">
        <f>IF(COUNTIFS(monthly!U:U,"",monthly!$A:$A,"&gt;="&amp;$A20,monthly!$B:$B,"&lt;="&amp;$B20)&gt;0,"NA",AVERAGEIFS(monthly!U:U,monthly!$A:$A,"&gt;="&amp;$A20,monthly!$B:$B,"&lt;="&amp;$B20))</f>
        <v>NA</v>
      </c>
      <c r="AD20" t="str">
        <f>IF(COUNTIFS(monthly!V:V,"",monthly!$A:$A,"&gt;="&amp;$A20,monthly!$B:$B,"&lt;="&amp;$B20)&gt;0,"NA",AVERAGEIFS(monthly!V:V,monthly!$A:$A,"&gt;="&amp;$A20,monthly!$B:$B,"&lt;="&amp;$B20))</f>
        <v>NA</v>
      </c>
      <c r="AE20" t="str">
        <f>IF(COUNTIFS(monthly!W:W,"",monthly!$A:$A,"&gt;="&amp;$A20,monthly!$B:$B,"&lt;="&amp;$B20)&gt;0,"NA",AVERAGEIFS(monthly!W:W,monthly!$A:$A,"&gt;="&amp;$A20,monthly!$B:$B,"&lt;="&amp;$B20))</f>
        <v>NA</v>
      </c>
      <c r="AF20" t="str">
        <f>IF(COUNTIFS(monthly!X:X,"",monthly!$A:$A,"&gt;="&amp;$A20,monthly!$B:$B,"&lt;="&amp;$B20)&gt;0,"NA",AVERAGEIFS(monthly!X:X,monthly!$A:$A,"&gt;="&amp;$A20,monthly!$B:$B,"&lt;="&amp;$B20))</f>
        <v>NA</v>
      </c>
      <c r="AG20" t="str">
        <f>IF(COUNTIFS(monthly!Y:Y,"",monthly!$A:$A,"&gt;="&amp;$A20,monthly!$B:$B,"&lt;="&amp;$B20)&gt;0,"NA",AVERAGEIFS(monthly!Y:Y,monthly!$A:$A,"&gt;="&amp;$A20,monthly!$B:$B,"&lt;="&amp;$B20))</f>
        <v>NA</v>
      </c>
      <c r="AH20" t="str">
        <f>IF(COUNTIFS(monthly!Z:Z,"",monthly!$A:$A,"&gt;="&amp;$A20,monthly!$B:$B,"&lt;="&amp;$B20)&gt;0,"NA",AVERAGEIFS(monthly!Z:Z,monthly!$A:$A,"&gt;="&amp;$A20,monthly!$B:$B,"&lt;="&amp;$B20))</f>
        <v>NA</v>
      </c>
    </row>
    <row r="21" spans="1:34" x14ac:dyDescent="0.2">
      <c r="A21" s="1">
        <v>27303</v>
      </c>
      <c r="B21" s="1">
        <v>27393</v>
      </c>
      <c r="C21">
        <f>IF(ISBLANK(VLOOKUP($A21,quarterly_data,MATCH(C$1,quarterly!$1:$1,FALSE),FALSE)),"NA",VLOOKUP($A21,quarterly_data,MATCH(C$1,quarterly!$1:$1,FALSE),FALSE))</f>
        <v>158.27403540222627</v>
      </c>
      <c r="D21">
        <f>IF(ISBLANK(VLOOKUP($A21,quarterly_data,MATCH(D$1,quarterly!$1:$1,FALSE),FALSE)),"NA",VLOOKUP($A21,quarterly_data,MATCH(D$1,quarterly!$1:$1,FALSE),FALSE))</f>
        <v>60.8</v>
      </c>
      <c r="E21">
        <f>IF(ISBLANK(VLOOKUP($A21,quarterly_data,MATCH(E$1,quarterly!$1:$1,FALSE),FALSE)),"NA",VLOOKUP($A21,quarterly_data,MATCH(E$1,quarterly!$1:$1,FALSE),FALSE))</f>
        <v>0.46591090000000002</v>
      </c>
      <c r="F21">
        <f>IF(ISBLANK(VLOOKUP($A21,quarterly_data,MATCH(F$1,quarterly!$1:$1,FALSE),FALSE)),"NA",VLOOKUP($A21,quarterly_data,MATCH(F$1,quarterly!$1:$1,FALSE),FALSE))</f>
        <v>0.1356811</v>
      </c>
      <c r="G21">
        <f>IF(ISBLANK(VLOOKUP($A21,quarterly_data,MATCH(G$1,quarterly!$1:$1,FALSE),FALSE)),"NA",VLOOKUP($A21,quarterly_data,MATCH(G$1,quarterly!$1:$1,FALSE),FALSE))</f>
        <v>6030.4639999999999</v>
      </c>
      <c r="H21">
        <f>IF(ISBLANK(VLOOKUP($A21,quarterly_data,MATCH(H$1,quarterly!$1:$1,FALSE),FALSE)),"NA",VLOOKUP($A21,quarterly_data,MATCH(H$1,quarterly!$1:$1,FALSE),FALSE))</f>
        <v>156217</v>
      </c>
      <c r="I21" t="str">
        <f>IF(ISBLANK(VLOOKUP($A21,quarterly_data,MATCH(I$1,quarterly!$1:$1,FALSE),FALSE)),"NA",VLOOKUP($A21,quarterly_data,MATCH(I$1,quarterly!$1:$1,FALSE),FALSE))</f>
        <v>NA</v>
      </c>
      <c r="J21">
        <f>IF(ISBLANK(VLOOKUP($A21,quarterly_data,MATCH(J$1,quarterly!$1:$1,FALSE),FALSE)),"NA",VLOOKUP($A21,quarterly_data,MATCH(J$1,quarterly!$1:$1,FALSE),FALSE))</f>
        <v>10.210000000000001</v>
      </c>
      <c r="K21">
        <f>IF(COUNTIFS(monthly!C:C,"",monthly!$A:$A,"&gt;="&amp;$A21,monthly!$B:$B,"&lt;="&amp;$B21)&gt;0,"NA",AVERAGEIFS(monthly!C:C,monthly!$A:$A,"&gt;="&amp;$A21,monthly!$B:$B,"&lt;="&amp;$B21))</f>
        <v>105.3</v>
      </c>
      <c r="L21">
        <f>IF(COUNTIFS(monthly!D:D,"",monthly!$A:$A,"&gt;="&amp;$A21,monthly!$B:$B,"&lt;="&amp;$B21)&gt;0,"NA",AVERAGEIFS(monthly!D:D,monthly!$A:$A,"&gt;="&amp;$A21,monthly!$B:$B,"&lt;="&amp;$B21))</f>
        <v>1.31335</v>
      </c>
      <c r="M21" t="str">
        <f>IF(COUNTIFS(monthly!E:E,"",monthly!$A:$A,"&gt;="&amp;$A21,monthly!$B:$B,"&lt;="&amp;$B21)&gt;0,"NA",AVERAGEIFS(monthly!E:E,monthly!$A:$A,"&gt;="&amp;$A21,monthly!$B:$B,"&lt;="&amp;$B21))</f>
        <v>NA</v>
      </c>
      <c r="N21" t="str">
        <f>IF(COUNTIFS(monthly!F:F,"",monthly!$A:$A,"&gt;="&amp;$A21,monthly!$B:$B,"&lt;="&amp;$B21)&gt;0,"NA",AVERAGEIFS(monthly!F:F,monthly!$A:$A,"&gt;="&amp;$A21,monthly!$B:$B,"&lt;="&amp;$B21))</f>
        <v>NA</v>
      </c>
      <c r="O21">
        <f>IF(COUNTIFS(monthly!G:G,"",monthly!$A:$A,"&gt;="&amp;$A21,monthly!$B:$B,"&lt;="&amp;$B21)&gt;0,"NA",AVERAGEIFS(monthly!G:G,monthly!$A:$A,"&gt;="&amp;$A21,monthly!$B:$B,"&lt;="&amp;$B21))</f>
        <v>13.4</v>
      </c>
      <c r="P21">
        <f>IF(COUNTIFS(monthly!H:H,"",monthly!$A:$A,"&gt;="&amp;$A21,monthly!$B:$B,"&lt;="&amp;$B21)&gt;0,"NA",AVERAGEIFS(monthly!H:H,monthly!$A:$A,"&gt;="&amp;$A21,monthly!$B:$B,"&lt;="&amp;$B21))</f>
        <v>16.899999999999999</v>
      </c>
      <c r="Q21">
        <f>IF(COUNTIFS(monthly!I:I,"",monthly!$A:$A,"&gt;="&amp;$A21,monthly!$B:$B,"&lt;="&amp;$B21)&gt;0,"NA",AVERAGEIFS(monthly!I:I,monthly!$A:$A,"&gt;="&amp;$A21,monthly!$B:$B,"&lt;="&amp;$B21))</f>
        <v>10.3</v>
      </c>
      <c r="R21" t="str">
        <f>IF(COUNTIFS(monthly!J:J,"",monthly!$A:$A,"&gt;="&amp;$A21,monthly!$B:$B,"&lt;="&amp;$B21)&gt;0,"NA",AVERAGEIFS(monthly!J:J,monthly!$A:$A,"&gt;="&amp;$A21,monthly!$B:$B,"&lt;="&amp;$B21))</f>
        <v>NA</v>
      </c>
      <c r="S21" t="str">
        <f>IF(COUNTIFS(monthly!K:K,"",monthly!$A:$A,"&gt;="&amp;$A21,monthly!$B:$B,"&lt;="&amp;$B21)&gt;0,"NA",AVERAGEIFS(monthly!K:K,monthly!$A:$A,"&gt;="&amp;$A21,monthly!$B:$B,"&lt;="&amp;$B21))</f>
        <v>NA</v>
      </c>
      <c r="T21">
        <f>IF(COUNTIFS(monthly!L:L,"",monthly!$A:$A,"&gt;="&amp;$A21,monthly!$B:$B,"&lt;="&amp;$B21)&gt;0,"NA",AVERAGEIFS(monthly!L:L,monthly!$A:$A,"&gt;="&amp;$A21,monthly!$B:$B,"&lt;="&amp;$B21))</f>
        <v>9.7527043010752692</v>
      </c>
      <c r="U21" t="str">
        <f>IF(COUNTIFS(monthly!M:M,"",monthly!$A:$A,"&gt;="&amp;$A21,monthly!$B:$B,"&lt;="&amp;$B21)&gt;0,"NA",AVERAGEIFS(monthly!M:M,monthly!$A:$A,"&gt;="&amp;$A21,monthly!$B:$B,"&lt;="&amp;$B21))</f>
        <v>NA</v>
      </c>
      <c r="V21" t="str">
        <f>IF(COUNTIFS(monthly!N:N,"",monthly!$A:$A,"&gt;="&amp;$A21,monthly!$B:$B,"&lt;="&amp;$B21)&gt;0,"NA",AVERAGEIFS(monthly!N:N,monthly!$A:$A,"&gt;="&amp;$A21,monthly!$B:$B,"&lt;="&amp;$B21))</f>
        <v>NA</v>
      </c>
      <c r="W21" t="str">
        <f>IF(COUNTIFS(monthly!O:O,"",monthly!$A:$A,"&gt;="&amp;$A21,monthly!$B:$B,"&lt;="&amp;$B21)&gt;0,"NA",AVERAGEIFS(monthly!O:O,monthly!$A:$A,"&gt;="&amp;$A21,monthly!$B:$B,"&lt;="&amp;$B21))</f>
        <v>NA</v>
      </c>
      <c r="X21" t="str">
        <f>IF(COUNTIFS(monthly!P:P,"",monthly!$A:$A,"&gt;="&amp;$A21,monthly!$B:$B,"&lt;="&amp;$B21)&gt;0,"NA",AVERAGEIFS(monthly!P:P,monthly!$A:$A,"&gt;="&amp;$A21,monthly!$B:$B,"&lt;="&amp;$B21))</f>
        <v>NA</v>
      </c>
      <c r="Y21">
        <f>IF(COUNTIFS(monthly!Q:Q,"",monthly!$A:$A,"&gt;="&amp;$A21,monthly!$B:$B,"&lt;="&amp;$B21)&gt;0,"NA",AVERAGEIFS(monthly!Q:Q,monthly!$A:$A,"&gt;="&amp;$A21,monthly!$B:$B,"&lt;="&amp;$B21))</f>
        <v>9.5</v>
      </c>
      <c r="Z21">
        <f>IF(COUNTIFS(monthly!R:R,"",monthly!$A:$A,"&gt;="&amp;$A21,monthly!$B:$B,"&lt;="&amp;$B21)&gt;0,"NA",AVERAGEIFS(monthly!R:R,monthly!$A:$A,"&gt;="&amp;$A21,monthly!$B:$B,"&lt;="&amp;$B21))</f>
        <v>7.7889646464646454</v>
      </c>
      <c r="AA21">
        <f>IF(COUNTIFS(monthly!S:S,"",monthly!$A:$A,"&gt;="&amp;$A21,monthly!$B:$B,"&lt;="&amp;$B21)&gt;0,"NA",AVERAGEIFS(monthly!S:S,monthly!$A:$A,"&gt;="&amp;$A21,monthly!$B:$B,"&lt;="&amp;$B21))</f>
        <v>1.7110353535353542</v>
      </c>
      <c r="AB21" t="str">
        <f>IF(COUNTIFS(monthly!T:T,"",monthly!$A:$A,"&gt;="&amp;$A21,monthly!$B:$B,"&lt;="&amp;$B21)&gt;0,"NA",AVERAGEIFS(monthly!T:T,monthly!$A:$A,"&gt;="&amp;$A21,monthly!$B:$B,"&lt;="&amp;$B21))</f>
        <v>NA</v>
      </c>
      <c r="AC21" t="str">
        <f>IF(COUNTIFS(monthly!U:U,"",monthly!$A:$A,"&gt;="&amp;$A21,monthly!$B:$B,"&lt;="&amp;$B21)&gt;0,"NA",AVERAGEIFS(monthly!U:U,monthly!$A:$A,"&gt;="&amp;$A21,monthly!$B:$B,"&lt;="&amp;$B21))</f>
        <v>NA</v>
      </c>
      <c r="AD21" t="str">
        <f>IF(COUNTIFS(monthly!V:V,"",monthly!$A:$A,"&gt;="&amp;$A21,monthly!$B:$B,"&lt;="&amp;$B21)&gt;0,"NA",AVERAGEIFS(monthly!V:V,monthly!$A:$A,"&gt;="&amp;$A21,monthly!$B:$B,"&lt;="&amp;$B21))</f>
        <v>NA</v>
      </c>
      <c r="AE21" t="str">
        <f>IF(COUNTIFS(monthly!W:W,"",monthly!$A:$A,"&gt;="&amp;$A21,monthly!$B:$B,"&lt;="&amp;$B21)&gt;0,"NA",AVERAGEIFS(monthly!W:W,monthly!$A:$A,"&gt;="&amp;$A21,monthly!$B:$B,"&lt;="&amp;$B21))</f>
        <v>NA</v>
      </c>
      <c r="AF21" t="str">
        <f>IF(COUNTIFS(monthly!X:X,"",monthly!$A:$A,"&gt;="&amp;$A21,monthly!$B:$B,"&lt;="&amp;$B21)&gt;0,"NA",AVERAGEIFS(monthly!X:X,monthly!$A:$A,"&gt;="&amp;$A21,monthly!$B:$B,"&lt;="&amp;$B21))</f>
        <v>NA</v>
      </c>
      <c r="AG21" t="str">
        <f>IF(COUNTIFS(monthly!Y:Y,"",monthly!$A:$A,"&gt;="&amp;$A21,monthly!$B:$B,"&lt;="&amp;$B21)&gt;0,"NA",AVERAGEIFS(monthly!Y:Y,monthly!$A:$A,"&gt;="&amp;$A21,monthly!$B:$B,"&lt;="&amp;$B21))</f>
        <v>NA</v>
      </c>
      <c r="AH21" t="str">
        <f>IF(COUNTIFS(monthly!Z:Z,"",monthly!$A:$A,"&gt;="&amp;$A21,monthly!$B:$B,"&lt;="&amp;$B21)&gt;0,"NA",AVERAGEIFS(monthly!Z:Z,monthly!$A:$A,"&gt;="&amp;$A21,monthly!$B:$B,"&lt;="&amp;$B21))</f>
        <v>NA</v>
      </c>
    </row>
    <row r="22" spans="1:34" x14ac:dyDescent="0.2">
      <c r="A22" s="1">
        <v>27395</v>
      </c>
      <c r="B22" s="1">
        <v>27483</v>
      </c>
      <c r="C22">
        <f>IF(ISBLANK(VLOOKUP($A22,quarterly_data,MATCH(C$1,quarterly!$1:$1,FALSE),FALSE)),"NA",VLOOKUP($A22,quarterly_data,MATCH(C$1,quarterly!$1:$1,FALSE),FALSE))</f>
        <v>161.58302578390899</v>
      </c>
      <c r="D22">
        <f>IF(ISBLANK(VLOOKUP($A22,quarterly_data,MATCH(D$1,quarterly!$1:$1,FALSE),FALSE)),"NA",VLOOKUP($A22,quarterly_data,MATCH(D$1,quarterly!$1:$1,FALSE),FALSE))</f>
        <v>59.8</v>
      </c>
      <c r="E22">
        <f>IF(ISBLANK(VLOOKUP($A22,quarterly_data,MATCH(E$1,quarterly!$1:$1,FALSE),FALSE)),"NA",VLOOKUP($A22,quarterly_data,MATCH(E$1,quarterly!$1:$1,FALSE),FALSE))</f>
        <v>0</v>
      </c>
      <c r="F22">
        <f>IF(ISBLANK(VLOOKUP($A22,quarterly_data,MATCH(F$1,quarterly!$1:$1,FALSE),FALSE)),"NA",VLOOKUP($A22,quarterly_data,MATCH(F$1,quarterly!$1:$1,FALSE),FALSE))</f>
        <v>6.0757400000000003E-2</v>
      </c>
      <c r="G22">
        <f>IF(ISBLANK(VLOOKUP($A22,quarterly_data,MATCH(G$1,quarterly!$1:$1,FALSE),FALSE)),"NA",VLOOKUP($A22,quarterly_data,MATCH(G$1,quarterly!$1:$1,FALSE),FALSE))</f>
        <v>5957.0349999999999</v>
      </c>
      <c r="H22">
        <f>IF(ISBLANK(VLOOKUP($A22,quarterly_data,MATCH(H$1,quarterly!$1:$1,FALSE),FALSE)),"NA",VLOOKUP($A22,quarterly_data,MATCH(H$1,quarterly!$1:$1,FALSE),FALSE))</f>
        <v>156828</v>
      </c>
      <c r="I22" t="str">
        <f>IF(ISBLANK(VLOOKUP($A22,quarterly_data,MATCH(I$1,quarterly!$1:$1,FALSE),FALSE)),"NA",VLOOKUP($A22,quarterly_data,MATCH(I$1,quarterly!$1:$1,FALSE),FALSE))</f>
        <v>NA</v>
      </c>
      <c r="J22">
        <f>IF(ISBLANK(VLOOKUP($A22,quarterly_data,MATCH(J$1,quarterly!$1:$1,FALSE),FALSE)),"NA",VLOOKUP($A22,quarterly_data,MATCH(J$1,quarterly!$1:$1,FALSE),FALSE))</f>
        <v>10.59</v>
      </c>
      <c r="K22">
        <f>IF(COUNTIFS(monthly!C:C,"",monthly!$A:$A,"&gt;="&amp;$A22,monthly!$B:$B,"&lt;="&amp;$B22)&gt;0,"NA",AVERAGEIFS(monthly!C:C,monthly!$A:$A,"&gt;="&amp;$A22,monthly!$B:$B,"&lt;="&amp;$B22))</f>
        <v>105.3</v>
      </c>
      <c r="L22">
        <f>IF(COUNTIFS(monthly!D:D,"",monthly!$A:$A,"&gt;="&amp;$A22,monthly!$B:$B,"&lt;="&amp;$B22)&gt;0,"NA",AVERAGEIFS(monthly!D:D,monthly!$A:$A,"&gt;="&amp;$A22,monthly!$B:$B,"&lt;="&amp;$B22))</f>
        <v>1.3525</v>
      </c>
      <c r="M22" t="str">
        <f>IF(COUNTIFS(monthly!E:E,"",monthly!$A:$A,"&gt;="&amp;$A22,monthly!$B:$B,"&lt;="&amp;$B22)&gt;0,"NA",AVERAGEIFS(monthly!E:E,monthly!$A:$A,"&gt;="&amp;$A22,monthly!$B:$B,"&lt;="&amp;$B22))</f>
        <v>NA</v>
      </c>
      <c r="N22" t="str">
        <f>IF(COUNTIFS(monthly!F:F,"",monthly!$A:$A,"&gt;="&amp;$A22,monthly!$B:$B,"&lt;="&amp;$B22)&gt;0,"NA",AVERAGEIFS(monthly!F:F,monthly!$A:$A,"&gt;="&amp;$A22,monthly!$B:$B,"&lt;="&amp;$B22))</f>
        <v>NA</v>
      </c>
      <c r="O22">
        <f>IF(COUNTIFS(monthly!G:G,"",monthly!$A:$A,"&gt;="&amp;$A22,monthly!$B:$B,"&lt;="&amp;$B22)&gt;0,"NA",AVERAGEIFS(monthly!G:G,monthly!$A:$A,"&gt;="&amp;$A22,monthly!$B:$B,"&lt;="&amp;$B22))</f>
        <v>17.3</v>
      </c>
      <c r="P22">
        <f>IF(COUNTIFS(monthly!H:H,"",monthly!$A:$A,"&gt;="&amp;$A22,monthly!$B:$B,"&lt;="&amp;$B22)&gt;0,"NA",AVERAGEIFS(monthly!H:H,monthly!$A:$A,"&gt;="&amp;$A22,monthly!$B:$B,"&lt;="&amp;$B22))</f>
        <v>26.8</v>
      </c>
      <c r="Q22">
        <f>IF(COUNTIFS(monthly!I:I,"",monthly!$A:$A,"&gt;="&amp;$A22,monthly!$B:$B,"&lt;="&amp;$B22)&gt;0,"NA",AVERAGEIFS(monthly!I:I,monthly!$A:$A,"&gt;="&amp;$A22,monthly!$B:$B,"&lt;="&amp;$B22))</f>
        <v>10.4</v>
      </c>
      <c r="R22" t="str">
        <f>IF(COUNTIFS(monthly!J:J,"",monthly!$A:$A,"&gt;="&amp;$A22,monthly!$B:$B,"&lt;="&amp;$B22)&gt;0,"NA",AVERAGEIFS(monthly!J:J,monthly!$A:$A,"&gt;="&amp;$A22,monthly!$B:$B,"&lt;="&amp;$B22))</f>
        <v>NA</v>
      </c>
      <c r="S22" t="str">
        <f>IF(COUNTIFS(monthly!K:K,"",monthly!$A:$A,"&gt;="&amp;$A22,monthly!$B:$B,"&lt;="&amp;$B22)&gt;0,"NA",AVERAGEIFS(monthly!K:K,monthly!$A:$A,"&gt;="&amp;$A22,monthly!$B:$B,"&lt;="&amp;$B22))</f>
        <v>NA</v>
      </c>
      <c r="T22">
        <f>IF(COUNTIFS(monthly!L:L,"",monthly!$A:$A,"&gt;="&amp;$A22,monthly!$B:$B,"&lt;="&amp;$B22)&gt;0,"NA",AVERAGEIFS(monthly!L:L,monthly!$A:$A,"&gt;="&amp;$A22,monthly!$B:$B,"&lt;="&amp;$B22))</f>
        <v>6.6861635944700453</v>
      </c>
      <c r="U22" t="str">
        <f>IF(COUNTIFS(monthly!M:M,"",monthly!$A:$A,"&gt;="&amp;$A22,monthly!$B:$B,"&lt;="&amp;$B22)&gt;0,"NA",AVERAGEIFS(monthly!M:M,monthly!$A:$A,"&gt;="&amp;$A22,monthly!$B:$B,"&lt;="&amp;$B22))</f>
        <v>NA</v>
      </c>
      <c r="V22" t="str">
        <f>IF(COUNTIFS(monthly!N:N,"",monthly!$A:$A,"&gt;="&amp;$A22,monthly!$B:$B,"&lt;="&amp;$B22)&gt;0,"NA",AVERAGEIFS(monthly!N:N,monthly!$A:$A,"&gt;="&amp;$A22,monthly!$B:$B,"&lt;="&amp;$B22))</f>
        <v>NA</v>
      </c>
      <c r="W22" t="str">
        <f>IF(COUNTIFS(monthly!O:O,"",monthly!$A:$A,"&gt;="&amp;$A22,monthly!$B:$B,"&lt;="&amp;$B22)&gt;0,"NA",AVERAGEIFS(monthly!O:O,monthly!$A:$A,"&gt;="&amp;$A22,monthly!$B:$B,"&lt;="&amp;$B22))</f>
        <v>NA</v>
      </c>
      <c r="X22" t="str">
        <f>IF(COUNTIFS(monthly!P:P,"",monthly!$A:$A,"&gt;="&amp;$A22,monthly!$B:$B,"&lt;="&amp;$B22)&gt;0,"NA",AVERAGEIFS(monthly!P:P,monthly!$A:$A,"&gt;="&amp;$A22,monthly!$B:$B,"&lt;="&amp;$B22))</f>
        <v>NA</v>
      </c>
      <c r="Y22">
        <f>IF(COUNTIFS(monthly!Q:Q,"",monthly!$A:$A,"&gt;="&amp;$A22,monthly!$B:$B,"&lt;="&amp;$B22)&gt;0,"NA",AVERAGEIFS(monthly!Q:Q,monthly!$A:$A,"&gt;="&amp;$A22,monthly!$B:$B,"&lt;="&amp;$B22))</f>
        <v>9.4499999999999993</v>
      </c>
      <c r="Z22">
        <f>IF(COUNTIFS(monthly!R:R,"",monthly!$A:$A,"&gt;="&amp;$A22,monthly!$B:$B,"&lt;="&amp;$B22)&gt;0,"NA",AVERAGEIFS(monthly!R:R,monthly!$A:$A,"&gt;="&amp;$A22,monthly!$B:$B,"&lt;="&amp;$B22))</f>
        <v>7.44679292929293</v>
      </c>
      <c r="AA22">
        <f>IF(COUNTIFS(monthly!S:S,"",monthly!$A:$A,"&gt;="&amp;$A22,monthly!$B:$B,"&lt;="&amp;$B22)&gt;0,"NA",AVERAGEIFS(monthly!S:S,monthly!$A:$A,"&gt;="&amp;$A22,monthly!$B:$B,"&lt;="&amp;$B22))</f>
        <v>2.0032070707070702</v>
      </c>
      <c r="AB22" t="str">
        <f>IF(COUNTIFS(monthly!T:T,"",monthly!$A:$A,"&gt;="&amp;$A22,monthly!$B:$B,"&lt;="&amp;$B22)&gt;0,"NA",AVERAGEIFS(monthly!T:T,monthly!$A:$A,"&gt;="&amp;$A22,monthly!$B:$B,"&lt;="&amp;$B22))</f>
        <v>NA</v>
      </c>
      <c r="AC22" t="str">
        <f>IF(COUNTIFS(monthly!U:U,"",monthly!$A:$A,"&gt;="&amp;$A22,monthly!$B:$B,"&lt;="&amp;$B22)&gt;0,"NA",AVERAGEIFS(monthly!U:U,monthly!$A:$A,"&gt;="&amp;$A22,monthly!$B:$B,"&lt;="&amp;$B22))</f>
        <v>NA</v>
      </c>
      <c r="AD22" t="str">
        <f>IF(COUNTIFS(monthly!V:V,"",monthly!$A:$A,"&gt;="&amp;$A22,monthly!$B:$B,"&lt;="&amp;$B22)&gt;0,"NA",AVERAGEIFS(monthly!V:V,monthly!$A:$A,"&gt;="&amp;$A22,monthly!$B:$B,"&lt;="&amp;$B22))</f>
        <v>NA</v>
      </c>
      <c r="AE22" t="str">
        <f>IF(COUNTIFS(monthly!W:W,"",monthly!$A:$A,"&gt;="&amp;$A22,monthly!$B:$B,"&lt;="&amp;$B22)&gt;0,"NA",AVERAGEIFS(monthly!W:W,monthly!$A:$A,"&gt;="&amp;$A22,monthly!$B:$B,"&lt;="&amp;$B22))</f>
        <v>NA</v>
      </c>
      <c r="AF22" t="str">
        <f>IF(COUNTIFS(monthly!X:X,"",monthly!$A:$A,"&gt;="&amp;$A22,monthly!$B:$B,"&lt;="&amp;$B22)&gt;0,"NA",AVERAGEIFS(monthly!X:X,monthly!$A:$A,"&gt;="&amp;$A22,monthly!$B:$B,"&lt;="&amp;$B22))</f>
        <v>NA</v>
      </c>
      <c r="AG22" t="str">
        <f>IF(COUNTIFS(monthly!Y:Y,"",monthly!$A:$A,"&gt;="&amp;$A22,monthly!$B:$B,"&lt;="&amp;$B22)&gt;0,"NA",AVERAGEIFS(monthly!Y:Y,monthly!$A:$A,"&gt;="&amp;$A22,monthly!$B:$B,"&lt;="&amp;$B22))</f>
        <v>NA</v>
      </c>
      <c r="AH22" t="str">
        <f>IF(COUNTIFS(monthly!Z:Z,"",monthly!$A:$A,"&gt;="&amp;$A22,monthly!$B:$B,"&lt;="&amp;$B22)&gt;0,"NA",AVERAGEIFS(monthly!Z:Z,monthly!$A:$A,"&gt;="&amp;$A22,monthly!$B:$B,"&lt;="&amp;$B22))</f>
        <v>NA</v>
      </c>
    </row>
    <row r="23" spans="1:34" x14ac:dyDescent="0.2">
      <c r="A23" s="1">
        <v>27485</v>
      </c>
      <c r="B23" s="1">
        <v>27575</v>
      </c>
      <c r="C23">
        <f>IF(ISBLANK(VLOOKUP($A23,quarterly_data,MATCH(C$1,quarterly!$1:$1,FALSE),FALSE)),"NA",VLOOKUP($A23,quarterly_data,MATCH(C$1,quarterly!$1:$1,FALSE),FALSE))</f>
        <v>163.62726912596045</v>
      </c>
      <c r="D23">
        <f>IF(ISBLANK(VLOOKUP($A23,quarterly_data,MATCH(D$1,quarterly!$1:$1,FALSE),FALSE)),"NA",VLOOKUP($A23,quarterly_data,MATCH(D$1,quarterly!$1:$1,FALSE),FALSE))</f>
        <v>59.4</v>
      </c>
      <c r="E23">
        <f>IF(ISBLANK(VLOOKUP($A23,quarterly_data,MATCH(E$1,quarterly!$1:$1,FALSE),FALSE)),"NA",VLOOKUP($A23,quarterly_data,MATCH(E$1,quarterly!$1:$1,FALSE),FALSE))</f>
        <v>0.47404600000000002</v>
      </c>
      <c r="F23">
        <f>IF(ISBLANK(VLOOKUP($A23,quarterly_data,MATCH(F$1,quarterly!$1:$1,FALSE),FALSE)),"NA",VLOOKUP($A23,quarterly_data,MATCH(F$1,quarterly!$1:$1,FALSE),FALSE))</f>
        <v>0.1103396</v>
      </c>
      <c r="G23">
        <f>IF(ISBLANK(VLOOKUP($A23,quarterly_data,MATCH(G$1,quarterly!$1:$1,FALSE),FALSE)),"NA",VLOOKUP($A23,quarterly_data,MATCH(G$1,quarterly!$1:$1,FALSE),FALSE))</f>
        <v>5999.61</v>
      </c>
      <c r="H23">
        <f>IF(ISBLANK(VLOOKUP($A23,quarterly_data,MATCH(H$1,quarterly!$1:$1,FALSE),FALSE)),"NA",VLOOKUP($A23,quarterly_data,MATCH(H$1,quarterly!$1:$1,FALSE),FALSE))</f>
        <v>161785</v>
      </c>
      <c r="I23" t="str">
        <f>IF(ISBLANK(VLOOKUP($A23,quarterly_data,MATCH(I$1,quarterly!$1:$1,FALSE),FALSE)),"NA",VLOOKUP($A23,quarterly_data,MATCH(I$1,quarterly!$1:$1,FALSE),FALSE))</f>
        <v>NA</v>
      </c>
      <c r="J23">
        <f>IF(ISBLANK(VLOOKUP($A23,quarterly_data,MATCH(J$1,quarterly!$1:$1,FALSE),FALSE)),"NA",VLOOKUP($A23,quarterly_data,MATCH(J$1,quarterly!$1:$1,FALSE),FALSE))</f>
        <v>10.98</v>
      </c>
      <c r="K23">
        <f>IF(COUNTIFS(monthly!C:C,"",monthly!$A:$A,"&gt;="&amp;$A23,monthly!$B:$B,"&lt;="&amp;$B23)&gt;0,"NA",AVERAGEIFS(monthly!C:C,monthly!$A:$A,"&gt;="&amp;$A23,monthly!$B:$B,"&lt;="&amp;$B23))</f>
        <v>105.3</v>
      </c>
      <c r="L23">
        <f>IF(COUNTIFS(monthly!D:D,"",monthly!$A:$A,"&gt;="&amp;$A23,monthly!$B:$B,"&lt;="&amp;$B23)&gt;0,"NA",AVERAGEIFS(monthly!D:D,monthly!$A:$A,"&gt;="&amp;$A23,monthly!$B:$B,"&lt;="&amp;$B23))</f>
        <v>1.3366666666666667</v>
      </c>
      <c r="M23" t="str">
        <f>IF(COUNTIFS(monthly!E:E,"",monthly!$A:$A,"&gt;="&amp;$A23,monthly!$B:$B,"&lt;="&amp;$B23)&gt;0,"NA",AVERAGEIFS(monthly!E:E,monthly!$A:$A,"&gt;="&amp;$A23,monthly!$B:$B,"&lt;="&amp;$B23))</f>
        <v>NA</v>
      </c>
      <c r="N23" t="str">
        <f>IF(COUNTIFS(monthly!F:F,"",monthly!$A:$A,"&gt;="&amp;$A23,monthly!$B:$B,"&lt;="&amp;$B23)&gt;0,"NA",AVERAGEIFS(monthly!F:F,monthly!$A:$A,"&gt;="&amp;$A23,monthly!$B:$B,"&lt;="&amp;$B23))</f>
        <v>NA</v>
      </c>
      <c r="O23">
        <f>IF(COUNTIFS(monthly!G:G,"",monthly!$A:$A,"&gt;="&amp;$A23,monthly!$B:$B,"&lt;="&amp;$B23)&gt;0,"NA",AVERAGEIFS(monthly!G:G,monthly!$A:$A,"&gt;="&amp;$A23,monthly!$B:$B,"&lt;="&amp;$B23))</f>
        <v>17.3</v>
      </c>
      <c r="P23">
        <f>IF(COUNTIFS(monthly!H:H,"",monthly!$A:$A,"&gt;="&amp;$A23,monthly!$B:$B,"&lt;="&amp;$B23)&gt;0,"NA",AVERAGEIFS(monthly!H:H,monthly!$A:$A,"&gt;="&amp;$A23,monthly!$B:$B,"&lt;="&amp;$B23))</f>
        <v>26.8</v>
      </c>
      <c r="Q23">
        <f>IF(COUNTIFS(monthly!I:I,"",monthly!$A:$A,"&gt;="&amp;$A23,monthly!$B:$B,"&lt;="&amp;$B23)&gt;0,"NA",AVERAGEIFS(monthly!I:I,monthly!$A:$A,"&gt;="&amp;$A23,monthly!$B:$B,"&lt;="&amp;$B23))</f>
        <v>10.4</v>
      </c>
      <c r="R23" t="str">
        <f>IF(COUNTIFS(monthly!J:J,"",monthly!$A:$A,"&gt;="&amp;$A23,monthly!$B:$B,"&lt;="&amp;$B23)&gt;0,"NA",AVERAGEIFS(monthly!J:J,monthly!$A:$A,"&gt;="&amp;$A23,monthly!$B:$B,"&lt;="&amp;$B23))</f>
        <v>NA</v>
      </c>
      <c r="S23" t="str">
        <f>IF(COUNTIFS(monthly!K:K,"",monthly!$A:$A,"&gt;="&amp;$A23,monthly!$B:$B,"&lt;="&amp;$B23)&gt;0,"NA",AVERAGEIFS(monthly!K:K,monthly!$A:$A,"&gt;="&amp;$A23,monthly!$B:$B,"&lt;="&amp;$B23))</f>
        <v>NA</v>
      </c>
      <c r="T23">
        <f>IF(COUNTIFS(monthly!L:L,"",monthly!$A:$A,"&gt;="&amp;$A23,monthly!$B:$B,"&lt;="&amp;$B23)&gt;0,"NA",AVERAGEIFS(monthly!L:L,monthly!$A:$A,"&gt;="&amp;$A23,monthly!$B:$B,"&lt;="&amp;$B23))</f>
        <v>5.4206523297491032</v>
      </c>
      <c r="U23" t="str">
        <f>IF(COUNTIFS(monthly!M:M,"",monthly!$A:$A,"&gt;="&amp;$A23,monthly!$B:$B,"&lt;="&amp;$B23)&gt;0,"NA",AVERAGEIFS(monthly!M:M,monthly!$A:$A,"&gt;="&amp;$A23,monthly!$B:$B,"&lt;="&amp;$B23))</f>
        <v>NA</v>
      </c>
      <c r="V23" t="str">
        <f>IF(COUNTIFS(monthly!N:N,"",monthly!$A:$A,"&gt;="&amp;$A23,monthly!$B:$B,"&lt;="&amp;$B23)&gt;0,"NA",AVERAGEIFS(monthly!N:N,monthly!$A:$A,"&gt;="&amp;$A23,monthly!$B:$B,"&lt;="&amp;$B23))</f>
        <v>NA</v>
      </c>
      <c r="W23" t="str">
        <f>IF(COUNTIFS(monthly!O:O,"",monthly!$A:$A,"&gt;="&amp;$A23,monthly!$B:$B,"&lt;="&amp;$B23)&gt;0,"NA",AVERAGEIFS(monthly!O:O,monthly!$A:$A,"&gt;="&amp;$A23,monthly!$B:$B,"&lt;="&amp;$B23))</f>
        <v>NA</v>
      </c>
      <c r="X23" t="str">
        <f>IF(COUNTIFS(monthly!P:P,"",monthly!$A:$A,"&gt;="&amp;$A23,monthly!$B:$B,"&lt;="&amp;$B23)&gt;0,"NA",AVERAGEIFS(monthly!P:P,monthly!$A:$A,"&gt;="&amp;$A23,monthly!$B:$B,"&lt;="&amp;$B23))</f>
        <v>NA</v>
      </c>
      <c r="Y23">
        <f>IF(COUNTIFS(monthly!Q:Q,"",monthly!$A:$A,"&gt;="&amp;$A23,monthly!$B:$B,"&lt;="&amp;$B23)&gt;0,"NA",AVERAGEIFS(monthly!Q:Q,monthly!$A:$A,"&gt;="&amp;$A23,monthly!$B:$B,"&lt;="&amp;$B23))</f>
        <v>9.5</v>
      </c>
      <c r="Z23">
        <f>IF(COUNTIFS(monthly!R:R,"",monthly!$A:$A,"&gt;="&amp;$A23,monthly!$B:$B,"&lt;="&amp;$B23)&gt;0,"NA",AVERAGEIFS(monthly!R:R,monthly!$A:$A,"&gt;="&amp;$A23,monthly!$B:$B,"&lt;="&amp;$B23))</f>
        <v>8.0490981240981245</v>
      </c>
      <c r="AA23">
        <f>IF(COUNTIFS(monthly!S:S,"",monthly!$A:$A,"&gt;="&amp;$A23,monthly!$B:$B,"&lt;="&amp;$B23)&gt;0,"NA",AVERAGEIFS(monthly!S:S,monthly!$A:$A,"&gt;="&amp;$A23,monthly!$B:$B,"&lt;="&amp;$B23))</f>
        <v>1.4509018759018761</v>
      </c>
      <c r="AB23" t="str">
        <f>IF(COUNTIFS(monthly!T:T,"",monthly!$A:$A,"&gt;="&amp;$A23,monthly!$B:$B,"&lt;="&amp;$B23)&gt;0,"NA",AVERAGEIFS(monthly!T:T,monthly!$A:$A,"&gt;="&amp;$A23,monthly!$B:$B,"&lt;="&amp;$B23))</f>
        <v>NA</v>
      </c>
      <c r="AC23" t="str">
        <f>IF(COUNTIFS(monthly!U:U,"",monthly!$A:$A,"&gt;="&amp;$A23,monthly!$B:$B,"&lt;="&amp;$B23)&gt;0,"NA",AVERAGEIFS(monthly!U:U,monthly!$A:$A,"&gt;="&amp;$A23,monthly!$B:$B,"&lt;="&amp;$B23))</f>
        <v>NA</v>
      </c>
      <c r="AD23" t="str">
        <f>IF(COUNTIFS(monthly!V:V,"",monthly!$A:$A,"&gt;="&amp;$A23,monthly!$B:$B,"&lt;="&amp;$B23)&gt;0,"NA",AVERAGEIFS(monthly!V:V,monthly!$A:$A,"&gt;="&amp;$A23,monthly!$B:$B,"&lt;="&amp;$B23))</f>
        <v>NA</v>
      </c>
      <c r="AE23" t="str">
        <f>IF(COUNTIFS(monthly!W:W,"",monthly!$A:$A,"&gt;="&amp;$A23,monthly!$B:$B,"&lt;="&amp;$B23)&gt;0,"NA",AVERAGEIFS(monthly!W:W,monthly!$A:$A,"&gt;="&amp;$A23,monthly!$B:$B,"&lt;="&amp;$B23))</f>
        <v>NA</v>
      </c>
      <c r="AF23" t="str">
        <f>IF(COUNTIFS(monthly!X:X,"",monthly!$A:$A,"&gt;="&amp;$A23,monthly!$B:$B,"&lt;="&amp;$B23)&gt;0,"NA",AVERAGEIFS(monthly!X:X,monthly!$A:$A,"&gt;="&amp;$A23,monthly!$B:$B,"&lt;="&amp;$B23))</f>
        <v>NA</v>
      </c>
      <c r="AG23" t="str">
        <f>IF(COUNTIFS(monthly!Y:Y,"",monthly!$A:$A,"&gt;="&amp;$A23,monthly!$B:$B,"&lt;="&amp;$B23)&gt;0,"NA",AVERAGEIFS(monthly!Y:Y,monthly!$A:$A,"&gt;="&amp;$A23,monthly!$B:$B,"&lt;="&amp;$B23))</f>
        <v>NA</v>
      </c>
      <c r="AH23" t="str">
        <f>IF(COUNTIFS(monthly!Z:Z,"",monthly!$A:$A,"&gt;="&amp;$A23,monthly!$B:$B,"&lt;="&amp;$B23)&gt;0,"NA",AVERAGEIFS(monthly!Z:Z,monthly!$A:$A,"&gt;="&amp;$A23,monthly!$B:$B,"&lt;="&amp;$B23))</f>
        <v>NA</v>
      </c>
    </row>
    <row r="24" spans="1:34" x14ac:dyDescent="0.2">
      <c r="A24" s="1">
        <v>27576</v>
      </c>
      <c r="B24" s="1">
        <v>27667</v>
      </c>
      <c r="C24">
        <f>IF(ISBLANK(VLOOKUP($A24,quarterly_data,MATCH(C$1,quarterly!$1:$1,FALSE),FALSE)),"NA",VLOOKUP($A24,quarterly_data,MATCH(C$1,quarterly!$1:$1,FALSE),FALSE))</f>
        <v>164.96830808222538</v>
      </c>
      <c r="D24">
        <f>IF(ISBLANK(VLOOKUP($A24,quarterly_data,MATCH(D$1,quarterly!$1:$1,FALSE),FALSE)),"NA",VLOOKUP($A24,quarterly_data,MATCH(D$1,quarterly!$1:$1,FALSE),FALSE))</f>
        <v>58</v>
      </c>
      <c r="E24">
        <f>IF(ISBLANK(VLOOKUP($A24,quarterly_data,MATCH(E$1,quarterly!$1:$1,FALSE),FALSE)),"NA",VLOOKUP($A24,quarterly_data,MATCH(E$1,quarterly!$1:$1,FALSE),FALSE))</f>
        <v>0.38819880000000001</v>
      </c>
      <c r="F24">
        <f>IF(ISBLANK(VLOOKUP($A24,quarterly_data,MATCH(F$1,quarterly!$1:$1,FALSE),FALSE)),"NA",VLOOKUP($A24,quarterly_data,MATCH(F$1,quarterly!$1:$1,FALSE),FALSE))</f>
        <v>0.1250443</v>
      </c>
      <c r="G24">
        <f>IF(ISBLANK(VLOOKUP($A24,quarterly_data,MATCH(G$1,quarterly!$1:$1,FALSE),FALSE)),"NA",VLOOKUP($A24,quarterly_data,MATCH(G$1,quarterly!$1:$1,FALSE),FALSE))</f>
        <v>6102.326</v>
      </c>
      <c r="H24">
        <f>IF(ISBLANK(VLOOKUP($A24,quarterly_data,MATCH(H$1,quarterly!$1:$1,FALSE),FALSE)),"NA",VLOOKUP($A24,quarterly_data,MATCH(H$1,quarterly!$1:$1,FALSE),FALSE))</f>
        <v>159987</v>
      </c>
      <c r="I24" t="str">
        <f>IF(ISBLANK(VLOOKUP($A24,quarterly_data,MATCH(I$1,quarterly!$1:$1,FALSE),FALSE)),"NA",VLOOKUP($A24,quarterly_data,MATCH(I$1,quarterly!$1:$1,FALSE),FALSE))</f>
        <v>NA</v>
      </c>
      <c r="J24">
        <f>IF(ISBLANK(VLOOKUP($A24,quarterly_data,MATCH(J$1,quarterly!$1:$1,FALSE),FALSE)),"NA",VLOOKUP($A24,quarterly_data,MATCH(J$1,quarterly!$1:$1,FALSE),FALSE))</f>
        <v>11.06</v>
      </c>
      <c r="K24">
        <f>IF(COUNTIFS(monthly!C:C,"",monthly!$A:$A,"&gt;="&amp;$A24,monthly!$B:$B,"&lt;="&amp;$B24)&gt;0,"NA",AVERAGEIFS(monthly!C:C,monthly!$A:$A,"&gt;="&amp;$A24,monthly!$B:$B,"&lt;="&amp;$B24))</f>
        <v>105.3</v>
      </c>
      <c r="L24">
        <f>IF(COUNTIFS(monthly!D:D,"",monthly!$A:$A,"&gt;="&amp;$A24,monthly!$B:$B,"&lt;="&amp;$B24)&gt;0,"NA",AVERAGEIFS(monthly!D:D,monthly!$A:$A,"&gt;="&amp;$A24,monthly!$B:$B,"&lt;="&amp;$B24))</f>
        <v>1.2777000000000001</v>
      </c>
      <c r="M24" t="str">
        <f>IF(COUNTIFS(monthly!E:E,"",monthly!$A:$A,"&gt;="&amp;$A24,monthly!$B:$B,"&lt;="&amp;$B24)&gt;0,"NA",AVERAGEIFS(monthly!E:E,monthly!$A:$A,"&gt;="&amp;$A24,monthly!$B:$B,"&lt;="&amp;$B24))</f>
        <v>NA</v>
      </c>
      <c r="N24" t="str">
        <f>IF(COUNTIFS(monthly!F:F,"",monthly!$A:$A,"&gt;="&amp;$A24,monthly!$B:$B,"&lt;="&amp;$B24)&gt;0,"NA",AVERAGEIFS(monthly!F:F,monthly!$A:$A,"&gt;="&amp;$A24,monthly!$B:$B,"&lt;="&amp;$B24))</f>
        <v>NA</v>
      </c>
      <c r="O24">
        <f>IF(COUNTIFS(monthly!G:G,"",monthly!$A:$A,"&gt;="&amp;$A24,monthly!$B:$B,"&lt;="&amp;$B24)&gt;0,"NA",AVERAGEIFS(monthly!G:G,monthly!$A:$A,"&gt;="&amp;$A24,monthly!$B:$B,"&lt;="&amp;$B24))</f>
        <v>17.3</v>
      </c>
      <c r="P24">
        <f>IF(COUNTIFS(monthly!H:H,"",monthly!$A:$A,"&gt;="&amp;$A24,monthly!$B:$B,"&lt;="&amp;$B24)&gt;0,"NA",AVERAGEIFS(monthly!H:H,monthly!$A:$A,"&gt;="&amp;$A24,monthly!$B:$B,"&lt;="&amp;$B24))</f>
        <v>26.8</v>
      </c>
      <c r="Q24">
        <f>IF(COUNTIFS(monthly!I:I,"",monthly!$A:$A,"&gt;="&amp;$A24,monthly!$B:$B,"&lt;="&amp;$B24)&gt;0,"NA",AVERAGEIFS(monthly!I:I,monthly!$A:$A,"&gt;="&amp;$A24,monthly!$B:$B,"&lt;="&amp;$B24))</f>
        <v>10.4</v>
      </c>
      <c r="R24" t="str">
        <f>IF(COUNTIFS(monthly!J:J,"",monthly!$A:$A,"&gt;="&amp;$A24,monthly!$B:$B,"&lt;="&amp;$B24)&gt;0,"NA",AVERAGEIFS(monthly!J:J,monthly!$A:$A,"&gt;="&amp;$A24,monthly!$B:$B,"&lt;="&amp;$B24))</f>
        <v>NA</v>
      </c>
      <c r="S24" t="str">
        <f>IF(COUNTIFS(monthly!K:K,"",monthly!$A:$A,"&gt;="&amp;$A24,monthly!$B:$B,"&lt;="&amp;$B24)&gt;0,"NA",AVERAGEIFS(monthly!K:K,monthly!$A:$A,"&gt;="&amp;$A24,monthly!$B:$B,"&lt;="&amp;$B24))</f>
        <v>NA</v>
      </c>
      <c r="T24">
        <f>IF(COUNTIFS(monthly!L:L,"",monthly!$A:$A,"&gt;="&amp;$A24,monthly!$B:$B,"&lt;="&amp;$B24)&gt;0,"NA",AVERAGEIFS(monthly!L:L,monthly!$A:$A,"&gt;="&amp;$A24,monthly!$B:$B,"&lt;="&amp;$B24))</f>
        <v>6.1567634408602139</v>
      </c>
      <c r="U24" t="str">
        <f>IF(COUNTIFS(monthly!M:M,"",monthly!$A:$A,"&gt;="&amp;$A24,monthly!$B:$B,"&lt;="&amp;$B24)&gt;0,"NA",AVERAGEIFS(monthly!M:M,monthly!$A:$A,"&gt;="&amp;$A24,monthly!$B:$B,"&lt;="&amp;$B24))</f>
        <v>NA</v>
      </c>
      <c r="V24" t="str">
        <f>IF(COUNTIFS(monthly!N:N,"",monthly!$A:$A,"&gt;="&amp;$A24,monthly!$B:$B,"&lt;="&amp;$B24)&gt;0,"NA",AVERAGEIFS(monthly!N:N,monthly!$A:$A,"&gt;="&amp;$A24,monthly!$B:$B,"&lt;="&amp;$B24))</f>
        <v>NA</v>
      </c>
      <c r="W24" t="str">
        <f>IF(COUNTIFS(monthly!O:O,"",monthly!$A:$A,"&gt;="&amp;$A24,monthly!$B:$B,"&lt;="&amp;$B24)&gt;0,"NA",AVERAGEIFS(monthly!O:O,monthly!$A:$A,"&gt;="&amp;$A24,monthly!$B:$B,"&lt;="&amp;$B24))</f>
        <v>NA</v>
      </c>
      <c r="X24" t="str">
        <f>IF(COUNTIFS(monthly!P:P,"",monthly!$A:$A,"&gt;="&amp;$A24,monthly!$B:$B,"&lt;="&amp;$B24)&gt;0,"NA",AVERAGEIFS(monthly!P:P,monthly!$A:$A,"&gt;="&amp;$A24,monthly!$B:$B,"&lt;="&amp;$B24))</f>
        <v>NA</v>
      </c>
      <c r="Y24">
        <f>IF(COUNTIFS(monthly!Q:Q,"",monthly!$A:$A,"&gt;="&amp;$A24,monthly!$B:$B,"&lt;="&amp;$B24)&gt;0,"NA",AVERAGEIFS(monthly!Q:Q,monthly!$A:$A,"&gt;="&amp;$A24,monthly!$B:$B,"&lt;="&amp;$B24))</f>
        <v>10</v>
      </c>
      <c r="Z24">
        <f>IF(COUNTIFS(monthly!R:R,"",monthly!$A:$A,"&gt;="&amp;$A24,monthly!$B:$B,"&lt;="&amp;$B24)&gt;0,"NA",AVERAGEIFS(monthly!R:R,monthly!$A:$A,"&gt;="&amp;$A24,monthly!$B:$B,"&lt;="&amp;$B24))</f>
        <v>8.2952164502164489</v>
      </c>
      <c r="AA24">
        <f>IF(COUNTIFS(monthly!S:S,"",monthly!$A:$A,"&gt;="&amp;$A24,monthly!$B:$B,"&lt;="&amp;$B24)&gt;0,"NA",AVERAGEIFS(monthly!S:S,monthly!$A:$A,"&gt;="&amp;$A24,monthly!$B:$B,"&lt;="&amp;$B24))</f>
        <v>1.70478354978355</v>
      </c>
      <c r="AB24" t="str">
        <f>IF(COUNTIFS(monthly!T:T,"",monthly!$A:$A,"&gt;="&amp;$A24,monthly!$B:$B,"&lt;="&amp;$B24)&gt;0,"NA",AVERAGEIFS(monthly!T:T,monthly!$A:$A,"&gt;="&amp;$A24,monthly!$B:$B,"&lt;="&amp;$B24))</f>
        <v>NA</v>
      </c>
      <c r="AC24" t="str">
        <f>IF(COUNTIFS(monthly!U:U,"",monthly!$A:$A,"&gt;="&amp;$A24,monthly!$B:$B,"&lt;="&amp;$B24)&gt;0,"NA",AVERAGEIFS(monthly!U:U,monthly!$A:$A,"&gt;="&amp;$A24,monthly!$B:$B,"&lt;="&amp;$B24))</f>
        <v>NA</v>
      </c>
      <c r="AD24" t="str">
        <f>IF(COUNTIFS(monthly!V:V,"",monthly!$A:$A,"&gt;="&amp;$A24,monthly!$B:$B,"&lt;="&amp;$B24)&gt;0,"NA",AVERAGEIFS(monthly!V:V,monthly!$A:$A,"&gt;="&amp;$A24,monthly!$B:$B,"&lt;="&amp;$B24))</f>
        <v>NA</v>
      </c>
      <c r="AE24" t="str">
        <f>IF(COUNTIFS(monthly!W:W,"",monthly!$A:$A,"&gt;="&amp;$A24,monthly!$B:$B,"&lt;="&amp;$B24)&gt;0,"NA",AVERAGEIFS(monthly!W:W,monthly!$A:$A,"&gt;="&amp;$A24,monthly!$B:$B,"&lt;="&amp;$B24))</f>
        <v>NA</v>
      </c>
      <c r="AF24" t="str">
        <f>IF(COUNTIFS(monthly!X:X,"",monthly!$A:$A,"&gt;="&amp;$A24,monthly!$B:$B,"&lt;="&amp;$B24)&gt;0,"NA",AVERAGEIFS(monthly!X:X,monthly!$A:$A,"&gt;="&amp;$A24,monthly!$B:$B,"&lt;="&amp;$B24))</f>
        <v>NA</v>
      </c>
      <c r="AG24" t="str">
        <f>IF(COUNTIFS(monthly!Y:Y,"",monthly!$A:$A,"&gt;="&amp;$A24,monthly!$B:$B,"&lt;="&amp;$B24)&gt;0,"NA",AVERAGEIFS(monthly!Y:Y,monthly!$A:$A,"&gt;="&amp;$A24,monthly!$B:$B,"&lt;="&amp;$B24))</f>
        <v>NA</v>
      </c>
      <c r="AH24" t="str">
        <f>IF(COUNTIFS(monthly!Z:Z,"",monthly!$A:$A,"&gt;="&amp;$A24,monthly!$B:$B,"&lt;="&amp;$B24)&gt;0,"NA",AVERAGEIFS(monthly!Z:Z,monthly!$A:$A,"&gt;="&amp;$A24,monthly!$B:$B,"&lt;="&amp;$B24))</f>
        <v>NA</v>
      </c>
    </row>
    <row r="25" spans="1:34" x14ac:dyDescent="0.2">
      <c r="A25" s="1">
        <v>27668</v>
      </c>
      <c r="B25" s="1">
        <v>27758</v>
      </c>
      <c r="C25">
        <f>IF(ISBLANK(VLOOKUP($A25,quarterly_data,MATCH(C$1,quarterly!$1:$1,FALSE),FALSE)),"NA",VLOOKUP($A25,quarterly_data,MATCH(C$1,quarterly!$1:$1,FALSE),FALSE))</f>
        <v>166.73958934386275</v>
      </c>
      <c r="D25">
        <f>IF(ISBLANK(VLOOKUP($A25,quarterly_data,MATCH(D$1,quarterly!$1:$1,FALSE),FALSE)),"NA",VLOOKUP($A25,quarterly_data,MATCH(D$1,quarterly!$1:$1,FALSE),FALSE))</f>
        <v>57.6</v>
      </c>
      <c r="E25">
        <f>IF(ISBLANK(VLOOKUP($A25,quarterly_data,MATCH(E$1,quarterly!$1:$1,FALSE),FALSE)),"NA",VLOOKUP($A25,quarterly_data,MATCH(E$1,quarterly!$1:$1,FALSE),FALSE))</f>
        <v>0.1618647</v>
      </c>
      <c r="F25">
        <f>IF(ISBLANK(VLOOKUP($A25,quarterly_data,MATCH(F$1,quarterly!$1:$1,FALSE),FALSE)),"NA",VLOOKUP($A25,quarterly_data,MATCH(F$1,quarterly!$1:$1,FALSE),FALSE))</f>
        <v>8.6994299999999997E-2</v>
      </c>
      <c r="G25">
        <f>IF(ISBLANK(VLOOKUP($A25,quarterly_data,MATCH(G$1,quarterly!$1:$1,FALSE),FALSE)),"NA",VLOOKUP($A25,quarterly_data,MATCH(G$1,quarterly!$1:$1,FALSE),FALSE))</f>
        <v>6184.53</v>
      </c>
      <c r="H25">
        <f>IF(ISBLANK(VLOOKUP($A25,quarterly_data,MATCH(H$1,quarterly!$1:$1,FALSE),FALSE)),"NA",VLOOKUP($A25,quarterly_data,MATCH(H$1,quarterly!$1:$1,FALSE),FALSE))</f>
        <v>157576</v>
      </c>
      <c r="I25" t="str">
        <f>IF(ISBLANK(VLOOKUP($A25,quarterly_data,MATCH(I$1,quarterly!$1:$1,FALSE),FALSE)),"NA",VLOOKUP($A25,quarterly_data,MATCH(I$1,quarterly!$1:$1,FALSE),FALSE))</f>
        <v>NA</v>
      </c>
      <c r="J25">
        <f>IF(ISBLANK(VLOOKUP($A25,quarterly_data,MATCH(J$1,quarterly!$1:$1,FALSE),FALSE)),"NA",VLOOKUP($A25,quarterly_data,MATCH(J$1,quarterly!$1:$1,FALSE),FALSE))</f>
        <v>11.68</v>
      </c>
      <c r="K25">
        <f>IF(COUNTIFS(monthly!C:C,"",monthly!$A:$A,"&gt;="&amp;$A25,monthly!$B:$B,"&lt;="&amp;$B25)&gt;0,"NA",AVERAGEIFS(monthly!C:C,monthly!$A:$A,"&gt;="&amp;$A25,monthly!$B:$B,"&lt;="&amp;$B25))</f>
        <v>105.3</v>
      </c>
      <c r="L25">
        <f>IF(COUNTIFS(monthly!D:D,"",monthly!$A:$A,"&gt;="&amp;$A25,monthly!$B:$B,"&lt;="&amp;$B25)&gt;0,"NA",AVERAGEIFS(monthly!D:D,monthly!$A:$A,"&gt;="&amp;$A25,monthly!$B:$B,"&lt;="&amp;$B25))</f>
        <v>1.2652000000000001</v>
      </c>
      <c r="M25" t="str">
        <f>IF(COUNTIFS(monthly!E:E,"",monthly!$A:$A,"&gt;="&amp;$A25,monthly!$B:$B,"&lt;="&amp;$B25)&gt;0,"NA",AVERAGEIFS(monthly!E:E,monthly!$A:$A,"&gt;="&amp;$A25,monthly!$B:$B,"&lt;="&amp;$B25))</f>
        <v>NA</v>
      </c>
      <c r="N25" t="str">
        <f>IF(COUNTIFS(monthly!F:F,"",monthly!$A:$A,"&gt;="&amp;$A25,monthly!$B:$B,"&lt;="&amp;$B25)&gt;0,"NA",AVERAGEIFS(monthly!F:F,monthly!$A:$A,"&gt;="&amp;$A25,monthly!$B:$B,"&lt;="&amp;$B25))</f>
        <v>NA</v>
      </c>
      <c r="O25">
        <f>IF(COUNTIFS(monthly!G:G,"",monthly!$A:$A,"&gt;="&amp;$A25,monthly!$B:$B,"&lt;="&amp;$B25)&gt;0,"NA",AVERAGEIFS(monthly!G:G,monthly!$A:$A,"&gt;="&amp;$A25,monthly!$B:$B,"&lt;="&amp;$B25))</f>
        <v>17.3</v>
      </c>
      <c r="P25">
        <f>IF(COUNTIFS(monthly!H:H,"",monthly!$A:$A,"&gt;="&amp;$A25,monthly!$B:$B,"&lt;="&amp;$B25)&gt;0,"NA",AVERAGEIFS(monthly!H:H,monthly!$A:$A,"&gt;="&amp;$A25,monthly!$B:$B,"&lt;="&amp;$B25))</f>
        <v>26.8</v>
      </c>
      <c r="Q25">
        <f>IF(COUNTIFS(monthly!I:I,"",monthly!$A:$A,"&gt;="&amp;$A25,monthly!$B:$B,"&lt;="&amp;$B25)&gt;0,"NA",AVERAGEIFS(monthly!I:I,monthly!$A:$A,"&gt;="&amp;$A25,monthly!$B:$B,"&lt;="&amp;$B25))</f>
        <v>10.5</v>
      </c>
      <c r="R25" t="str">
        <f>IF(COUNTIFS(monthly!J:J,"",monthly!$A:$A,"&gt;="&amp;$A25,monthly!$B:$B,"&lt;="&amp;$B25)&gt;0,"NA",AVERAGEIFS(monthly!J:J,monthly!$A:$A,"&gt;="&amp;$A25,monthly!$B:$B,"&lt;="&amp;$B25))</f>
        <v>NA</v>
      </c>
      <c r="S25" t="str">
        <f>IF(COUNTIFS(monthly!K:K,"",monthly!$A:$A,"&gt;="&amp;$A25,monthly!$B:$B,"&lt;="&amp;$B25)&gt;0,"NA",AVERAGEIFS(monthly!K:K,monthly!$A:$A,"&gt;="&amp;$A25,monthly!$B:$B,"&lt;="&amp;$B25))</f>
        <v>NA</v>
      </c>
      <c r="T25">
        <f>IF(COUNTIFS(monthly!L:L,"",monthly!$A:$A,"&gt;="&amp;$A25,monthly!$B:$B,"&lt;="&amp;$B25)&gt;0,"NA",AVERAGEIFS(monthly!L:L,monthly!$A:$A,"&gt;="&amp;$A25,monthly!$B:$B,"&lt;="&amp;$B25))</f>
        <v>5.5158978494623643</v>
      </c>
      <c r="U25" t="str">
        <f>IF(COUNTIFS(monthly!M:M,"",monthly!$A:$A,"&gt;="&amp;$A25,monthly!$B:$B,"&lt;="&amp;$B25)&gt;0,"NA",AVERAGEIFS(monthly!M:M,monthly!$A:$A,"&gt;="&amp;$A25,monthly!$B:$B,"&lt;="&amp;$B25))</f>
        <v>NA</v>
      </c>
      <c r="V25" t="str">
        <f>IF(COUNTIFS(monthly!N:N,"",monthly!$A:$A,"&gt;="&amp;$A25,monthly!$B:$B,"&lt;="&amp;$B25)&gt;0,"NA",AVERAGEIFS(monthly!N:N,monthly!$A:$A,"&gt;="&amp;$A25,monthly!$B:$B,"&lt;="&amp;$B25))</f>
        <v>NA</v>
      </c>
      <c r="W25" t="str">
        <f>IF(COUNTIFS(monthly!O:O,"",monthly!$A:$A,"&gt;="&amp;$A25,monthly!$B:$B,"&lt;="&amp;$B25)&gt;0,"NA",AVERAGEIFS(monthly!O:O,monthly!$A:$A,"&gt;="&amp;$A25,monthly!$B:$B,"&lt;="&amp;$B25))</f>
        <v>NA</v>
      </c>
      <c r="X25" t="str">
        <f>IF(COUNTIFS(monthly!P:P,"",monthly!$A:$A,"&gt;="&amp;$A25,monthly!$B:$B,"&lt;="&amp;$B25)&gt;0,"NA",AVERAGEIFS(monthly!P:P,monthly!$A:$A,"&gt;="&amp;$A25,monthly!$B:$B,"&lt;="&amp;$B25))</f>
        <v>NA</v>
      </c>
      <c r="Y25">
        <f>IF(COUNTIFS(monthly!Q:Q,"",monthly!$A:$A,"&gt;="&amp;$A25,monthly!$B:$B,"&lt;="&amp;$B25)&gt;0,"NA",AVERAGEIFS(monthly!Q:Q,monthly!$A:$A,"&gt;="&amp;$A25,monthly!$B:$B,"&lt;="&amp;$B25))</f>
        <v>10</v>
      </c>
      <c r="Z25">
        <f>IF(COUNTIFS(monthly!R:R,"",monthly!$A:$A,"&gt;="&amp;$A25,monthly!$B:$B,"&lt;="&amp;$B25)&gt;0,"NA",AVERAGEIFS(monthly!R:R,monthly!$A:$A,"&gt;="&amp;$A25,monthly!$B:$B,"&lt;="&amp;$B25))</f>
        <v>8.0953342245989308</v>
      </c>
      <c r="AA25">
        <f>IF(COUNTIFS(monthly!S:S,"",monthly!$A:$A,"&gt;="&amp;$A25,monthly!$B:$B,"&lt;="&amp;$B25)&gt;0,"NA",AVERAGEIFS(monthly!S:S,monthly!$A:$A,"&gt;="&amp;$A25,monthly!$B:$B,"&lt;="&amp;$B25))</f>
        <v>1.9046657754010692</v>
      </c>
      <c r="AB25" t="str">
        <f>IF(COUNTIFS(monthly!T:T,"",monthly!$A:$A,"&gt;="&amp;$A25,monthly!$B:$B,"&lt;="&amp;$B25)&gt;0,"NA",AVERAGEIFS(monthly!T:T,monthly!$A:$A,"&gt;="&amp;$A25,monthly!$B:$B,"&lt;="&amp;$B25))</f>
        <v>NA</v>
      </c>
      <c r="AC25" t="str">
        <f>IF(COUNTIFS(monthly!U:U,"",monthly!$A:$A,"&gt;="&amp;$A25,monthly!$B:$B,"&lt;="&amp;$B25)&gt;0,"NA",AVERAGEIFS(monthly!U:U,monthly!$A:$A,"&gt;="&amp;$A25,monthly!$B:$B,"&lt;="&amp;$B25))</f>
        <v>NA</v>
      </c>
      <c r="AD25" t="str">
        <f>IF(COUNTIFS(monthly!V:V,"",monthly!$A:$A,"&gt;="&amp;$A25,monthly!$B:$B,"&lt;="&amp;$B25)&gt;0,"NA",AVERAGEIFS(monthly!V:V,monthly!$A:$A,"&gt;="&amp;$A25,monthly!$B:$B,"&lt;="&amp;$B25))</f>
        <v>NA</v>
      </c>
      <c r="AE25" t="str">
        <f>IF(COUNTIFS(monthly!W:W,"",monthly!$A:$A,"&gt;="&amp;$A25,monthly!$B:$B,"&lt;="&amp;$B25)&gt;0,"NA",AVERAGEIFS(monthly!W:W,monthly!$A:$A,"&gt;="&amp;$A25,monthly!$B:$B,"&lt;="&amp;$B25))</f>
        <v>NA</v>
      </c>
      <c r="AF25" t="str">
        <f>IF(COUNTIFS(monthly!X:X,"",monthly!$A:$A,"&gt;="&amp;$A25,monthly!$B:$B,"&lt;="&amp;$B25)&gt;0,"NA",AVERAGEIFS(monthly!X:X,monthly!$A:$A,"&gt;="&amp;$A25,monthly!$B:$B,"&lt;="&amp;$B25))</f>
        <v>NA</v>
      </c>
      <c r="AG25" t="str">
        <f>IF(COUNTIFS(monthly!Y:Y,"",monthly!$A:$A,"&gt;="&amp;$A25,monthly!$B:$B,"&lt;="&amp;$B25)&gt;0,"NA",AVERAGEIFS(monthly!Y:Y,monthly!$A:$A,"&gt;="&amp;$A25,monthly!$B:$B,"&lt;="&amp;$B25))</f>
        <v>NA</v>
      </c>
      <c r="AH25" t="str">
        <f>IF(COUNTIFS(monthly!Z:Z,"",monthly!$A:$A,"&gt;="&amp;$A25,monthly!$B:$B,"&lt;="&amp;$B25)&gt;0,"NA",AVERAGEIFS(monthly!Z:Z,monthly!$A:$A,"&gt;="&amp;$A25,monthly!$B:$B,"&lt;="&amp;$B25))</f>
        <v>NA</v>
      </c>
    </row>
    <row r="26" spans="1:34" x14ac:dyDescent="0.2">
      <c r="A26" s="1">
        <v>27760</v>
      </c>
      <c r="B26" s="1">
        <v>27849</v>
      </c>
      <c r="C26">
        <f>IF(ISBLANK(VLOOKUP($A26,quarterly_data,MATCH(C$1,quarterly!$1:$1,FALSE),FALSE)),"NA",VLOOKUP($A26,quarterly_data,MATCH(C$1,quarterly!$1:$1,FALSE),FALSE))</f>
        <v>167.11489870905527</v>
      </c>
      <c r="D26">
        <f>IF(ISBLANK(VLOOKUP($A26,quarterly_data,MATCH(D$1,quarterly!$1:$1,FALSE),FALSE)),"NA",VLOOKUP($A26,quarterly_data,MATCH(D$1,quarterly!$1:$1,FALSE),FALSE))</f>
        <v>57.9</v>
      </c>
      <c r="E26">
        <f>IF(ISBLANK(VLOOKUP($A26,quarterly_data,MATCH(E$1,quarterly!$1:$1,FALSE),FALSE)),"NA",VLOOKUP($A26,quarterly_data,MATCH(E$1,quarterly!$1:$1,FALSE),FALSE))</f>
        <v>0</v>
      </c>
      <c r="F26">
        <f>IF(ISBLANK(VLOOKUP($A26,quarterly_data,MATCH(F$1,quarterly!$1:$1,FALSE),FALSE)),"NA",VLOOKUP($A26,quarterly_data,MATCH(F$1,quarterly!$1:$1,FALSE),FALSE))</f>
        <v>2.91264E-2</v>
      </c>
      <c r="G26">
        <f>IF(ISBLANK(VLOOKUP($A26,quarterly_data,MATCH(G$1,quarterly!$1:$1,FALSE),FALSE)),"NA",VLOOKUP($A26,quarterly_data,MATCH(G$1,quarterly!$1:$1,FALSE),FALSE))</f>
        <v>6323.6490000000003</v>
      </c>
      <c r="H26">
        <f>IF(ISBLANK(VLOOKUP($A26,quarterly_data,MATCH(H$1,quarterly!$1:$1,FALSE),FALSE)),"NA",VLOOKUP($A26,quarterly_data,MATCH(H$1,quarterly!$1:$1,FALSE),FALSE))</f>
        <v>164583</v>
      </c>
      <c r="I26" t="str">
        <f>IF(ISBLANK(VLOOKUP($A26,quarterly_data,MATCH(I$1,quarterly!$1:$1,FALSE),FALSE)),"NA",VLOOKUP($A26,quarterly_data,MATCH(I$1,quarterly!$1:$1,FALSE),FALSE))</f>
        <v>NA</v>
      </c>
      <c r="J26">
        <f>IF(ISBLANK(VLOOKUP($A26,quarterly_data,MATCH(J$1,quarterly!$1:$1,FALSE),FALSE)),"NA",VLOOKUP($A26,quarterly_data,MATCH(J$1,quarterly!$1:$1,FALSE),FALSE))</f>
        <v>11.98</v>
      </c>
      <c r="K26">
        <f>IF(COUNTIFS(monthly!C:C,"",monthly!$A:$A,"&gt;="&amp;$A26,monthly!$B:$B,"&lt;="&amp;$B26)&gt;0,"NA",AVERAGEIFS(monthly!C:C,monthly!$A:$A,"&gt;="&amp;$A26,monthly!$B:$B,"&lt;="&amp;$B26))</f>
        <v>105.3</v>
      </c>
      <c r="L26">
        <f>IF(COUNTIFS(monthly!D:D,"",monthly!$A:$A,"&gt;="&amp;$A26,monthly!$B:$B,"&lt;="&amp;$B26)&gt;0,"NA",AVERAGEIFS(monthly!D:D,monthly!$A:$A,"&gt;="&amp;$A26,monthly!$B:$B,"&lt;="&amp;$B26))</f>
        <v>1.2597499999999999</v>
      </c>
      <c r="M26" t="str">
        <f>IF(COUNTIFS(monthly!E:E,"",monthly!$A:$A,"&gt;="&amp;$A26,monthly!$B:$B,"&lt;="&amp;$B26)&gt;0,"NA",AVERAGEIFS(monthly!E:E,monthly!$A:$A,"&gt;="&amp;$A26,monthly!$B:$B,"&lt;="&amp;$B26))</f>
        <v>NA</v>
      </c>
      <c r="N26" t="str">
        <f>IF(COUNTIFS(monthly!F:F,"",monthly!$A:$A,"&gt;="&amp;$A26,monthly!$B:$B,"&lt;="&amp;$B26)&gt;0,"NA",AVERAGEIFS(monthly!F:F,monthly!$A:$A,"&gt;="&amp;$A26,monthly!$B:$B,"&lt;="&amp;$B26))</f>
        <v>NA</v>
      </c>
      <c r="O26">
        <f>IF(COUNTIFS(monthly!G:G,"",monthly!$A:$A,"&gt;="&amp;$A26,monthly!$B:$B,"&lt;="&amp;$B26)&gt;0,"NA",AVERAGEIFS(monthly!G:G,monthly!$A:$A,"&gt;="&amp;$A26,monthly!$B:$B,"&lt;="&amp;$B26))</f>
        <v>22.7</v>
      </c>
      <c r="P26">
        <f>IF(COUNTIFS(monthly!H:H,"",monthly!$A:$A,"&gt;="&amp;$A26,monthly!$B:$B,"&lt;="&amp;$B26)&gt;0,"NA",AVERAGEIFS(monthly!H:H,monthly!$A:$A,"&gt;="&amp;$A26,monthly!$B:$B,"&lt;="&amp;$B26))</f>
        <v>27.2</v>
      </c>
      <c r="Q26">
        <f>IF(COUNTIFS(monthly!I:I,"",monthly!$A:$A,"&gt;="&amp;$A26,monthly!$B:$B,"&lt;="&amp;$B26)&gt;0,"NA",AVERAGEIFS(monthly!I:I,monthly!$A:$A,"&gt;="&amp;$A26,monthly!$B:$B,"&lt;="&amp;$B26))</f>
        <v>11.5</v>
      </c>
      <c r="R26" t="str">
        <f>IF(COUNTIFS(monthly!J:J,"",monthly!$A:$A,"&gt;="&amp;$A26,monthly!$B:$B,"&lt;="&amp;$B26)&gt;0,"NA",AVERAGEIFS(monthly!J:J,monthly!$A:$A,"&gt;="&amp;$A26,monthly!$B:$B,"&lt;="&amp;$B26))</f>
        <v>NA</v>
      </c>
      <c r="S26">
        <f>IF(COUNTIFS(monthly!K:K,"",monthly!$A:$A,"&gt;="&amp;$A26,monthly!$B:$B,"&lt;="&amp;$B26)&gt;0,"NA",AVERAGEIFS(monthly!K:K,monthly!$A:$A,"&gt;="&amp;$A26,monthly!$B:$B,"&lt;="&amp;$B26))</f>
        <v>6.9849999999999994</v>
      </c>
      <c r="T26">
        <f>IF(COUNTIFS(monthly!L:L,"",monthly!$A:$A,"&gt;="&amp;$A26,monthly!$B:$B,"&lt;="&amp;$B26)&gt;0,"NA",AVERAGEIFS(monthly!L:L,monthly!$A:$A,"&gt;="&amp;$A26,monthly!$B:$B,"&lt;="&amp;$B26))</f>
        <v>4.8192157953281427</v>
      </c>
      <c r="U26">
        <f>IF(COUNTIFS(monthly!M:M,"",monthly!$A:$A,"&gt;="&amp;$A26,monthly!$B:$B,"&lt;="&amp;$B26)&gt;0,"NA",AVERAGEIFS(monthly!M:M,monthly!$A:$A,"&gt;="&amp;$A26,monthly!$B:$B,"&lt;="&amp;$B26))</f>
        <v>2.1657842046718576</v>
      </c>
      <c r="V26" t="str">
        <f>IF(COUNTIFS(monthly!N:N,"",monthly!$A:$A,"&gt;="&amp;$A26,monthly!$B:$B,"&lt;="&amp;$B26)&gt;0,"NA",AVERAGEIFS(monthly!N:N,monthly!$A:$A,"&gt;="&amp;$A26,monthly!$B:$B,"&lt;="&amp;$B26))</f>
        <v>NA</v>
      </c>
      <c r="W26" t="str">
        <f>IF(COUNTIFS(monthly!O:O,"",monthly!$A:$A,"&gt;="&amp;$A26,monthly!$B:$B,"&lt;="&amp;$B26)&gt;0,"NA",AVERAGEIFS(monthly!O:O,monthly!$A:$A,"&gt;="&amp;$A26,monthly!$B:$B,"&lt;="&amp;$B26))</f>
        <v>NA</v>
      </c>
      <c r="X26" t="str">
        <f>IF(COUNTIFS(monthly!P:P,"",monthly!$A:$A,"&gt;="&amp;$A26,monthly!$B:$B,"&lt;="&amp;$B26)&gt;0,"NA",AVERAGEIFS(monthly!P:P,monthly!$A:$A,"&gt;="&amp;$A26,monthly!$B:$B,"&lt;="&amp;$B26))</f>
        <v>NA</v>
      </c>
      <c r="Y26">
        <f>IF(COUNTIFS(monthly!Q:Q,"",monthly!$A:$A,"&gt;="&amp;$A26,monthly!$B:$B,"&lt;="&amp;$B26)&gt;0,"NA",AVERAGEIFS(monthly!Q:Q,monthly!$A:$A,"&gt;="&amp;$A26,monthly!$B:$B,"&lt;="&amp;$B26))</f>
        <v>10.01</v>
      </c>
      <c r="Z26">
        <f>IF(COUNTIFS(monthly!R:R,"",monthly!$A:$A,"&gt;="&amp;$A26,monthly!$B:$B,"&lt;="&amp;$B26)&gt;0,"NA",AVERAGEIFS(monthly!R:R,monthly!$A:$A,"&gt;="&amp;$A26,monthly!$B:$B,"&lt;="&amp;$B26))</f>
        <v>7.7675793650793654</v>
      </c>
      <c r="AA26">
        <f>IF(COUNTIFS(monthly!S:S,"",monthly!$A:$A,"&gt;="&amp;$A26,monthly!$B:$B,"&lt;="&amp;$B26)&gt;0,"NA",AVERAGEIFS(monthly!S:S,monthly!$A:$A,"&gt;="&amp;$A26,monthly!$B:$B,"&lt;="&amp;$B26))</f>
        <v>2.2424206349206339</v>
      </c>
      <c r="AB26" t="str">
        <f>IF(COUNTIFS(monthly!T:T,"",monthly!$A:$A,"&gt;="&amp;$A26,monthly!$B:$B,"&lt;="&amp;$B26)&gt;0,"NA",AVERAGEIFS(monthly!T:T,monthly!$A:$A,"&gt;="&amp;$A26,monthly!$B:$B,"&lt;="&amp;$B26))</f>
        <v>NA</v>
      </c>
      <c r="AC26" t="str">
        <f>IF(COUNTIFS(monthly!U:U,"",monthly!$A:$A,"&gt;="&amp;$A26,monthly!$B:$B,"&lt;="&amp;$B26)&gt;0,"NA",AVERAGEIFS(monthly!U:U,monthly!$A:$A,"&gt;="&amp;$A26,monthly!$B:$B,"&lt;="&amp;$B26))</f>
        <v>NA</v>
      </c>
      <c r="AD26" t="str">
        <f>IF(COUNTIFS(monthly!V:V,"",monthly!$A:$A,"&gt;="&amp;$A26,monthly!$B:$B,"&lt;="&amp;$B26)&gt;0,"NA",AVERAGEIFS(monthly!V:V,monthly!$A:$A,"&gt;="&amp;$A26,monthly!$B:$B,"&lt;="&amp;$B26))</f>
        <v>NA</v>
      </c>
      <c r="AE26" t="str">
        <f>IF(COUNTIFS(monthly!W:W,"",monthly!$A:$A,"&gt;="&amp;$A26,monthly!$B:$B,"&lt;="&amp;$B26)&gt;0,"NA",AVERAGEIFS(monthly!W:W,monthly!$A:$A,"&gt;="&amp;$A26,monthly!$B:$B,"&lt;="&amp;$B26))</f>
        <v>NA</v>
      </c>
      <c r="AF26" t="str">
        <f>IF(COUNTIFS(monthly!X:X,"",monthly!$A:$A,"&gt;="&amp;$A26,monthly!$B:$B,"&lt;="&amp;$B26)&gt;0,"NA",AVERAGEIFS(monthly!X:X,monthly!$A:$A,"&gt;="&amp;$A26,monthly!$B:$B,"&lt;="&amp;$B26))</f>
        <v>NA</v>
      </c>
      <c r="AG26" t="str">
        <f>IF(COUNTIFS(monthly!Y:Y,"",monthly!$A:$A,"&gt;="&amp;$A26,monthly!$B:$B,"&lt;="&amp;$B26)&gt;0,"NA",AVERAGEIFS(monthly!Y:Y,monthly!$A:$A,"&gt;="&amp;$A26,monthly!$B:$B,"&lt;="&amp;$B26))</f>
        <v>NA</v>
      </c>
      <c r="AH26" t="str">
        <f>IF(COUNTIFS(monthly!Z:Z,"",monthly!$A:$A,"&gt;="&amp;$A26,monthly!$B:$B,"&lt;="&amp;$B26)&gt;0,"NA",AVERAGEIFS(monthly!Z:Z,monthly!$A:$A,"&gt;="&amp;$A26,monthly!$B:$B,"&lt;="&amp;$B26))</f>
        <v>NA</v>
      </c>
    </row>
    <row r="27" spans="1:34" x14ac:dyDescent="0.2">
      <c r="A27" s="1">
        <v>27851</v>
      </c>
      <c r="B27" s="1">
        <v>27941</v>
      </c>
      <c r="C27">
        <f>IF(ISBLANK(VLOOKUP($A27,quarterly_data,MATCH(C$1,quarterly!$1:$1,FALSE),FALSE)),"NA",VLOOKUP($A27,quarterly_data,MATCH(C$1,quarterly!$1:$1,FALSE),FALSE))</f>
        <v>165.5498185270022</v>
      </c>
      <c r="D27">
        <f>IF(ISBLANK(VLOOKUP($A27,quarterly_data,MATCH(D$1,quarterly!$1:$1,FALSE),FALSE)),"NA",VLOOKUP($A27,quarterly_data,MATCH(D$1,quarterly!$1:$1,FALSE),FALSE))</f>
        <v>59.8</v>
      </c>
      <c r="E27">
        <f>IF(ISBLANK(VLOOKUP($A27,quarterly_data,MATCH(E$1,quarterly!$1:$1,FALSE),FALSE)),"NA",VLOOKUP($A27,quarterly_data,MATCH(E$1,quarterly!$1:$1,FALSE),FALSE))</f>
        <v>0.47103149999999999</v>
      </c>
      <c r="F27">
        <f>IF(ISBLANK(VLOOKUP($A27,quarterly_data,MATCH(F$1,quarterly!$1:$1,FALSE),FALSE)),"NA",VLOOKUP($A27,quarterly_data,MATCH(F$1,quarterly!$1:$1,FALSE),FALSE))</f>
        <v>9.9601800000000004E-2</v>
      </c>
      <c r="G27">
        <f>IF(ISBLANK(VLOOKUP($A27,quarterly_data,MATCH(G$1,quarterly!$1:$1,FALSE),FALSE)),"NA",VLOOKUP($A27,quarterly_data,MATCH(G$1,quarterly!$1:$1,FALSE),FALSE))</f>
        <v>6370.0249999999996</v>
      </c>
      <c r="H27">
        <f>IF(ISBLANK(VLOOKUP($A27,quarterly_data,MATCH(H$1,quarterly!$1:$1,FALSE),FALSE)),"NA",VLOOKUP($A27,quarterly_data,MATCH(H$1,quarterly!$1:$1,FALSE),FALSE))</f>
        <v>165057</v>
      </c>
      <c r="I27" t="str">
        <f>IF(ISBLANK(VLOOKUP($A27,quarterly_data,MATCH(I$1,quarterly!$1:$1,FALSE),FALSE)),"NA",VLOOKUP($A27,quarterly_data,MATCH(I$1,quarterly!$1:$1,FALSE),FALSE))</f>
        <v>NA</v>
      </c>
      <c r="J27">
        <f>IF(ISBLANK(VLOOKUP($A27,quarterly_data,MATCH(J$1,quarterly!$1:$1,FALSE),FALSE)),"NA",VLOOKUP($A27,quarterly_data,MATCH(J$1,quarterly!$1:$1,FALSE),FALSE))</f>
        <v>12.29</v>
      </c>
      <c r="K27">
        <f>IF(COUNTIFS(monthly!C:C,"",monthly!$A:$A,"&gt;="&amp;$A27,monthly!$B:$B,"&lt;="&amp;$B27)&gt;0,"NA",AVERAGEIFS(monthly!C:C,monthly!$A:$A,"&gt;="&amp;$A27,monthly!$B:$B,"&lt;="&amp;$B27))</f>
        <v>105.3</v>
      </c>
      <c r="L27">
        <f>IF(COUNTIFS(monthly!D:D,"",monthly!$A:$A,"&gt;="&amp;$A27,monthly!$B:$B,"&lt;="&amp;$B27)&gt;0,"NA",AVERAGEIFS(monthly!D:D,monthly!$A:$A,"&gt;="&amp;$A27,monthly!$B:$B,"&lt;="&amp;$B27))</f>
        <v>1.2339</v>
      </c>
      <c r="M27" t="str">
        <f>IF(COUNTIFS(monthly!E:E,"",monthly!$A:$A,"&gt;="&amp;$A27,monthly!$B:$B,"&lt;="&amp;$B27)&gt;0,"NA",AVERAGEIFS(monthly!E:E,monthly!$A:$A,"&gt;="&amp;$A27,monthly!$B:$B,"&lt;="&amp;$B27))</f>
        <v>NA</v>
      </c>
      <c r="N27" t="str">
        <f>IF(COUNTIFS(monthly!F:F,"",monthly!$A:$A,"&gt;="&amp;$A27,monthly!$B:$B,"&lt;="&amp;$B27)&gt;0,"NA",AVERAGEIFS(monthly!F:F,monthly!$A:$A,"&gt;="&amp;$A27,monthly!$B:$B,"&lt;="&amp;$B27))</f>
        <v>NA</v>
      </c>
      <c r="O27">
        <f>IF(COUNTIFS(monthly!G:G,"",monthly!$A:$A,"&gt;="&amp;$A27,monthly!$B:$B,"&lt;="&amp;$B27)&gt;0,"NA",AVERAGEIFS(monthly!G:G,monthly!$A:$A,"&gt;="&amp;$A27,monthly!$B:$B,"&lt;="&amp;$B27))</f>
        <v>22.7</v>
      </c>
      <c r="P27">
        <f>IF(COUNTIFS(monthly!H:H,"",monthly!$A:$A,"&gt;="&amp;$A27,monthly!$B:$B,"&lt;="&amp;$B27)&gt;0,"NA",AVERAGEIFS(monthly!H:H,monthly!$A:$A,"&gt;="&amp;$A27,monthly!$B:$B,"&lt;="&amp;$B27))</f>
        <v>27.2</v>
      </c>
      <c r="Q27">
        <f>IF(COUNTIFS(monthly!I:I,"",monthly!$A:$A,"&gt;="&amp;$A27,monthly!$B:$B,"&lt;="&amp;$B27)&gt;0,"NA",AVERAGEIFS(monthly!I:I,monthly!$A:$A,"&gt;="&amp;$A27,monthly!$B:$B,"&lt;="&amp;$B27))</f>
        <v>11.5</v>
      </c>
      <c r="R27" t="str">
        <f>IF(COUNTIFS(monthly!J:J,"",monthly!$A:$A,"&gt;="&amp;$A27,monthly!$B:$B,"&lt;="&amp;$B27)&gt;0,"NA",AVERAGEIFS(monthly!J:J,monthly!$A:$A,"&gt;="&amp;$A27,monthly!$B:$B,"&lt;="&amp;$B27))</f>
        <v>NA</v>
      </c>
      <c r="S27">
        <f>IF(COUNTIFS(monthly!K:K,"",monthly!$A:$A,"&gt;="&amp;$A27,monthly!$B:$B,"&lt;="&amp;$B27)&gt;0,"NA",AVERAGEIFS(monthly!K:K,monthly!$A:$A,"&gt;="&amp;$A27,monthly!$B:$B,"&lt;="&amp;$B27))</f>
        <v>7.6049725829725832</v>
      </c>
      <c r="T27">
        <f>IF(COUNTIFS(monthly!L:L,"",monthly!$A:$A,"&gt;="&amp;$A27,monthly!$B:$B,"&lt;="&amp;$B27)&gt;0,"NA",AVERAGEIFS(monthly!L:L,monthly!$A:$A,"&gt;="&amp;$A27,monthly!$B:$B,"&lt;="&amp;$B27))</f>
        <v>5.1943261648745507</v>
      </c>
      <c r="U27">
        <f>IF(COUNTIFS(monthly!M:M,"",monthly!$A:$A,"&gt;="&amp;$A27,monthly!$B:$B,"&lt;="&amp;$B27)&gt;0,"NA",AVERAGEIFS(monthly!M:M,monthly!$A:$A,"&gt;="&amp;$A27,monthly!$B:$B,"&lt;="&amp;$B27))</f>
        <v>2.4106464180980329</v>
      </c>
      <c r="V27" t="str">
        <f>IF(COUNTIFS(monthly!N:N,"",monthly!$A:$A,"&gt;="&amp;$A27,monthly!$B:$B,"&lt;="&amp;$B27)&gt;0,"NA",AVERAGEIFS(monthly!N:N,monthly!$A:$A,"&gt;="&amp;$A27,monthly!$B:$B,"&lt;="&amp;$B27))</f>
        <v>NA</v>
      </c>
      <c r="W27" t="str">
        <f>IF(COUNTIFS(monthly!O:O,"",monthly!$A:$A,"&gt;="&amp;$A27,monthly!$B:$B,"&lt;="&amp;$B27)&gt;0,"NA",AVERAGEIFS(monthly!O:O,monthly!$A:$A,"&gt;="&amp;$A27,monthly!$B:$B,"&lt;="&amp;$B27))</f>
        <v>NA</v>
      </c>
      <c r="X27" t="str">
        <f>IF(COUNTIFS(monthly!P:P,"",monthly!$A:$A,"&gt;="&amp;$A27,monthly!$B:$B,"&lt;="&amp;$B27)&gt;0,"NA",AVERAGEIFS(monthly!P:P,monthly!$A:$A,"&gt;="&amp;$A27,monthly!$B:$B,"&lt;="&amp;$B27))</f>
        <v>NA</v>
      </c>
      <c r="Y27">
        <f>IF(COUNTIFS(monthly!Q:Q,"",monthly!$A:$A,"&gt;="&amp;$A27,monthly!$B:$B,"&lt;="&amp;$B27)&gt;0,"NA",AVERAGEIFS(monthly!Q:Q,monthly!$A:$A,"&gt;="&amp;$A27,monthly!$B:$B,"&lt;="&amp;$B27))</f>
        <v>9.9966666666666679</v>
      </c>
      <c r="Z27">
        <f>IF(COUNTIFS(monthly!R:R,"",monthly!$A:$A,"&gt;="&amp;$A27,monthly!$B:$B,"&lt;="&amp;$B27)&gt;0,"NA",AVERAGEIFS(monthly!R:R,monthly!$A:$A,"&gt;="&amp;$A27,monthly!$B:$B,"&lt;="&amp;$B27))</f>
        <v>7.7735497835497851</v>
      </c>
      <c r="AA27">
        <f>IF(COUNTIFS(monthly!S:S,"",monthly!$A:$A,"&gt;="&amp;$A27,monthly!$B:$B,"&lt;="&amp;$B27)&gt;0,"NA",AVERAGEIFS(monthly!S:S,monthly!$A:$A,"&gt;="&amp;$A27,monthly!$B:$B,"&lt;="&amp;$B27))</f>
        <v>2.2231168831168824</v>
      </c>
      <c r="AB27" t="str">
        <f>IF(COUNTIFS(monthly!T:T,"",monthly!$A:$A,"&gt;="&amp;$A27,monthly!$B:$B,"&lt;="&amp;$B27)&gt;0,"NA",AVERAGEIFS(monthly!T:T,monthly!$A:$A,"&gt;="&amp;$A27,monthly!$B:$B,"&lt;="&amp;$B27))</f>
        <v>NA</v>
      </c>
      <c r="AC27" t="str">
        <f>IF(COUNTIFS(monthly!U:U,"",monthly!$A:$A,"&gt;="&amp;$A27,monthly!$B:$B,"&lt;="&amp;$B27)&gt;0,"NA",AVERAGEIFS(monthly!U:U,monthly!$A:$A,"&gt;="&amp;$A27,monthly!$B:$B,"&lt;="&amp;$B27))</f>
        <v>NA</v>
      </c>
      <c r="AD27" t="str">
        <f>IF(COUNTIFS(monthly!V:V,"",monthly!$A:$A,"&gt;="&amp;$A27,monthly!$B:$B,"&lt;="&amp;$B27)&gt;0,"NA",AVERAGEIFS(monthly!V:V,monthly!$A:$A,"&gt;="&amp;$A27,monthly!$B:$B,"&lt;="&amp;$B27))</f>
        <v>NA</v>
      </c>
      <c r="AE27" t="str">
        <f>IF(COUNTIFS(monthly!W:W,"",monthly!$A:$A,"&gt;="&amp;$A27,monthly!$B:$B,"&lt;="&amp;$B27)&gt;0,"NA",AVERAGEIFS(monthly!W:W,monthly!$A:$A,"&gt;="&amp;$A27,monthly!$B:$B,"&lt;="&amp;$B27))</f>
        <v>NA</v>
      </c>
      <c r="AF27" t="str">
        <f>IF(COUNTIFS(monthly!X:X,"",monthly!$A:$A,"&gt;="&amp;$A27,monthly!$B:$B,"&lt;="&amp;$B27)&gt;0,"NA",AVERAGEIFS(monthly!X:X,monthly!$A:$A,"&gt;="&amp;$A27,monthly!$B:$B,"&lt;="&amp;$B27))</f>
        <v>NA</v>
      </c>
      <c r="AG27" t="str">
        <f>IF(COUNTIFS(monthly!Y:Y,"",monthly!$A:$A,"&gt;="&amp;$A27,monthly!$B:$B,"&lt;="&amp;$B27)&gt;0,"NA",AVERAGEIFS(monthly!Y:Y,monthly!$A:$A,"&gt;="&amp;$A27,monthly!$B:$B,"&lt;="&amp;$B27))</f>
        <v>NA</v>
      </c>
      <c r="AH27" t="str">
        <f>IF(COUNTIFS(monthly!Z:Z,"",monthly!$A:$A,"&gt;="&amp;$A27,monthly!$B:$B,"&lt;="&amp;$B27)&gt;0,"NA",AVERAGEIFS(monthly!Z:Z,monthly!$A:$A,"&gt;="&amp;$A27,monthly!$B:$B,"&lt;="&amp;$B27))</f>
        <v>NA</v>
      </c>
    </row>
    <row r="28" spans="1:34" x14ac:dyDescent="0.2">
      <c r="A28" s="1">
        <v>27942</v>
      </c>
      <c r="B28" s="1">
        <v>28033</v>
      </c>
      <c r="C28">
        <f>IF(ISBLANK(VLOOKUP($A28,quarterly_data,MATCH(C$1,quarterly!$1:$1,FALSE),FALSE)),"NA",VLOOKUP($A28,quarterly_data,MATCH(C$1,quarterly!$1:$1,FALSE),FALSE))</f>
        <v>165.78647362953859</v>
      </c>
      <c r="D28">
        <f>IF(ISBLANK(VLOOKUP($A28,quarterly_data,MATCH(D$1,quarterly!$1:$1,FALSE),FALSE)),"NA",VLOOKUP($A28,quarterly_data,MATCH(D$1,quarterly!$1:$1,FALSE),FALSE))</f>
        <v>58.7</v>
      </c>
      <c r="E28">
        <f>IF(ISBLANK(VLOOKUP($A28,quarterly_data,MATCH(E$1,quarterly!$1:$1,FALSE),FALSE)),"NA",VLOOKUP($A28,quarterly_data,MATCH(E$1,quarterly!$1:$1,FALSE),FALSE))</f>
        <v>0</v>
      </c>
      <c r="F28">
        <f>IF(ISBLANK(VLOOKUP($A28,quarterly_data,MATCH(F$1,quarterly!$1:$1,FALSE),FALSE)),"NA",VLOOKUP($A28,quarterly_data,MATCH(F$1,quarterly!$1:$1,FALSE),FALSE))</f>
        <v>4.7103199999999998E-2</v>
      </c>
      <c r="G28">
        <f>IF(ISBLANK(VLOOKUP($A28,quarterly_data,MATCH(G$1,quarterly!$1:$1,FALSE),FALSE)),"NA",VLOOKUP($A28,quarterly_data,MATCH(G$1,quarterly!$1:$1,FALSE),FALSE))</f>
        <v>6404.8950000000004</v>
      </c>
      <c r="H28">
        <f>IF(ISBLANK(VLOOKUP($A28,quarterly_data,MATCH(H$1,quarterly!$1:$1,FALSE),FALSE)),"NA",VLOOKUP($A28,quarterly_data,MATCH(H$1,quarterly!$1:$1,FALSE),FALSE))</f>
        <v>166395</v>
      </c>
      <c r="I28" t="str">
        <f>IF(ISBLANK(VLOOKUP($A28,quarterly_data,MATCH(I$1,quarterly!$1:$1,FALSE),FALSE)),"NA",VLOOKUP($A28,quarterly_data,MATCH(I$1,quarterly!$1:$1,FALSE),FALSE))</f>
        <v>NA</v>
      </c>
      <c r="J28">
        <f>IF(ISBLANK(VLOOKUP($A28,quarterly_data,MATCH(J$1,quarterly!$1:$1,FALSE),FALSE)),"NA",VLOOKUP($A28,quarterly_data,MATCH(J$1,quarterly!$1:$1,FALSE),FALSE))</f>
        <v>12.6</v>
      </c>
      <c r="K28">
        <f>IF(COUNTIFS(monthly!C:C,"",monthly!$A:$A,"&gt;="&amp;$A28,monthly!$B:$B,"&lt;="&amp;$B28)&gt;0,"NA",AVERAGEIFS(monthly!C:C,monthly!$A:$A,"&gt;="&amp;$A28,monthly!$B:$B,"&lt;="&amp;$B28))</f>
        <v>105.3</v>
      </c>
      <c r="L28">
        <f>IF(COUNTIFS(monthly!D:D,"",monthly!$A:$A,"&gt;="&amp;$A28,monthly!$B:$B,"&lt;="&amp;$B28)&gt;0,"NA",AVERAGEIFS(monthly!D:D,monthly!$A:$A,"&gt;="&amp;$A28,monthly!$B:$B,"&lt;="&amp;$B28))</f>
        <v>1.2413999999999998</v>
      </c>
      <c r="M28" t="str">
        <f>IF(COUNTIFS(monthly!E:E,"",monthly!$A:$A,"&gt;="&amp;$A28,monthly!$B:$B,"&lt;="&amp;$B28)&gt;0,"NA",AVERAGEIFS(monthly!E:E,monthly!$A:$A,"&gt;="&amp;$A28,monthly!$B:$B,"&lt;="&amp;$B28))</f>
        <v>NA</v>
      </c>
      <c r="N28" t="str">
        <f>IF(COUNTIFS(monthly!F:F,"",monthly!$A:$A,"&gt;="&amp;$A28,monthly!$B:$B,"&lt;="&amp;$B28)&gt;0,"NA",AVERAGEIFS(monthly!F:F,monthly!$A:$A,"&gt;="&amp;$A28,monthly!$B:$B,"&lt;="&amp;$B28))</f>
        <v>NA</v>
      </c>
      <c r="O28">
        <f>IF(COUNTIFS(monthly!G:G,"",monthly!$A:$A,"&gt;="&amp;$A28,monthly!$B:$B,"&lt;="&amp;$B28)&gt;0,"NA",AVERAGEIFS(monthly!G:G,monthly!$A:$A,"&gt;="&amp;$A28,monthly!$B:$B,"&lt;="&amp;$B28))</f>
        <v>22.7</v>
      </c>
      <c r="P28">
        <f>IF(COUNTIFS(monthly!H:H,"",monthly!$A:$A,"&gt;="&amp;$A28,monthly!$B:$B,"&lt;="&amp;$B28)&gt;0,"NA",AVERAGEIFS(monthly!H:H,monthly!$A:$A,"&gt;="&amp;$A28,monthly!$B:$B,"&lt;="&amp;$B28))</f>
        <v>27.2</v>
      </c>
      <c r="Q28">
        <f>IF(COUNTIFS(monthly!I:I,"",monthly!$A:$A,"&gt;="&amp;$A28,monthly!$B:$B,"&lt;="&amp;$B28)&gt;0,"NA",AVERAGEIFS(monthly!I:I,monthly!$A:$A,"&gt;="&amp;$A28,monthly!$B:$B,"&lt;="&amp;$B28))</f>
        <v>11.6</v>
      </c>
      <c r="R28" t="str">
        <f>IF(COUNTIFS(monthly!J:J,"",monthly!$A:$A,"&gt;="&amp;$A28,monthly!$B:$B,"&lt;="&amp;$B28)&gt;0,"NA",AVERAGEIFS(monthly!J:J,monthly!$A:$A,"&gt;="&amp;$A28,monthly!$B:$B,"&lt;="&amp;$B28))</f>
        <v>NA</v>
      </c>
      <c r="S28">
        <f>IF(COUNTIFS(monthly!K:K,"",monthly!$A:$A,"&gt;="&amp;$A28,monthly!$B:$B,"&lt;="&amp;$B28)&gt;0,"NA",AVERAGEIFS(monthly!K:K,monthly!$A:$A,"&gt;="&amp;$A28,monthly!$B:$B,"&lt;="&amp;$B28))</f>
        <v>7.5942424242424238</v>
      </c>
      <c r="T28">
        <f>IF(COUNTIFS(monthly!L:L,"",monthly!$A:$A,"&gt;="&amp;$A28,monthly!$B:$B,"&lt;="&amp;$B28)&gt;0,"NA",AVERAGEIFS(monthly!L:L,monthly!$A:$A,"&gt;="&amp;$A28,monthly!$B:$B,"&lt;="&amp;$B28))</f>
        <v>5.2831397849462363</v>
      </c>
      <c r="U28">
        <f>IF(COUNTIFS(monthly!M:M,"",monthly!$A:$A,"&gt;="&amp;$A28,monthly!$B:$B,"&lt;="&amp;$B28)&gt;0,"NA",AVERAGEIFS(monthly!M:M,monthly!$A:$A,"&gt;="&amp;$A28,monthly!$B:$B,"&lt;="&amp;$B28))</f>
        <v>2.3111026392961871</v>
      </c>
      <c r="V28" t="str">
        <f>IF(COUNTIFS(monthly!N:N,"",monthly!$A:$A,"&gt;="&amp;$A28,monthly!$B:$B,"&lt;="&amp;$B28)&gt;0,"NA",AVERAGEIFS(monthly!N:N,monthly!$A:$A,"&gt;="&amp;$A28,monthly!$B:$B,"&lt;="&amp;$B28))</f>
        <v>NA</v>
      </c>
      <c r="W28">
        <f>IF(COUNTIFS(monthly!O:O,"",monthly!$A:$A,"&gt;="&amp;$A28,monthly!$B:$B,"&lt;="&amp;$B28)&gt;0,"NA",AVERAGEIFS(monthly!O:O,monthly!$A:$A,"&gt;="&amp;$A28,monthly!$B:$B,"&lt;="&amp;$B28))</f>
        <v>6.6325180375180386</v>
      </c>
      <c r="X28" t="str">
        <f>IF(COUNTIFS(monthly!P:P,"",monthly!$A:$A,"&gt;="&amp;$A28,monthly!$B:$B,"&lt;="&amp;$B28)&gt;0,"NA",AVERAGEIFS(monthly!P:P,monthly!$A:$A,"&gt;="&amp;$A28,monthly!$B:$B,"&lt;="&amp;$B28))</f>
        <v>NA</v>
      </c>
      <c r="Y28">
        <f>IF(COUNTIFS(monthly!Q:Q,"",monthly!$A:$A,"&gt;="&amp;$A28,monthly!$B:$B,"&lt;="&amp;$B28)&gt;0,"NA",AVERAGEIFS(monthly!Q:Q,monthly!$A:$A,"&gt;="&amp;$A28,monthly!$B:$B,"&lt;="&amp;$B28))</f>
        <v>9.9933333333333341</v>
      </c>
      <c r="Z28">
        <f>IF(COUNTIFS(monthly!R:R,"",monthly!$A:$A,"&gt;="&amp;$A28,monthly!$B:$B,"&lt;="&amp;$B28)&gt;0,"NA",AVERAGEIFS(monthly!R:R,monthly!$A:$A,"&gt;="&amp;$A28,monthly!$B:$B,"&lt;="&amp;$B28))</f>
        <v>7.7316089466089473</v>
      </c>
      <c r="AA28">
        <f>IF(COUNTIFS(monthly!S:S,"",monthly!$A:$A,"&gt;="&amp;$A28,monthly!$B:$B,"&lt;="&amp;$B28)&gt;0,"NA",AVERAGEIFS(monthly!S:S,monthly!$A:$A,"&gt;="&amp;$A28,monthly!$B:$B,"&lt;="&amp;$B28))</f>
        <v>2.2617243867243864</v>
      </c>
      <c r="AB28" t="str">
        <f>IF(COUNTIFS(monthly!T:T,"",monthly!$A:$A,"&gt;="&amp;$A28,monthly!$B:$B,"&lt;="&amp;$B28)&gt;0,"NA",AVERAGEIFS(monthly!T:T,monthly!$A:$A,"&gt;="&amp;$A28,monthly!$B:$B,"&lt;="&amp;$B28))</f>
        <v>NA</v>
      </c>
      <c r="AC28" t="str">
        <f>IF(COUNTIFS(monthly!U:U,"",monthly!$A:$A,"&gt;="&amp;$A28,monthly!$B:$B,"&lt;="&amp;$B28)&gt;0,"NA",AVERAGEIFS(monthly!U:U,monthly!$A:$A,"&gt;="&amp;$A28,monthly!$B:$B,"&lt;="&amp;$B28))</f>
        <v>NA</v>
      </c>
      <c r="AD28" t="str">
        <f>IF(COUNTIFS(monthly!V:V,"",monthly!$A:$A,"&gt;="&amp;$A28,monthly!$B:$B,"&lt;="&amp;$B28)&gt;0,"NA",AVERAGEIFS(monthly!V:V,monthly!$A:$A,"&gt;="&amp;$A28,monthly!$B:$B,"&lt;="&amp;$B28))</f>
        <v>NA</v>
      </c>
      <c r="AE28" t="str">
        <f>IF(COUNTIFS(monthly!W:W,"",monthly!$A:$A,"&gt;="&amp;$A28,monthly!$B:$B,"&lt;="&amp;$B28)&gt;0,"NA",AVERAGEIFS(monthly!W:W,monthly!$A:$A,"&gt;="&amp;$A28,monthly!$B:$B,"&lt;="&amp;$B28))</f>
        <v>NA</v>
      </c>
      <c r="AF28" t="str">
        <f>IF(COUNTIFS(monthly!X:X,"",monthly!$A:$A,"&gt;="&amp;$A28,monthly!$B:$B,"&lt;="&amp;$B28)&gt;0,"NA",AVERAGEIFS(monthly!X:X,monthly!$A:$A,"&gt;="&amp;$A28,monthly!$B:$B,"&lt;="&amp;$B28))</f>
        <v>NA</v>
      </c>
      <c r="AG28" t="str">
        <f>IF(COUNTIFS(monthly!Y:Y,"",monthly!$A:$A,"&gt;="&amp;$A28,monthly!$B:$B,"&lt;="&amp;$B28)&gt;0,"NA",AVERAGEIFS(monthly!Y:Y,monthly!$A:$A,"&gt;="&amp;$A28,monthly!$B:$B,"&lt;="&amp;$B28))</f>
        <v>NA</v>
      </c>
      <c r="AH28" t="str">
        <f>IF(COUNTIFS(monthly!Z:Z,"",monthly!$A:$A,"&gt;="&amp;$A28,monthly!$B:$B,"&lt;="&amp;$B28)&gt;0,"NA",AVERAGEIFS(monthly!Z:Z,monthly!$A:$A,"&gt;="&amp;$A28,monthly!$B:$B,"&lt;="&amp;$B28))</f>
        <v>NA</v>
      </c>
    </row>
    <row r="29" spans="1:34" x14ac:dyDescent="0.2">
      <c r="A29" s="1">
        <v>28034</v>
      </c>
      <c r="B29" s="1">
        <v>28124</v>
      </c>
      <c r="C29">
        <f>IF(ISBLANK(VLOOKUP($A29,quarterly_data,MATCH(C$1,quarterly!$1:$1,FALSE),FALSE)),"NA",VLOOKUP($A29,quarterly_data,MATCH(C$1,quarterly!$1:$1,FALSE),FALSE))</f>
        <v>156.07943825233585</v>
      </c>
      <c r="D29">
        <f>IF(ISBLANK(VLOOKUP($A29,quarterly_data,MATCH(D$1,quarterly!$1:$1,FALSE),FALSE)),"NA",VLOOKUP($A29,quarterly_data,MATCH(D$1,quarterly!$1:$1,FALSE),FALSE))</f>
        <v>56.7</v>
      </c>
      <c r="E29">
        <f>IF(ISBLANK(VLOOKUP($A29,quarterly_data,MATCH(E$1,quarterly!$1:$1,FALSE),FALSE)),"NA",VLOOKUP($A29,quarterly_data,MATCH(E$1,quarterly!$1:$1,FALSE),FALSE))</f>
        <v>0.25223859999999998</v>
      </c>
      <c r="F29">
        <f>IF(ISBLANK(VLOOKUP($A29,quarterly_data,MATCH(F$1,quarterly!$1:$1,FALSE),FALSE)),"NA",VLOOKUP($A29,quarterly_data,MATCH(F$1,quarterly!$1:$1,FALSE),FALSE))</f>
        <v>6.6148799999999994E-2</v>
      </c>
      <c r="G29">
        <f>IF(ISBLANK(VLOOKUP($A29,quarterly_data,MATCH(G$1,quarterly!$1:$1,FALSE),FALSE)),"NA",VLOOKUP($A29,quarterly_data,MATCH(G$1,quarterly!$1:$1,FALSE),FALSE))</f>
        <v>6451.1769999999997</v>
      </c>
      <c r="H29">
        <f>IF(ISBLANK(VLOOKUP($A29,quarterly_data,MATCH(H$1,quarterly!$1:$1,FALSE),FALSE)),"NA",VLOOKUP($A29,quarterly_data,MATCH(H$1,quarterly!$1:$1,FALSE),FALSE))</f>
        <v>167827</v>
      </c>
      <c r="I29" t="str">
        <f>IF(ISBLANK(VLOOKUP($A29,quarterly_data,MATCH(I$1,quarterly!$1:$1,FALSE),FALSE)),"NA",VLOOKUP($A29,quarterly_data,MATCH(I$1,quarterly!$1:$1,FALSE),FALSE))</f>
        <v>NA</v>
      </c>
      <c r="J29">
        <f>IF(ISBLANK(VLOOKUP($A29,quarterly_data,MATCH(J$1,quarterly!$1:$1,FALSE),FALSE)),"NA",VLOOKUP($A29,quarterly_data,MATCH(J$1,quarterly!$1:$1,FALSE),FALSE))</f>
        <v>13.34</v>
      </c>
      <c r="K29">
        <f>IF(COUNTIFS(monthly!C:C,"",monthly!$A:$A,"&gt;="&amp;$A29,monthly!$B:$B,"&lt;="&amp;$B29)&gt;0,"NA",AVERAGEIFS(monthly!C:C,monthly!$A:$A,"&gt;="&amp;$A29,monthly!$B:$B,"&lt;="&amp;$B29))</f>
        <v>96.1</v>
      </c>
      <c r="L29">
        <f>IF(COUNTIFS(monthly!D:D,"",monthly!$A:$A,"&gt;="&amp;$A29,monthly!$B:$B,"&lt;="&amp;$B29)&gt;0,"NA",AVERAGEIFS(monthly!D:D,monthly!$A:$A,"&gt;="&amp;$A29,monthly!$B:$B,"&lt;="&amp;$B29))</f>
        <v>1.1192</v>
      </c>
      <c r="M29" t="str">
        <f>IF(COUNTIFS(monthly!E:E,"",monthly!$A:$A,"&gt;="&amp;$A29,monthly!$B:$B,"&lt;="&amp;$B29)&gt;0,"NA",AVERAGEIFS(monthly!E:E,monthly!$A:$A,"&gt;="&amp;$A29,monthly!$B:$B,"&lt;="&amp;$B29))</f>
        <v>NA</v>
      </c>
      <c r="N29" t="str">
        <f>IF(COUNTIFS(monthly!F:F,"",monthly!$A:$A,"&gt;="&amp;$A29,monthly!$B:$B,"&lt;="&amp;$B29)&gt;0,"NA",AVERAGEIFS(monthly!F:F,monthly!$A:$A,"&gt;="&amp;$A29,monthly!$B:$B,"&lt;="&amp;$B29))</f>
        <v>NA</v>
      </c>
      <c r="O29">
        <f>IF(COUNTIFS(monthly!G:G,"",monthly!$A:$A,"&gt;="&amp;$A29,monthly!$B:$B,"&lt;="&amp;$B29)&gt;0,"NA",AVERAGEIFS(monthly!G:G,monthly!$A:$A,"&gt;="&amp;$A29,monthly!$B:$B,"&lt;="&amp;$B29))</f>
        <v>22.7</v>
      </c>
      <c r="P29">
        <f>IF(COUNTIFS(monthly!H:H,"",monthly!$A:$A,"&gt;="&amp;$A29,monthly!$B:$B,"&lt;="&amp;$B29)&gt;0,"NA",AVERAGEIFS(monthly!H:H,monthly!$A:$A,"&gt;="&amp;$A29,monthly!$B:$B,"&lt;="&amp;$B29))</f>
        <v>27.2</v>
      </c>
      <c r="Q29">
        <f>IF(COUNTIFS(monthly!I:I,"",monthly!$A:$A,"&gt;="&amp;$A29,monthly!$B:$B,"&lt;="&amp;$B29)&gt;0,"NA",AVERAGEIFS(monthly!I:I,monthly!$A:$A,"&gt;="&amp;$A29,monthly!$B:$B,"&lt;="&amp;$B29))</f>
        <v>11.9</v>
      </c>
      <c r="R29" t="str">
        <f>IF(COUNTIFS(monthly!J:J,"",monthly!$A:$A,"&gt;="&amp;$A29,monthly!$B:$B,"&lt;="&amp;$B29)&gt;0,"NA",AVERAGEIFS(monthly!J:J,monthly!$A:$A,"&gt;="&amp;$A29,monthly!$B:$B,"&lt;="&amp;$B29))</f>
        <v>NA</v>
      </c>
      <c r="S29">
        <f>IF(COUNTIFS(monthly!K:K,"",monthly!$A:$A,"&gt;="&amp;$A29,monthly!$B:$B,"&lt;="&amp;$B29)&gt;0,"NA",AVERAGEIFS(monthly!K:K,monthly!$A:$A,"&gt;="&amp;$A29,monthly!$B:$B,"&lt;="&amp;$B29))</f>
        <v>7.2262987012987008</v>
      </c>
      <c r="T29">
        <f>IF(COUNTIFS(monthly!L:L,"",monthly!$A:$A,"&gt;="&amp;$A29,monthly!$B:$B,"&lt;="&amp;$B29)&gt;0,"NA",AVERAGEIFS(monthly!L:L,monthly!$A:$A,"&gt;="&amp;$A29,monthly!$B:$B,"&lt;="&amp;$B29))</f>
        <v>4.9869193548387116</v>
      </c>
      <c r="U29">
        <f>IF(COUNTIFS(monthly!M:M,"",monthly!$A:$A,"&gt;="&amp;$A29,monthly!$B:$B,"&lt;="&amp;$B29)&gt;0,"NA",AVERAGEIFS(monthly!M:M,monthly!$A:$A,"&gt;="&amp;$A29,monthly!$B:$B,"&lt;="&amp;$B29))</f>
        <v>2.2393793464599896</v>
      </c>
      <c r="V29" t="str">
        <f>IF(COUNTIFS(monthly!N:N,"",monthly!$A:$A,"&gt;="&amp;$A29,monthly!$B:$B,"&lt;="&amp;$B29)&gt;0,"NA",AVERAGEIFS(monthly!N:N,monthly!$A:$A,"&gt;="&amp;$A29,monthly!$B:$B,"&lt;="&amp;$B29))</f>
        <v>NA</v>
      </c>
      <c r="W29">
        <f>IF(COUNTIFS(monthly!O:O,"",monthly!$A:$A,"&gt;="&amp;$A29,monthly!$B:$B,"&lt;="&amp;$B29)&gt;0,"NA",AVERAGEIFS(monthly!O:O,monthly!$A:$A,"&gt;="&amp;$A29,monthly!$B:$B,"&lt;="&amp;$B29))</f>
        <v>5.8970000000000002</v>
      </c>
      <c r="X29" t="str">
        <f>IF(COUNTIFS(monthly!P:P,"",monthly!$A:$A,"&gt;="&amp;$A29,monthly!$B:$B,"&lt;="&amp;$B29)&gt;0,"NA",AVERAGEIFS(monthly!P:P,monthly!$A:$A,"&gt;="&amp;$A29,monthly!$B:$B,"&lt;="&amp;$B29))</f>
        <v>NA</v>
      </c>
      <c r="Y29">
        <f>IF(COUNTIFS(monthly!Q:Q,"",monthly!$A:$A,"&gt;="&amp;$A29,monthly!$B:$B,"&lt;="&amp;$B29)&gt;0,"NA",AVERAGEIFS(monthly!Q:Q,monthly!$A:$A,"&gt;="&amp;$A29,monthly!$B:$B,"&lt;="&amp;$B29))</f>
        <v>9.99</v>
      </c>
      <c r="Z29">
        <f>IF(COUNTIFS(monthly!R:R,"",monthly!$A:$A,"&gt;="&amp;$A29,monthly!$B:$B,"&lt;="&amp;$B29)&gt;0,"NA",AVERAGEIFS(monthly!R:R,monthly!$A:$A,"&gt;="&amp;$A29,monthly!$B:$B,"&lt;="&amp;$B29))</f>
        <v>7.3510263157894729</v>
      </c>
      <c r="AA29">
        <f>IF(COUNTIFS(monthly!S:S,"",monthly!$A:$A,"&gt;="&amp;$A29,monthly!$B:$B,"&lt;="&amp;$B29)&gt;0,"NA",AVERAGEIFS(monthly!S:S,monthly!$A:$A,"&gt;="&amp;$A29,monthly!$B:$B,"&lt;="&amp;$B29))</f>
        <v>2.6389736842105274</v>
      </c>
      <c r="AB29" t="str">
        <f>IF(COUNTIFS(monthly!T:T,"",monthly!$A:$A,"&gt;="&amp;$A29,monthly!$B:$B,"&lt;="&amp;$B29)&gt;0,"NA",AVERAGEIFS(monthly!T:T,monthly!$A:$A,"&gt;="&amp;$A29,monthly!$B:$B,"&lt;="&amp;$B29))</f>
        <v>NA</v>
      </c>
      <c r="AC29" t="str">
        <f>IF(COUNTIFS(monthly!U:U,"",monthly!$A:$A,"&gt;="&amp;$A29,monthly!$B:$B,"&lt;="&amp;$B29)&gt;0,"NA",AVERAGEIFS(monthly!U:U,monthly!$A:$A,"&gt;="&amp;$A29,monthly!$B:$B,"&lt;="&amp;$B29))</f>
        <v>NA</v>
      </c>
      <c r="AD29" t="str">
        <f>IF(COUNTIFS(monthly!V:V,"",monthly!$A:$A,"&gt;="&amp;$A29,monthly!$B:$B,"&lt;="&amp;$B29)&gt;0,"NA",AVERAGEIFS(monthly!V:V,monthly!$A:$A,"&gt;="&amp;$A29,monthly!$B:$B,"&lt;="&amp;$B29))</f>
        <v>NA</v>
      </c>
      <c r="AE29" t="str">
        <f>IF(COUNTIFS(monthly!W:W,"",monthly!$A:$A,"&gt;="&amp;$A29,monthly!$B:$B,"&lt;="&amp;$B29)&gt;0,"NA",AVERAGEIFS(monthly!W:W,monthly!$A:$A,"&gt;="&amp;$A29,monthly!$B:$B,"&lt;="&amp;$B29))</f>
        <v>NA</v>
      </c>
      <c r="AF29" t="str">
        <f>IF(COUNTIFS(monthly!X:X,"",monthly!$A:$A,"&gt;="&amp;$A29,monthly!$B:$B,"&lt;="&amp;$B29)&gt;0,"NA",AVERAGEIFS(monthly!X:X,monthly!$A:$A,"&gt;="&amp;$A29,monthly!$B:$B,"&lt;="&amp;$B29))</f>
        <v>NA</v>
      </c>
      <c r="AG29" t="str">
        <f>IF(COUNTIFS(monthly!Y:Y,"",monthly!$A:$A,"&gt;="&amp;$A29,monthly!$B:$B,"&lt;="&amp;$B29)&gt;0,"NA",AVERAGEIFS(monthly!Y:Y,monthly!$A:$A,"&gt;="&amp;$A29,monthly!$B:$B,"&lt;="&amp;$B29))</f>
        <v>NA</v>
      </c>
      <c r="AH29" t="str">
        <f>IF(COUNTIFS(monthly!Z:Z,"",monthly!$A:$A,"&gt;="&amp;$A29,monthly!$B:$B,"&lt;="&amp;$B29)&gt;0,"NA",AVERAGEIFS(monthly!Z:Z,monthly!$A:$A,"&gt;="&amp;$A29,monthly!$B:$B,"&lt;="&amp;$B29))</f>
        <v>NA</v>
      </c>
    </row>
    <row r="30" spans="1:34" x14ac:dyDescent="0.2">
      <c r="A30" s="1">
        <v>28126</v>
      </c>
      <c r="B30" s="1">
        <v>28214</v>
      </c>
      <c r="C30">
        <f>IF(ISBLANK(VLOOKUP($A30,quarterly_data,MATCH(C$1,quarterly!$1:$1,FALSE),FALSE)),"NA",VLOOKUP($A30,quarterly_data,MATCH(C$1,quarterly!$1:$1,FALSE),FALSE))</f>
        <v>146.55229508185127</v>
      </c>
      <c r="D30">
        <f>IF(ISBLANK(VLOOKUP($A30,quarterly_data,MATCH(D$1,quarterly!$1:$1,FALSE),FALSE)),"NA",VLOOKUP($A30,quarterly_data,MATCH(D$1,quarterly!$1:$1,FALSE),FALSE))</f>
        <v>56</v>
      </c>
      <c r="E30">
        <f>IF(ISBLANK(VLOOKUP($A30,quarterly_data,MATCH(E$1,quarterly!$1:$1,FALSE),FALSE)),"NA",VLOOKUP($A30,quarterly_data,MATCH(E$1,quarterly!$1:$1,FALSE),FALSE))</f>
        <v>0.42337000000000002</v>
      </c>
      <c r="F30">
        <f>IF(ISBLANK(VLOOKUP($A30,quarterly_data,MATCH(F$1,quarterly!$1:$1,FALSE),FALSE)),"NA",VLOOKUP($A30,quarterly_data,MATCH(F$1,quarterly!$1:$1,FALSE),FALSE))</f>
        <v>0.10989790000000001</v>
      </c>
      <c r="G30">
        <f>IF(ISBLANK(VLOOKUP($A30,quarterly_data,MATCH(G$1,quarterly!$1:$1,FALSE),FALSE)),"NA",VLOOKUP($A30,quarterly_data,MATCH(G$1,quarterly!$1:$1,FALSE),FALSE))</f>
        <v>6527.7030000000004</v>
      </c>
      <c r="H30">
        <f>IF(ISBLANK(VLOOKUP($A30,quarterly_data,MATCH(H$1,quarterly!$1:$1,FALSE),FALSE)),"NA",VLOOKUP($A30,quarterly_data,MATCH(H$1,quarterly!$1:$1,FALSE),FALSE))</f>
        <v>166942</v>
      </c>
      <c r="I30" t="str">
        <f>IF(ISBLANK(VLOOKUP($A30,quarterly_data,MATCH(I$1,quarterly!$1:$1,FALSE),FALSE)),"NA",VLOOKUP($A30,quarterly_data,MATCH(I$1,quarterly!$1:$1,FALSE),FALSE))</f>
        <v>NA</v>
      </c>
      <c r="J30">
        <f>IF(ISBLANK(VLOOKUP($A30,quarterly_data,MATCH(J$1,quarterly!$1:$1,FALSE),FALSE)),"NA",VLOOKUP($A30,quarterly_data,MATCH(J$1,quarterly!$1:$1,FALSE),FALSE))</f>
        <v>13.65</v>
      </c>
      <c r="K30">
        <f>IF(COUNTIFS(monthly!C:C,"",monthly!$A:$A,"&gt;="&amp;$A30,monthly!$B:$B,"&lt;="&amp;$B30)&gt;0,"NA",AVERAGEIFS(monthly!C:C,monthly!$A:$A,"&gt;="&amp;$A30,monthly!$B:$B,"&lt;="&amp;$B30))</f>
        <v>92.35</v>
      </c>
      <c r="L30">
        <f>IF(COUNTIFS(monthly!D:D,"",monthly!$A:$A,"&gt;="&amp;$A30,monthly!$B:$B,"&lt;="&amp;$B30)&gt;0,"NA",AVERAGEIFS(monthly!D:D,monthly!$A:$A,"&gt;="&amp;$A30,monthly!$B:$B,"&lt;="&amp;$B30))</f>
        <v>1.09185</v>
      </c>
      <c r="M30" t="str">
        <f>IF(COUNTIFS(monthly!E:E,"",monthly!$A:$A,"&gt;="&amp;$A30,monthly!$B:$B,"&lt;="&amp;$B30)&gt;0,"NA",AVERAGEIFS(monthly!E:E,monthly!$A:$A,"&gt;="&amp;$A30,monthly!$B:$B,"&lt;="&amp;$B30))</f>
        <v>NA</v>
      </c>
      <c r="N30" t="str">
        <f>IF(COUNTIFS(monthly!F:F,"",monthly!$A:$A,"&gt;="&amp;$A30,monthly!$B:$B,"&lt;="&amp;$B30)&gt;0,"NA",AVERAGEIFS(monthly!F:F,monthly!$A:$A,"&gt;="&amp;$A30,monthly!$B:$B,"&lt;="&amp;$B30))</f>
        <v>NA</v>
      </c>
      <c r="O30">
        <f>IF(COUNTIFS(monthly!G:G,"",monthly!$A:$A,"&gt;="&amp;$A30,monthly!$B:$B,"&lt;="&amp;$B30)&gt;0,"NA",AVERAGEIFS(monthly!G:G,monthly!$A:$A,"&gt;="&amp;$A30,monthly!$B:$B,"&lt;="&amp;$B30))</f>
        <v>23.1</v>
      </c>
      <c r="P30">
        <f>IF(COUNTIFS(monthly!H:H,"",monthly!$A:$A,"&gt;="&amp;$A30,monthly!$B:$B,"&lt;="&amp;$B30)&gt;0,"NA",AVERAGEIFS(monthly!H:H,monthly!$A:$A,"&gt;="&amp;$A30,monthly!$B:$B,"&lt;="&amp;$B30))</f>
        <v>28.7</v>
      </c>
      <c r="Q30">
        <f>IF(COUNTIFS(monthly!I:I,"",monthly!$A:$A,"&gt;="&amp;$A30,monthly!$B:$B,"&lt;="&amp;$B30)&gt;0,"NA",AVERAGEIFS(monthly!I:I,monthly!$A:$A,"&gt;="&amp;$A30,monthly!$B:$B,"&lt;="&amp;$B30))</f>
        <v>12.5</v>
      </c>
      <c r="R30">
        <f>IF(COUNTIFS(monthly!J:J,"",monthly!$A:$A,"&gt;="&amp;$A30,monthly!$B:$B,"&lt;="&amp;$B30)&gt;0,"NA",AVERAGEIFS(monthly!J:J,monthly!$A:$A,"&gt;="&amp;$A30,monthly!$B:$B,"&lt;="&amp;$B30))</f>
        <v>2.77</v>
      </c>
      <c r="S30">
        <f>IF(COUNTIFS(monthly!K:K,"",monthly!$A:$A,"&gt;="&amp;$A30,monthly!$B:$B,"&lt;="&amp;$B30)&gt;0,"NA",AVERAGEIFS(monthly!K:K,monthly!$A:$A,"&gt;="&amp;$A30,monthly!$B:$B,"&lt;="&amp;$B30))</f>
        <v>7.4399078947368409</v>
      </c>
      <c r="T30">
        <f>IF(COUNTIFS(monthly!L:L,"",monthly!$A:$A,"&gt;="&amp;$A30,monthly!$B:$B,"&lt;="&amp;$B30)&gt;0,"NA",AVERAGEIFS(monthly!L:L,monthly!$A:$A,"&gt;="&amp;$A30,monthly!$B:$B,"&lt;="&amp;$B30))</f>
        <v>4.6470910138248858</v>
      </c>
      <c r="U30">
        <f>IF(COUNTIFS(monthly!M:M,"",monthly!$A:$A,"&gt;="&amp;$A30,monthly!$B:$B,"&lt;="&amp;$B30)&gt;0,"NA",AVERAGEIFS(monthly!M:M,monthly!$A:$A,"&gt;="&amp;$A30,monthly!$B:$B,"&lt;="&amp;$B30))</f>
        <v>2.792816880911956</v>
      </c>
      <c r="V30" t="str">
        <f>IF(COUNTIFS(monthly!N:N,"",monthly!$A:$A,"&gt;="&amp;$A30,monthly!$B:$B,"&lt;="&amp;$B30)&gt;0,"NA",AVERAGEIFS(monthly!N:N,monthly!$A:$A,"&gt;="&amp;$A30,monthly!$B:$B,"&lt;="&amp;$B30))</f>
        <v>NA</v>
      </c>
      <c r="W30">
        <f>IF(COUNTIFS(monthly!O:O,"",monthly!$A:$A,"&gt;="&amp;$A30,monthly!$B:$B,"&lt;="&amp;$B30)&gt;0,"NA",AVERAGEIFS(monthly!O:O,monthly!$A:$A,"&gt;="&amp;$A30,monthly!$B:$B,"&lt;="&amp;$B30))</f>
        <v>5.9939724310776947</v>
      </c>
      <c r="X30" t="str">
        <f>IF(COUNTIFS(monthly!P:P,"",monthly!$A:$A,"&gt;="&amp;$A30,monthly!$B:$B,"&lt;="&amp;$B30)&gt;0,"NA",AVERAGEIFS(monthly!P:P,monthly!$A:$A,"&gt;="&amp;$A30,monthly!$B:$B,"&lt;="&amp;$B30))</f>
        <v>NA</v>
      </c>
      <c r="Y30">
        <f>IF(COUNTIFS(monthly!Q:Q,"",monthly!$A:$A,"&gt;="&amp;$A30,monthly!$B:$B,"&lt;="&amp;$B30)&gt;0,"NA",AVERAGEIFS(monthly!Q:Q,monthly!$A:$A,"&gt;="&amp;$A30,monthly!$B:$B,"&lt;="&amp;$B30))</f>
        <v>10.4</v>
      </c>
      <c r="Z30">
        <f>IF(COUNTIFS(monthly!R:R,"",monthly!$A:$A,"&gt;="&amp;$A30,monthly!$B:$B,"&lt;="&amp;$B30)&gt;0,"NA",AVERAGEIFS(monthly!R:R,monthly!$A:$A,"&gt;="&amp;$A30,monthly!$B:$B,"&lt;="&amp;$B30))</f>
        <v>7.3021929824561411</v>
      </c>
      <c r="AA30">
        <f>IF(COUNTIFS(monthly!S:S,"",monthly!$A:$A,"&gt;="&amp;$A30,monthly!$B:$B,"&lt;="&amp;$B30)&gt;0,"NA",AVERAGEIFS(monthly!S:S,monthly!$A:$A,"&gt;="&amp;$A30,monthly!$B:$B,"&lt;="&amp;$B30))</f>
        <v>3.0978070175438588</v>
      </c>
      <c r="AB30" t="str">
        <f>IF(COUNTIFS(monthly!T:T,"",monthly!$A:$A,"&gt;="&amp;$A30,monthly!$B:$B,"&lt;="&amp;$B30)&gt;0,"NA",AVERAGEIFS(monthly!T:T,monthly!$A:$A,"&gt;="&amp;$A30,monthly!$B:$B,"&lt;="&amp;$B30))</f>
        <v>NA</v>
      </c>
      <c r="AC30" t="str">
        <f>IF(COUNTIFS(monthly!U:U,"",monthly!$A:$A,"&gt;="&amp;$A30,monthly!$B:$B,"&lt;="&amp;$B30)&gt;0,"NA",AVERAGEIFS(monthly!U:U,monthly!$A:$A,"&gt;="&amp;$A30,monthly!$B:$B,"&lt;="&amp;$B30))</f>
        <v>NA</v>
      </c>
      <c r="AD30" t="str">
        <f>IF(COUNTIFS(monthly!V:V,"",monthly!$A:$A,"&gt;="&amp;$A30,monthly!$B:$B,"&lt;="&amp;$B30)&gt;0,"NA",AVERAGEIFS(monthly!V:V,monthly!$A:$A,"&gt;="&amp;$A30,monthly!$B:$B,"&lt;="&amp;$B30))</f>
        <v>NA</v>
      </c>
      <c r="AE30" t="str">
        <f>IF(COUNTIFS(monthly!W:W,"",monthly!$A:$A,"&gt;="&amp;$A30,monthly!$B:$B,"&lt;="&amp;$B30)&gt;0,"NA",AVERAGEIFS(monthly!W:W,monthly!$A:$A,"&gt;="&amp;$A30,monthly!$B:$B,"&lt;="&amp;$B30))</f>
        <v>NA</v>
      </c>
      <c r="AF30" t="str">
        <f>IF(COUNTIFS(monthly!X:X,"",monthly!$A:$A,"&gt;="&amp;$A30,monthly!$B:$B,"&lt;="&amp;$B30)&gt;0,"NA",AVERAGEIFS(monthly!X:X,monthly!$A:$A,"&gt;="&amp;$A30,monthly!$B:$B,"&lt;="&amp;$B30))</f>
        <v>NA</v>
      </c>
      <c r="AG30" t="str">
        <f>IF(COUNTIFS(monthly!Y:Y,"",monthly!$A:$A,"&gt;="&amp;$A30,monthly!$B:$B,"&lt;="&amp;$B30)&gt;0,"NA",AVERAGEIFS(monthly!Y:Y,monthly!$A:$A,"&gt;="&amp;$A30,monthly!$B:$B,"&lt;="&amp;$B30))</f>
        <v>NA</v>
      </c>
      <c r="AH30" t="str">
        <f>IF(COUNTIFS(monthly!Z:Z,"",monthly!$A:$A,"&gt;="&amp;$A30,monthly!$B:$B,"&lt;="&amp;$B30)&gt;0,"NA",AVERAGEIFS(monthly!Z:Z,monthly!$A:$A,"&gt;="&amp;$A30,monthly!$B:$B,"&lt;="&amp;$B30))</f>
        <v>NA</v>
      </c>
    </row>
    <row r="31" spans="1:34" x14ac:dyDescent="0.2">
      <c r="A31" s="1">
        <v>28216</v>
      </c>
      <c r="B31" s="1">
        <v>28306</v>
      </c>
      <c r="C31">
        <f>IF(ISBLANK(VLOOKUP($A31,quarterly_data,MATCH(C$1,quarterly!$1:$1,FALSE),FALSE)),"NA",VLOOKUP($A31,quarterly_data,MATCH(C$1,quarterly!$1:$1,FALSE),FALSE))</f>
        <v>147.66127815499812</v>
      </c>
      <c r="D31">
        <f>IF(ISBLANK(VLOOKUP($A31,quarterly_data,MATCH(D$1,quarterly!$1:$1,FALSE),FALSE)),"NA",VLOOKUP($A31,quarterly_data,MATCH(D$1,quarterly!$1:$1,FALSE),FALSE))</f>
        <v>55.5</v>
      </c>
      <c r="E31">
        <f>IF(ISBLANK(VLOOKUP($A31,quarterly_data,MATCH(E$1,quarterly!$1:$1,FALSE),FALSE)),"NA",VLOOKUP($A31,quarterly_data,MATCH(E$1,quarterly!$1:$1,FALSE),FALSE))</f>
        <v>0.18331810000000001</v>
      </c>
      <c r="F31">
        <f>IF(ISBLANK(VLOOKUP($A31,quarterly_data,MATCH(F$1,quarterly!$1:$1,FALSE),FALSE)),"NA",VLOOKUP($A31,quarterly_data,MATCH(F$1,quarterly!$1:$1,FALSE),FALSE))</f>
        <v>8.7408600000000003E-2</v>
      </c>
      <c r="G31">
        <f>IF(ISBLANK(VLOOKUP($A31,quarterly_data,MATCH(G$1,quarterly!$1:$1,FALSE),FALSE)),"NA",VLOOKUP($A31,quarterly_data,MATCH(G$1,quarterly!$1:$1,FALSE),FALSE))</f>
        <v>6654.4660000000003</v>
      </c>
      <c r="H31">
        <f>IF(ISBLANK(VLOOKUP($A31,quarterly_data,MATCH(H$1,quarterly!$1:$1,FALSE),FALSE)),"NA",VLOOKUP($A31,quarterly_data,MATCH(H$1,quarterly!$1:$1,FALSE),FALSE))</f>
        <v>169289</v>
      </c>
      <c r="I31" t="str">
        <f>IF(ISBLANK(VLOOKUP($A31,quarterly_data,MATCH(I$1,quarterly!$1:$1,FALSE),FALSE)),"NA",VLOOKUP($A31,quarterly_data,MATCH(I$1,quarterly!$1:$1,FALSE),FALSE))</f>
        <v>NA</v>
      </c>
      <c r="J31">
        <f>IF(ISBLANK(VLOOKUP($A31,quarterly_data,MATCH(J$1,quarterly!$1:$1,FALSE),FALSE)),"NA",VLOOKUP($A31,quarterly_data,MATCH(J$1,quarterly!$1:$1,FALSE),FALSE))</f>
        <v>13.96</v>
      </c>
      <c r="K31">
        <f>IF(COUNTIFS(monthly!C:C,"",monthly!$A:$A,"&gt;="&amp;$A31,monthly!$B:$B,"&lt;="&amp;$B31)&gt;0,"NA",AVERAGEIFS(monthly!C:C,monthly!$A:$A,"&gt;="&amp;$A31,monthly!$B:$B,"&lt;="&amp;$B31))</f>
        <v>92.5</v>
      </c>
      <c r="L31">
        <f>IF(COUNTIFS(monthly!D:D,"",monthly!$A:$A,"&gt;="&amp;$A31,monthly!$B:$B,"&lt;="&amp;$B31)&gt;0,"NA",AVERAGEIFS(monthly!D:D,monthly!$A:$A,"&gt;="&amp;$A31,monthly!$B:$B,"&lt;="&amp;$B31))</f>
        <v>1.1079666666666668</v>
      </c>
      <c r="M31" t="str">
        <f>IF(COUNTIFS(monthly!E:E,"",monthly!$A:$A,"&gt;="&amp;$A31,monthly!$B:$B,"&lt;="&amp;$B31)&gt;0,"NA",AVERAGEIFS(monthly!E:E,monthly!$A:$A,"&gt;="&amp;$A31,monthly!$B:$B,"&lt;="&amp;$B31))</f>
        <v>NA</v>
      </c>
      <c r="N31" t="str">
        <f>IF(COUNTIFS(monthly!F:F,"",monthly!$A:$A,"&gt;="&amp;$A31,monthly!$B:$B,"&lt;="&amp;$B31)&gt;0,"NA",AVERAGEIFS(monthly!F:F,monthly!$A:$A,"&gt;="&amp;$A31,monthly!$B:$B,"&lt;="&amp;$B31))</f>
        <v>NA</v>
      </c>
      <c r="O31">
        <f>IF(COUNTIFS(monthly!G:G,"",monthly!$A:$A,"&gt;="&amp;$A31,monthly!$B:$B,"&lt;="&amp;$B31)&gt;0,"NA",AVERAGEIFS(monthly!G:G,monthly!$A:$A,"&gt;="&amp;$A31,monthly!$B:$B,"&lt;="&amp;$B31))</f>
        <v>23.100000000000005</v>
      </c>
      <c r="P31">
        <f>IF(COUNTIFS(monthly!H:H,"",monthly!$A:$A,"&gt;="&amp;$A31,monthly!$B:$B,"&lt;="&amp;$B31)&gt;0,"NA",AVERAGEIFS(monthly!H:H,monthly!$A:$A,"&gt;="&amp;$A31,monthly!$B:$B,"&lt;="&amp;$B31))</f>
        <v>28.7</v>
      </c>
      <c r="Q31">
        <f>IF(COUNTIFS(monthly!I:I,"",monthly!$A:$A,"&gt;="&amp;$A31,monthly!$B:$B,"&lt;="&amp;$B31)&gt;0,"NA",AVERAGEIFS(monthly!I:I,monthly!$A:$A,"&gt;="&amp;$A31,monthly!$B:$B,"&lt;="&amp;$B31))</f>
        <v>12.4</v>
      </c>
      <c r="R31">
        <f>IF(COUNTIFS(monthly!J:J,"",monthly!$A:$A,"&gt;="&amp;$A31,monthly!$B:$B,"&lt;="&amp;$B31)&gt;0,"NA",AVERAGEIFS(monthly!J:J,monthly!$A:$A,"&gt;="&amp;$A31,monthly!$B:$B,"&lt;="&amp;$B31))</f>
        <v>2.77</v>
      </c>
      <c r="S31">
        <f>IF(COUNTIFS(monthly!K:K,"",monthly!$A:$A,"&gt;="&amp;$A31,monthly!$B:$B,"&lt;="&amp;$B31)&gt;0,"NA",AVERAGEIFS(monthly!K:K,monthly!$A:$A,"&gt;="&amp;$A31,monthly!$B:$B,"&lt;="&amp;$B31))</f>
        <v>8.5089225589225581</v>
      </c>
      <c r="T31">
        <f>IF(COUNTIFS(monthly!L:L,"",monthly!$A:$A,"&gt;="&amp;$A31,monthly!$B:$B,"&lt;="&amp;$B31)&gt;0,"NA",AVERAGEIFS(monthly!L:L,monthly!$A:$A,"&gt;="&amp;$A31,monthly!$B:$B,"&lt;="&amp;$B31))</f>
        <v>5.155333333333334</v>
      </c>
      <c r="U31">
        <f>IF(COUNTIFS(monthly!M:M,"",monthly!$A:$A,"&gt;="&amp;$A31,monthly!$B:$B,"&lt;="&amp;$B31)&gt;0,"NA",AVERAGEIFS(monthly!M:M,monthly!$A:$A,"&gt;="&amp;$A31,monthly!$B:$B,"&lt;="&amp;$B31))</f>
        <v>3.3535892255892246</v>
      </c>
      <c r="V31" t="str">
        <f>IF(COUNTIFS(monthly!N:N,"",monthly!$A:$A,"&gt;="&amp;$A31,monthly!$B:$B,"&lt;="&amp;$B31)&gt;0,"NA",AVERAGEIFS(monthly!N:N,monthly!$A:$A,"&gt;="&amp;$A31,monthly!$B:$B,"&lt;="&amp;$B31))</f>
        <v>NA</v>
      </c>
      <c r="W31">
        <f>IF(COUNTIFS(monthly!O:O,"",monthly!$A:$A,"&gt;="&amp;$A31,monthly!$B:$B,"&lt;="&amp;$B31)&gt;0,"NA",AVERAGEIFS(monthly!O:O,monthly!$A:$A,"&gt;="&amp;$A31,monthly!$B:$B,"&lt;="&amp;$B31))</f>
        <v>6.115178210678212</v>
      </c>
      <c r="X31" t="str">
        <f>IF(COUNTIFS(monthly!P:P,"",monthly!$A:$A,"&gt;="&amp;$A31,monthly!$B:$B,"&lt;="&amp;$B31)&gt;0,"NA",AVERAGEIFS(monthly!P:P,monthly!$A:$A,"&gt;="&amp;$A31,monthly!$B:$B,"&lt;="&amp;$B31))</f>
        <v>NA</v>
      </c>
      <c r="Y31">
        <f>IF(COUNTIFS(monthly!Q:Q,"",monthly!$A:$A,"&gt;="&amp;$A31,monthly!$B:$B,"&lt;="&amp;$B31)&gt;0,"NA",AVERAGEIFS(monthly!Q:Q,monthly!$A:$A,"&gt;="&amp;$A31,monthly!$B:$B,"&lt;="&amp;$B31))</f>
        <v>10.406666666666668</v>
      </c>
      <c r="Z31">
        <f>IF(COUNTIFS(monthly!R:R,"",monthly!$A:$A,"&gt;="&amp;$A31,monthly!$B:$B,"&lt;="&amp;$B31)&gt;0,"NA",AVERAGEIFS(monthly!R:R,monthly!$A:$A,"&gt;="&amp;$A31,monthly!$B:$B,"&lt;="&amp;$B31))</f>
        <v>7.367540404040402</v>
      </c>
      <c r="AA31">
        <f>IF(COUNTIFS(monthly!S:S,"",monthly!$A:$A,"&gt;="&amp;$A31,monthly!$B:$B,"&lt;="&amp;$B31)&gt;0,"NA",AVERAGEIFS(monthly!S:S,monthly!$A:$A,"&gt;="&amp;$A31,monthly!$B:$B,"&lt;="&amp;$B31))</f>
        <v>3.0391262626262638</v>
      </c>
      <c r="AB31" t="str">
        <f>IF(COUNTIFS(monthly!T:T,"",monthly!$A:$A,"&gt;="&amp;$A31,monthly!$B:$B,"&lt;="&amp;$B31)&gt;0,"NA",AVERAGEIFS(monthly!T:T,monthly!$A:$A,"&gt;="&amp;$A31,monthly!$B:$B,"&lt;="&amp;$B31))</f>
        <v>NA</v>
      </c>
      <c r="AC31" t="str">
        <f>IF(COUNTIFS(monthly!U:U,"",monthly!$A:$A,"&gt;="&amp;$A31,monthly!$B:$B,"&lt;="&amp;$B31)&gt;0,"NA",AVERAGEIFS(monthly!U:U,monthly!$A:$A,"&gt;="&amp;$A31,monthly!$B:$B,"&lt;="&amp;$B31))</f>
        <v>NA</v>
      </c>
      <c r="AD31" t="str">
        <f>IF(COUNTIFS(monthly!V:V,"",monthly!$A:$A,"&gt;="&amp;$A31,monthly!$B:$B,"&lt;="&amp;$B31)&gt;0,"NA",AVERAGEIFS(monthly!V:V,monthly!$A:$A,"&gt;="&amp;$A31,monthly!$B:$B,"&lt;="&amp;$B31))</f>
        <v>NA</v>
      </c>
      <c r="AE31" t="str">
        <f>IF(COUNTIFS(monthly!W:W,"",monthly!$A:$A,"&gt;="&amp;$A31,monthly!$B:$B,"&lt;="&amp;$B31)&gt;0,"NA",AVERAGEIFS(monthly!W:W,monthly!$A:$A,"&gt;="&amp;$A31,monthly!$B:$B,"&lt;="&amp;$B31))</f>
        <v>NA</v>
      </c>
      <c r="AF31" t="str">
        <f>IF(COUNTIFS(monthly!X:X,"",monthly!$A:$A,"&gt;="&amp;$A31,monthly!$B:$B,"&lt;="&amp;$B31)&gt;0,"NA",AVERAGEIFS(monthly!X:X,monthly!$A:$A,"&gt;="&amp;$A31,monthly!$B:$B,"&lt;="&amp;$B31))</f>
        <v>NA</v>
      </c>
      <c r="AG31" t="str">
        <f>IF(COUNTIFS(monthly!Y:Y,"",monthly!$A:$A,"&gt;="&amp;$A31,monthly!$B:$B,"&lt;="&amp;$B31)&gt;0,"NA",AVERAGEIFS(monthly!Y:Y,monthly!$A:$A,"&gt;="&amp;$A31,monthly!$B:$B,"&lt;="&amp;$B31))</f>
        <v>NA</v>
      </c>
      <c r="AH31" t="str">
        <f>IF(COUNTIFS(monthly!Z:Z,"",monthly!$A:$A,"&gt;="&amp;$A31,monthly!$B:$B,"&lt;="&amp;$B31)&gt;0,"NA",AVERAGEIFS(monthly!Z:Z,monthly!$A:$A,"&gt;="&amp;$A31,monthly!$B:$B,"&lt;="&amp;$B31))</f>
        <v>NA</v>
      </c>
    </row>
    <row r="32" spans="1:34" x14ac:dyDescent="0.2">
      <c r="A32" s="1">
        <v>28307</v>
      </c>
      <c r="B32" s="1">
        <v>28398</v>
      </c>
      <c r="C32">
        <f>IF(ISBLANK(VLOOKUP($A32,quarterly_data,MATCH(C$1,quarterly!$1:$1,FALSE),FALSE)),"NA",VLOOKUP($A32,quarterly_data,MATCH(C$1,quarterly!$1:$1,FALSE),FALSE))</f>
        <v>146.87653905109502</v>
      </c>
      <c r="D32">
        <f>IF(ISBLANK(VLOOKUP($A32,quarterly_data,MATCH(D$1,quarterly!$1:$1,FALSE),FALSE)),"NA",VLOOKUP($A32,quarterly_data,MATCH(D$1,quarterly!$1:$1,FALSE),FALSE))</f>
        <v>52.6</v>
      </c>
      <c r="E32">
        <f>IF(ISBLANK(VLOOKUP($A32,quarterly_data,MATCH(E$1,quarterly!$1:$1,FALSE),FALSE)),"NA",VLOOKUP($A32,quarterly_data,MATCH(E$1,quarterly!$1:$1,FALSE),FALSE))</f>
        <v>0.34536349999999999</v>
      </c>
      <c r="F32">
        <f>IF(ISBLANK(VLOOKUP($A32,quarterly_data,MATCH(F$1,quarterly!$1:$1,FALSE),FALSE)),"NA",VLOOKUP($A32,quarterly_data,MATCH(F$1,quarterly!$1:$1,FALSE),FALSE))</f>
        <v>0.1015168</v>
      </c>
      <c r="G32">
        <f>IF(ISBLANK(VLOOKUP($A32,quarterly_data,MATCH(G$1,quarterly!$1:$1,FALSE),FALSE)),"NA",VLOOKUP($A32,quarterly_data,MATCH(G$1,quarterly!$1:$1,FALSE),FALSE))</f>
        <v>6774.4570000000003</v>
      </c>
      <c r="H32">
        <f>IF(ISBLANK(VLOOKUP($A32,quarterly_data,MATCH(H$1,quarterly!$1:$1,FALSE),FALSE)),"NA",VLOOKUP($A32,quarterly_data,MATCH(H$1,quarterly!$1:$1,FALSE),FALSE))</f>
        <v>168561</v>
      </c>
      <c r="I32" t="str">
        <f>IF(ISBLANK(VLOOKUP($A32,quarterly_data,MATCH(I$1,quarterly!$1:$1,FALSE),FALSE)),"NA",VLOOKUP($A32,quarterly_data,MATCH(I$1,quarterly!$1:$1,FALSE),FALSE))</f>
        <v>NA</v>
      </c>
      <c r="J32">
        <f>IF(ISBLANK(VLOOKUP($A32,quarterly_data,MATCH(J$1,quarterly!$1:$1,FALSE),FALSE)),"NA",VLOOKUP($A32,quarterly_data,MATCH(J$1,quarterly!$1:$1,FALSE),FALSE))</f>
        <v>14.23</v>
      </c>
      <c r="K32">
        <f>IF(COUNTIFS(monthly!C:C,"",monthly!$A:$A,"&gt;="&amp;$A32,monthly!$B:$B,"&lt;="&amp;$B32)&gt;0,"NA",AVERAGEIFS(monthly!C:C,monthly!$A:$A,"&gt;="&amp;$A32,monthly!$B:$B,"&lt;="&amp;$B32))</f>
        <v>91.833333333333329</v>
      </c>
      <c r="L32">
        <f>IF(COUNTIFS(monthly!D:D,"",monthly!$A:$A,"&gt;="&amp;$A32,monthly!$B:$B,"&lt;="&amp;$B32)&gt;0,"NA",AVERAGEIFS(monthly!D:D,monthly!$A:$A,"&gt;="&amp;$A32,monthly!$B:$B,"&lt;="&amp;$B32))</f>
        <v>1.1117333333333332</v>
      </c>
      <c r="M32" t="str">
        <f>IF(COUNTIFS(monthly!E:E,"",monthly!$A:$A,"&gt;="&amp;$A32,monthly!$B:$B,"&lt;="&amp;$B32)&gt;0,"NA",AVERAGEIFS(monthly!E:E,monthly!$A:$A,"&gt;="&amp;$A32,monthly!$B:$B,"&lt;="&amp;$B32))</f>
        <v>NA</v>
      </c>
      <c r="N32" t="str">
        <f>IF(COUNTIFS(monthly!F:F,"",monthly!$A:$A,"&gt;="&amp;$A32,monthly!$B:$B,"&lt;="&amp;$B32)&gt;0,"NA",AVERAGEIFS(monthly!F:F,monthly!$A:$A,"&gt;="&amp;$A32,monthly!$B:$B,"&lt;="&amp;$B32))</f>
        <v>NA</v>
      </c>
      <c r="O32">
        <f>IF(COUNTIFS(monthly!G:G,"",monthly!$A:$A,"&gt;="&amp;$A32,monthly!$B:$B,"&lt;="&amp;$B32)&gt;0,"NA",AVERAGEIFS(monthly!G:G,monthly!$A:$A,"&gt;="&amp;$A32,monthly!$B:$B,"&lt;="&amp;$B32))</f>
        <v>23.100000000000005</v>
      </c>
      <c r="P32">
        <f>IF(COUNTIFS(monthly!H:H,"",monthly!$A:$A,"&gt;="&amp;$A32,monthly!$B:$B,"&lt;="&amp;$B32)&gt;0,"NA",AVERAGEIFS(monthly!H:H,monthly!$A:$A,"&gt;="&amp;$A32,monthly!$B:$B,"&lt;="&amp;$B32))</f>
        <v>28.7</v>
      </c>
      <c r="Q32">
        <f>IF(COUNTIFS(monthly!I:I,"",monthly!$A:$A,"&gt;="&amp;$A32,monthly!$B:$B,"&lt;="&amp;$B32)&gt;0,"NA",AVERAGEIFS(monthly!I:I,monthly!$A:$A,"&gt;="&amp;$A32,monthly!$B:$B,"&lt;="&amp;$B32))</f>
        <v>12.6</v>
      </c>
      <c r="R32">
        <f>IF(COUNTIFS(monthly!J:J,"",monthly!$A:$A,"&gt;="&amp;$A32,monthly!$B:$B,"&lt;="&amp;$B32)&gt;0,"NA",AVERAGEIFS(monthly!J:J,monthly!$A:$A,"&gt;="&amp;$A32,monthly!$B:$B,"&lt;="&amp;$B32))</f>
        <v>2.77</v>
      </c>
      <c r="S32">
        <f>IF(COUNTIFS(monthly!K:K,"",monthly!$A:$A,"&gt;="&amp;$A32,monthly!$B:$B,"&lt;="&amp;$B32)&gt;0,"NA",AVERAGEIFS(monthly!K:K,monthly!$A:$A,"&gt;="&amp;$A32,monthly!$B:$B,"&lt;="&amp;$B32))</f>
        <v>9.4916155342242305</v>
      </c>
      <c r="T32">
        <f>IF(COUNTIFS(monthly!L:L,"",monthly!$A:$A,"&gt;="&amp;$A32,monthly!$B:$B,"&lt;="&amp;$B32)&gt;0,"NA",AVERAGEIFS(monthly!L:L,monthly!$A:$A,"&gt;="&amp;$A32,monthly!$B:$B,"&lt;="&amp;$B32))</f>
        <v>5.8198745519713277</v>
      </c>
      <c r="U32">
        <f>IF(COUNTIFS(monthly!M:M,"",monthly!$A:$A,"&gt;="&amp;$A32,monthly!$B:$B,"&lt;="&amp;$B32)&gt;0,"NA",AVERAGEIFS(monthly!M:M,monthly!$A:$A,"&gt;="&amp;$A32,monthly!$B:$B,"&lt;="&amp;$B32))</f>
        <v>3.6717409822529028</v>
      </c>
      <c r="V32" t="str">
        <f>IF(COUNTIFS(monthly!N:N,"",monthly!$A:$A,"&gt;="&amp;$A32,monthly!$B:$B,"&lt;="&amp;$B32)&gt;0,"NA",AVERAGEIFS(monthly!N:N,monthly!$A:$A,"&gt;="&amp;$A32,monthly!$B:$B,"&lt;="&amp;$B32))</f>
        <v>NA</v>
      </c>
      <c r="W32">
        <f>IF(COUNTIFS(monthly!O:O,"",monthly!$A:$A,"&gt;="&amp;$A32,monthly!$B:$B,"&lt;="&amp;$B32)&gt;0,"NA",AVERAGEIFS(monthly!O:O,monthly!$A:$A,"&gt;="&amp;$A32,monthly!$B:$B,"&lt;="&amp;$B32))</f>
        <v>6.5334423014056879</v>
      </c>
      <c r="X32" t="str">
        <f>IF(COUNTIFS(monthly!P:P,"",monthly!$A:$A,"&gt;="&amp;$A32,monthly!$B:$B,"&lt;="&amp;$B32)&gt;0,"NA",AVERAGEIFS(monthly!P:P,monthly!$A:$A,"&gt;="&amp;$A32,monthly!$B:$B,"&lt;="&amp;$B32))</f>
        <v>NA</v>
      </c>
      <c r="Y32">
        <f>IF(COUNTIFS(monthly!Q:Q,"",monthly!$A:$A,"&gt;="&amp;$A32,monthly!$B:$B,"&lt;="&amp;$B32)&gt;0,"NA",AVERAGEIFS(monthly!Q:Q,monthly!$A:$A,"&gt;="&amp;$A32,monthly!$B:$B,"&lt;="&amp;$B32))</f>
        <v>10.333333333333334</v>
      </c>
      <c r="Z32">
        <f>IF(COUNTIFS(monthly!R:R,"",monthly!$A:$A,"&gt;="&amp;$A32,monthly!$B:$B,"&lt;="&amp;$B32)&gt;0,"NA",AVERAGEIFS(monthly!R:R,monthly!$A:$A,"&gt;="&amp;$A32,monthly!$B:$B,"&lt;="&amp;$B32))</f>
        <v>7.3567770876466527</v>
      </c>
      <c r="AA32">
        <f>IF(COUNTIFS(monthly!S:S,"",monthly!$A:$A,"&gt;="&amp;$A32,monthly!$B:$B,"&lt;="&amp;$B32)&gt;0,"NA",AVERAGEIFS(monthly!S:S,monthly!$A:$A,"&gt;="&amp;$A32,monthly!$B:$B,"&lt;="&amp;$B32))</f>
        <v>2.9765562456866808</v>
      </c>
      <c r="AB32" t="str">
        <f>IF(COUNTIFS(monthly!T:T,"",monthly!$A:$A,"&gt;="&amp;$A32,monthly!$B:$B,"&lt;="&amp;$B32)&gt;0,"NA",AVERAGEIFS(monthly!T:T,monthly!$A:$A,"&gt;="&amp;$A32,monthly!$B:$B,"&lt;="&amp;$B32))</f>
        <v>NA</v>
      </c>
      <c r="AC32" t="str">
        <f>IF(COUNTIFS(monthly!U:U,"",monthly!$A:$A,"&gt;="&amp;$A32,monthly!$B:$B,"&lt;="&amp;$B32)&gt;0,"NA",AVERAGEIFS(monthly!U:U,monthly!$A:$A,"&gt;="&amp;$A32,monthly!$B:$B,"&lt;="&amp;$B32))</f>
        <v>NA</v>
      </c>
      <c r="AD32" t="str">
        <f>IF(COUNTIFS(monthly!V:V,"",monthly!$A:$A,"&gt;="&amp;$A32,monthly!$B:$B,"&lt;="&amp;$B32)&gt;0,"NA",AVERAGEIFS(monthly!V:V,monthly!$A:$A,"&gt;="&amp;$A32,monthly!$B:$B,"&lt;="&amp;$B32))</f>
        <v>NA</v>
      </c>
      <c r="AE32" t="str">
        <f>IF(COUNTIFS(monthly!W:W,"",monthly!$A:$A,"&gt;="&amp;$A32,monthly!$B:$B,"&lt;="&amp;$B32)&gt;0,"NA",AVERAGEIFS(monthly!W:W,monthly!$A:$A,"&gt;="&amp;$A32,monthly!$B:$B,"&lt;="&amp;$B32))</f>
        <v>NA</v>
      </c>
      <c r="AF32" t="str">
        <f>IF(COUNTIFS(monthly!X:X,"",monthly!$A:$A,"&gt;="&amp;$A32,monthly!$B:$B,"&lt;="&amp;$B32)&gt;0,"NA",AVERAGEIFS(monthly!X:X,monthly!$A:$A,"&gt;="&amp;$A32,monthly!$B:$B,"&lt;="&amp;$B32))</f>
        <v>NA</v>
      </c>
      <c r="AG32" t="str">
        <f>IF(COUNTIFS(monthly!Y:Y,"",monthly!$A:$A,"&gt;="&amp;$A32,monthly!$B:$B,"&lt;="&amp;$B32)&gt;0,"NA",AVERAGEIFS(monthly!Y:Y,monthly!$A:$A,"&gt;="&amp;$A32,monthly!$B:$B,"&lt;="&amp;$B32))</f>
        <v>NA</v>
      </c>
      <c r="AH32" t="str">
        <f>IF(COUNTIFS(monthly!Z:Z,"",monthly!$A:$A,"&gt;="&amp;$A32,monthly!$B:$B,"&lt;="&amp;$B32)&gt;0,"NA",AVERAGEIFS(monthly!Z:Z,monthly!$A:$A,"&gt;="&amp;$A32,monthly!$B:$B,"&lt;="&amp;$B32))</f>
        <v>NA</v>
      </c>
    </row>
    <row r="33" spans="1:34" x14ac:dyDescent="0.2">
      <c r="A33" s="1">
        <v>28399</v>
      </c>
      <c r="B33" s="1">
        <v>28489</v>
      </c>
      <c r="C33">
        <f>IF(ISBLANK(VLOOKUP($A33,quarterly_data,MATCH(C$1,quarterly!$1:$1,FALSE),FALSE)),"NA",VLOOKUP($A33,quarterly_data,MATCH(C$1,quarterly!$1:$1,FALSE),FALSE))</f>
        <v>145.31704214354767</v>
      </c>
      <c r="D33">
        <f>IF(ISBLANK(VLOOKUP($A33,quarterly_data,MATCH(D$1,quarterly!$1:$1,FALSE),FALSE)),"NA",VLOOKUP($A33,quarterly_data,MATCH(D$1,quarterly!$1:$1,FALSE),FALSE))</f>
        <v>51</v>
      </c>
      <c r="E33">
        <f>IF(ISBLANK(VLOOKUP($A33,quarterly_data,MATCH(E$1,quarterly!$1:$1,FALSE),FALSE)),"NA",VLOOKUP($A33,quarterly_data,MATCH(E$1,quarterly!$1:$1,FALSE),FALSE))</f>
        <v>0.20189779999999999</v>
      </c>
      <c r="F33">
        <f>IF(ISBLANK(VLOOKUP($A33,quarterly_data,MATCH(F$1,quarterly!$1:$1,FALSE),FALSE)),"NA",VLOOKUP($A33,quarterly_data,MATCH(F$1,quarterly!$1:$1,FALSE),FALSE))</f>
        <v>8.1026500000000001E-2</v>
      </c>
      <c r="G33">
        <f>IF(ISBLANK(VLOOKUP($A33,quarterly_data,MATCH(G$1,quarterly!$1:$1,FALSE),FALSE)),"NA",VLOOKUP($A33,quarterly_data,MATCH(G$1,quarterly!$1:$1,FALSE),FALSE))</f>
        <v>6774.5919999999996</v>
      </c>
      <c r="H33">
        <f>IF(ISBLANK(VLOOKUP($A33,quarterly_data,MATCH(H$1,quarterly!$1:$1,FALSE),FALSE)),"NA",VLOOKUP($A33,quarterly_data,MATCH(H$1,quarterly!$1:$1,FALSE),FALSE))</f>
        <v>168036</v>
      </c>
      <c r="I33" t="str">
        <f>IF(ISBLANK(VLOOKUP($A33,quarterly_data,MATCH(I$1,quarterly!$1:$1,FALSE),FALSE)),"NA",VLOOKUP($A33,quarterly_data,MATCH(I$1,quarterly!$1:$1,FALSE),FALSE))</f>
        <v>NA</v>
      </c>
      <c r="J33">
        <f>IF(ISBLANK(VLOOKUP($A33,quarterly_data,MATCH(J$1,quarterly!$1:$1,FALSE),FALSE)),"NA",VLOOKUP($A33,quarterly_data,MATCH(J$1,quarterly!$1:$1,FALSE),FALSE))</f>
        <v>14.57</v>
      </c>
      <c r="K33">
        <f>IF(COUNTIFS(monthly!C:C,"",monthly!$A:$A,"&gt;="&amp;$A33,monthly!$B:$B,"&lt;="&amp;$B33)&gt;0,"NA",AVERAGEIFS(monthly!C:C,monthly!$A:$A,"&gt;="&amp;$A33,monthly!$B:$B,"&lt;="&amp;$B33))</f>
        <v>90.45</v>
      </c>
      <c r="L33">
        <f>IF(COUNTIFS(monthly!D:D,"",monthly!$A:$A,"&gt;="&amp;$A33,monthly!$B:$B,"&lt;="&amp;$B33)&gt;0,"NA",AVERAGEIFS(monthly!D:D,monthly!$A:$A,"&gt;="&amp;$A33,monthly!$B:$B,"&lt;="&amp;$B33))</f>
        <v>1.1254999999999999</v>
      </c>
      <c r="M33" t="str">
        <f>IF(COUNTIFS(monthly!E:E,"",monthly!$A:$A,"&gt;="&amp;$A33,monthly!$B:$B,"&lt;="&amp;$B33)&gt;0,"NA",AVERAGEIFS(monthly!E:E,monthly!$A:$A,"&gt;="&amp;$A33,monthly!$B:$B,"&lt;="&amp;$B33))</f>
        <v>NA</v>
      </c>
      <c r="N33" t="str">
        <f>IF(COUNTIFS(monthly!F:F,"",monthly!$A:$A,"&gt;="&amp;$A33,monthly!$B:$B,"&lt;="&amp;$B33)&gt;0,"NA",AVERAGEIFS(monthly!F:F,monthly!$A:$A,"&gt;="&amp;$A33,monthly!$B:$B,"&lt;="&amp;$B33))</f>
        <v>NA</v>
      </c>
      <c r="O33">
        <f>IF(COUNTIFS(monthly!G:G,"",monthly!$A:$A,"&gt;="&amp;$A33,monthly!$B:$B,"&lt;="&amp;$B33)&gt;0,"NA",AVERAGEIFS(monthly!G:G,monthly!$A:$A,"&gt;="&amp;$A33,monthly!$B:$B,"&lt;="&amp;$B33))</f>
        <v>23.1</v>
      </c>
      <c r="P33">
        <f>IF(COUNTIFS(monthly!H:H,"",monthly!$A:$A,"&gt;="&amp;$A33,monthly!$B:$B,"&lt;="&amp;$B33)&gt;0,"NA",AVERAGEIFS(monthly!H:H,monthly!$A:$A,"&gt;="&amp;$A33,monthly!$B:$B,"&lt;="&amp;$B33))</f>
        <v>28.7</v>
      </c>
      <c r="Q33">
        <f>IF(COUNTIFS(monthly!I:I,"",monthly!$A:$A,"&gt;="&amp;$A33,monthly!$B:$B,"&lt;="&amp;$B33)&gt;0,"NA",AVERAGEIFS(monthly!I:I,monthly!$A:$A,"&gt;="&amp;$A33,monthly!$B:$B,"&lt;="&amp;$B33))</f>
        <v>12.7</v>
      </c>
      <c r="R33">
        <f>IF(COUNTIFS(monthly!J:J,"",monthly!$A:$A,"&gt;="&amp;$A33,monthly!$B:$B,"&lt;="&amp;$B33)&gt;0,"NA",AVERAGEIFS(monthly!J:J,monthly!$A:$A,"&gt;="&amp;$A33,monthly!$B:$B,"&lt;="&amp;$B33))</f>
        <v>2.77</v>
      </c>
      <c r="S33">
        <f>IF(COUNTIFS(monthly!K:K,"",monthly!$A:$A,"&gt;="&amp;$A33,monthly!$B:$B,"&lt;="&amp;$B33)&gt;0,"NA",AVERAGEIFS(monthly!K:K,monthly!$A:$A,"&gt;="&amp;$A33,monthly!$B:$B,"&lt;="&amp;$B33))</f>
        <v>9.0091991341991342</v>
      </c>
      <c r="T33">
        <f>IF(COUNTIFS(monthly!L:L,"",monthly!$A:$A,"&gt;="&amp;$A33,monthly!$B:$B,"&lt;="&amp;$B33)&gt;0,"NA",AVERAGEIFS(monthly!L:L,monthly!$A:$A,"&gt;="&amp;$A33,monthly!$B:$B,"&lt;="&amp;$B33))</f>
        <v>6.4865752688172043</v>
      </c>
      <c r="U33">
        <f>IF(COUNTIFS(monthly!M:M,"",monthly!$A:$A,"&gt;="&amp;$A33,monthly!$B:$B,"&lt;="&amp;$B33)&gt;0,"NA",AVERAGEIFS(monthly!M:M,monthly!$A:$A,"&gt;="&amp;$A33,monthly!$B:$B,"&lt;="&amp;$B33))</f>
        <v>2.52262386538193</v>
      </c>
      <c r="V33" t="str">
        <f>IF(COUNTIFS(monthly!N:N,"",monthly!$A:$A,"&gt;="&amp;$A33,monthly!$B:$B,"&lt;="&amp;$B33)&gt;0,"NA",AVERAGEIFS(monthly!N:N,monthly!$A:$A,"&gt;="&amp;$A33,monthly!$B:$B,"&lt;="&amp;$B33))</f>
        <v>NA</v>
      </c>
      <c r="W33">
        <f>IF(COUNTIFS(monthly!O:O,"",monthly!$A:$A,"&gt;="&amp;$A33,monthly!$B:$B,"&lt;="&amp;$B33)&gt;0,"NA",AVERAGEIFS(monthly!O:O,monthly!$A:$A,"&gt;="&amp;$A33,monthly!$B:$B,"&lt;="&amp;$B33))</f>
        <v>7.1243157894736839</v>
      </c>
      <c r="X33" t="str">
        <f>IF(COUNTIFS(monthly!P:P,"",monthly!$A:$A,"&gt;="&amp;$A33,monthly!$B:$B,"&lt;="&amp;$B33)&gt;0,"NA",AVERAGEIFS(monthly!P:P,monthly!$A:$A,"&gt;="&amp;$A33,monthly!$B:$B,"&lt;="&amp;$B33))</f>
        <v>NA</v>
      </c>
      <c r="Y33">
        <f>IF(COUNTIFS(monthly!Q:Q,"",monthly!$A:$A,"&gt;="&amp;$A33,monthly!$B:$B,"&lt;="&amp;$B33)&gt;0,"NA",AVERAGEIFS(monthly!Q:Q,monthly!$A:$A,"&gt;="&amp;$A33,monthly!$B:$B,"&lt;="&amp;$B33))</f>
        <v>9.8999999999999986</v>
      </c>
      <c r="Z33">
        <f>IF(COUNTIFS(monthly!R:R,"",monthly!$A:$A,"&gt;="&amp;$A33,monthly!$B:$B,"&lt;="&amp;$B33)&gt;0,"NA",AVERAGEIFS(monthly!R:R,monthly!$A:$A,"&gt;="&amp;$A33,monthly!$B:$B,"&lt;="&amp;$B33))</f>
        <v>7.5504342105263174</v>
      </c>
      <c r="AA33">
        <f>IF(COUNTIFS(monthly!S:S,"",monthly!$A:$A,"&gt;="&amp;$A33,monthly!$B:$B,"&lt;="&amp;$B33)&gt;0,"NA",AVERAGEIFS(monthly!S:S,monthly!$A:$A,"&gt;="&amp;$A33,monthly!$B:$B,"&lt;="&amp;$B33))</f>
        <v>2.3495657894736826</v>
      </c>
      <c r="AB33" t="str">
        <f>IF(COUNTIFS(monthly!T:T,"",monthly!$A:$A,"&gt;="&amp;$A33,monthly!$B:$B,"&lt;="&amp;$B33)&gt;0,"NA",AVERAGEIFS(monthly!T:T,monthly!$A:$A,"&gt;="&amp;$A33,monthly!$B:$B,"&lt;="&amp;$B33))</f>
        <v>NA</v>
      </c>
      <c r="AC33" t="str">
        <f>IF(COUNTIFS(monthly!U:U,"",monthly!$A:$A,"&gt;="&amp;$A33,monthly!$B:$B,"&lt;="&amp;$B33)&gt;0,"NA",AVERAGEIFS(monthly!U:U,monthly!$A:$A,"&gt;="&amp;$A33,monthly!$B:$B,"&lt;="&amp;$B33))</f>
        <v>NA</v>
      </c>
      <c r="AD33" t="str">
        <f>IF(COUNTIFS(monthly!V:V,"",monthly!$A:$A,"&gt;="&amp;$A33,monthly!$B:$B,"&lt;="&amp;$B33)&gt;0,"NA",AVERAGEIFS(monthly!V:V,monthly!$A:$A,"&gt;="&amp;$A33,monthly!$B:$B,"&lt;="&amp;$B33))</f>
        <v>NA</v>
      </c>
      <c r="AE33" t="str">
        <f>IF(COUNTIFS(monthly!W:W,"",monthly!$A:$A,"&gt;="&amp;$A33,monthly!$B:$B,"&lt;="&amp;$B33)&gt;0,"NA",AVERAGEIFS(monthly!W:W,monthly!$A:$A,"&gt;="&amp;$A33,monthly!$B:$B,"&lt;="&amp;$B33))</f>
        <v>NA</v>
      </c>
      <c r="AF33" t="str">
        <f>IF(COUNTIFS(monthly!X:X,"",monthly!$A:$A,"&gt;="&amp;$A33,monthly!$B:$B,"&lt;="&amp;$B33)&gt;0,"NA",AVERAGEIFS(monthly!X:X,monthly!$A:$A,"&gt;="&amp;$A33,monthly!$B:$B,"&lt;="&amp;$B33))</f>
        <v>NA</v>
      </c>
      <c r="AG33" t="str">
        <f>IF(COUNTIFS(monthly!Y:Y,"",monthly!$A:$A,"&gt;="&amp;$A33,monthly!$B:$B,"&lt;="&amp;$B33)&gt;0,"NA",AVERAGEIFS(monthly!Y:Y,monthly!$A:$A,"&gt;="&amp;$A33,monthly!$B:$B,"&lt;="&amp;$B33))</f>
        <v>NA</v>
      </c>
      <c r="AH33" t="str">
        <f>IF(COUNTIFS(monthly!Z:Z,"",monthly!$A:$A,"&gt;="&amp;$A33,monthly!$B:$B,"&lt;="&amp;$B33)&gt;0,"NA",AVERAGEIFS(monthly!Z:Z,monthly!$A:$A,"&gt;="&amp;$A33,monthly!$B:$B,"&lt;="&amp;$B33))</f>
        <v>NA</v>
      </c>
    </row>
    <row r="34" spans="1:34" x14ac:dyDescent="0.2">
      <c r="A34" s="1">
        <v>28491</v>
      </c>
      <c r="B34" s="1">
        <v>28579</v>
      </c>
      <c r="C34">
        <f>IF(ISBLANK(VLOOKUP($A34,quarterly_data,MATCH(C$1,quarterly!$1:$1,FALSE),FALSE)),"NA",VLOOKUP($A34,quarterly_data,MATCH(C$1,quarterly!$1:$1,FALSE),FALSE))</f>
        <v>143.47241428065394</v>
      </c>
      <c r="D34">
        <f>IF(ISBLANK(VLOOKUP($A34,quarterly_data,MATCH(D$1,quarterly!$1:$1,FALSE),FALSE)),"NA",VLOOKUP($A34,quarterly_data,MATCH(D$1,quarterly!$1:$1,FALSE),FALSE))</f>
        <v>50.9</v>
      </c>
      <c r="E34">
        <f>IF(ISBLANK(VLOOKUP($A34,quarterly_data,MATCH(E$1,quarterly!$1:$1,FALSE),FALSE)),"NA",VLOOKUP($A34,quarterly_data,MATCH(E$1,quarterly!$1:$1,FALSE),FALSE))</f>
        <v>0.18450179999999999</v>
      </c>
      <c r="F34">
        <f>IF(ISBLANK(VLOOKUP($A34,quarterly_data,MATCH(F$1,quarterly!$1:$1,FALSE),FALSE)),"NA",VLOOKUP($A34,quarterly_data,MATCH(F$1,quarterly!$1:$1,FALSE),FALSE))</f>
        <v>6.8602300000000005E-2</v>
      </c>
      <c r="G34">
        <f>IF(ISBLANK(VLOOKUP($A34,quarterly_data,MATCH(G$1,quarterly!$1:$1,FALSE),FALSE)),"NA",VLOOKUP($A34,quarterly_data,MATCH(G$1,quarterly!$1:$1,FALSE),FALSE))</f>
        <v>6796.26</v>
      </c>
      <c r="H34">
        <f>IF(ISBLANK(VLOOKUP($A34,quarterly_data,MATCH(H$1,quarterly!$1:$1,FALSE),FALSE)),"NA",VLOOKUP($A34,quarterly_data,MATCH(H$1,quarterly!$1:$1,FALSE),FALSE))</f>
        <v>169227</v>
      </c>
      <c r="I34" t="str">
        <f>IF(ISBLANK(VLOOKUP($A34,quarterly_data,MATCH(I$1,quarterly!$1:$1,FALSE),FALSE)),"NA",VLOOKUP($A34,quarterly_data,MATCH(I$1,quarterly!$1:$1,FALSE),FALSE))</f>
        <v>NA</v>
      </c>
      <c r="J34">
        <f>IF(ISBLANK(VLOOKUP($A34,quarterly_data,MATCH(J$1,quarterly!$1:$1,FALSE),FALSE)),"NA",VLOOKUP($A34,quarterly_data,MATCH(J$1,quarterly!$1:$1,FALSE),FALSE))</f>
        <v>14.77</v>
      </c>
      <c r="K34">
        <f>IF(COUNTIFS(monthly!C:C,"",monthly!$A:$A,"&gt;="&amp;$A34,monthly!$B:$B,"&lt;="&amp;$B34)&gt;0,"NA",AVERAGEIFS(monthly!C:C,monthly!$A:$A,"&gt;="&amp;$A34,monthly!$B:$B,"&lt;="&amp;$B34))</f>
        <v>88.85</v>
      </c>
      <c r="L34">
        <f>IF(COUNTIFS(monthly!D:D,"",monthly!$A:$A,"&gt;="&amp;$A34,monthly!$B:$B,"&lt;="&amp;$B34)&gt;0,"NA",AVERAGEIFS(monthly!D:D,monthly!$A:$A,"&gt;="&amp;$A34,monthly!$B:$B,"&lt;="&amp;$B34))</f>
        <v>1.1373500000000001</v>
      </c>
      <c r="M34" t="str">
        <f>IF(COUNTIFS(monthly!E:E,"",monthly!$A:$A,"&gt;="&amp;$A34,monthly!$B:$B,"&lt;="&amp;$B34)&gt;0,"NA",AVERAGEIFS(monthly!E:E,monthly!$A:$A,"&gt;="&amp;$A34,monthly!$B:$B,"&lt;="&amp;$B34))</f>
        <v>NA</v>
      </c>
      <c r="N34" t="str">
        <f>IF(COUNTIFS(monthly!F:F,"",monthly!$A:$A,"&gt;="&amp;$A34,monthly!$B:$B,"&lt;="&amp;$B34)&gt;0,"NA",AVERAGEIFS(monthly!F:F,monthly!$A:$A,"&gt;="&amp;$A34,monthly!$B:$B,"&lt;="&amp;$B34))</f>
        <v>NA</v>
      </c>
      <c r="O34">
        <f>IF(COUNTIFS(monthly!G:G,"",monthly!$A:$A,"&gt;="&amp;$A34,monthly!$B:$B,"&lt;="&amp;$B34)&gt;0,"NA",AVERAGEIFS(monthly!G:G,monthly!$A:$A,"&gt;="&amp;$A34,monthly!$B:$B,"&lt;="&amp;$B34))</f>
        <v>21.5</v>
      </c>
      <c r="P34">
        <f>IF(COUNTIFS(monthly!H:H,"",monthly!$A:$A,"&gt;="&amp;$A34,monthly!$B:$B,"&lt;="&amp;$B34)&gt;0,"NA",AVERAGEIFS(monthly!H:H,monthly!$A:$A,"&gt;="&amp;$A34,monthly!$B:$B,"&lt;="&amp;$B34))</f>
        <v>27.5</v>
      </c>
      <c r="Q34">
        <f>IF(COUNTIFS(monthly!I:I,"",monthly!$A:$A,"&gt;="&amp;$A34,monthly!$B:$B,"&lt;="&amp;$B34)&gt;0,"NA",AVERAGEIFS(monthly!I:I,monthly!$A:$A,"&gt;="&amp;$A34,monthly!$B:$B,"&lt;="&amp;$B34))</f>
        <v>12.7</v>
      </c>
      <c r="R34">
        <f>IF(COUNTIFS(monthly!J:J,"",monthly!$A:$A,"&gt;="&amp;$A34,monthly!$B:$B,"&lt;="&amp;$B34)&gt;0,"NA",AVERAGEIFS(monthly!J:J,monthly!$A:$A,"&gt;="&amp;$A34,monthly!$B:$B,"&lt;="&amp;$B34))</f>
        <v>3.04</v>
      </c>
      <c r="S34">
        <f>IF(COUNTIFS(monthly!K:K,"",monthly!$A:$A,"&gt;="&amp;$A34,monthly!$B:$B,"&lt;="&amp;$B34)&gt;0,"NA",AVERAGEIFS(monthly!K:K,monthly!$A:$A,"&gt;="&amp;$A34,monthly!$B:$B,"&lt;="&amp;$B34))</f>
        <v>8.5867500000000021</v>
      </c>
      <c r="T34">
        <f>IF(COUNTIFS(monthly!L:L,"",monthly!$A:$A,"&gt;="&amp;$A34,monthly!$B:$B,"&lt;="&amp;$B34)&gt;0,"NA",AVERAGEIFS(monthly!L:L,monthly!$A:$A,"&gt;="&amp;$A34,monthly!$B:$B,"&lt;="&amp;$B34))</f>
        <v>6.7439170506912429</v>
      </c>
      <c r="U34">
        <f>IF(COUNTIFS(monthly!M:M,"",monthly!$A:$A,"&gt;="&amp;$A34,monthly!$B:$B,"&lt;="&amp;$B34)&gt;0,"NA",AVERAGEIFS(monthly!M:M,monthly!$A:$A,"&gt;="&amp;$A34,monthly!$B:$B,"&lt;="&amp;$B34))</f>
        <v>1.8428329493087583</v>
      </c>
      <c r="V34" t="str">
        <f>IF(COUNTIFS(monthly!N:N,"",monthly!$A:$A,"&gt;="&amp;$A34,monthly!$B:$B,"&lt;="&amp;$B34)&gt;0,"NA",AVERAGEIFS(monthly!N:N,monthly!$A:$A,"&gt;="&amp;$A34,monthly!$B:$B,"&lt;="&amp;$B34))</f>
        <v>NA</v>
      </c>
      <c r="W34">
        <f>IF(COUNTIFS(monthly!O:O,"",monthly!$A:$A,"&gt;="&amp;$A34,monthly!$B:$B,"&lt;="&amp;$B34)&gt;0,"NA",AVERAGEIFS(monthly!O:O,monthly!$A:$A,"&gt;="&amp;$A34,monthly!$B:$B,"&lt;="&amp;$B34))</f>
        <v>7.5253571428571426</v>
      </c>
      <c r="X34" t="str">
        <f>IF(COUNTIFS(monthly!P:P,"",monthly!$A:$A,"&gt;="&amp;$A34,monthly!$B:$B,"&lt;="&amp;$B34)&gt;0,"NA",AVERAGEIFS(monthly!P:P,monthly!$A:$A,"&gt;="&amp;$A34,monthly!$B:$B,"&lt;="&amp;$B34))</f>
        <v>NA</v>
      </c>
      <c r="Y34">
        <f>IF(COUNTIFS(monthly!Q:Q,"",monthly!$A:$A,"&gt;="&amp;$A34,monthly!$B:$B,"&lt;="&amp;$B34)&gt;0,"NA",AVERAGEIFS(monthly!Q:Q,monthly!$A:$A,"&gt;="&amp;$A34,monthly!$B:$B,"&lt;="&amp;$B34))</f>
        <v>9.2799999999999994</v>
      </c>
      <c r="Z34">
        <f>IF(COUNTIFS(monthly!R:R,"",monthly!$A:$A,"&gt;="&amp;$A34,monthly!$B:$B,"&lt;="&amp;$B34)&gt;0,"NA",AVERAGEIFS(monthly!R:R,monthly!$A:$A,"&gt;="&amp;$A34,monthly!$B:$B,"&lt;="&amp;$B34))</f>
        <v>7.994761904761905</v>
      </c>
      <c r="AA34">
        <f>IF(COUNTIFS(monthly!S:S,"",monthly!$A:$A,"&gt;="&amp;$A34,monthly!$B:$B,"&lt;="&amp;$B34)&gt;0,"NA",AVERAGEIFS(monthly!S:S,monthly!$A:$A,"&gt;="&amp;$A34,monthly!$B:$B,"&lt;="&amp;$B34))</f>
        <v>1.2852380952380944</v>
      </c>
      <c r="AB34" t="str">
        <f>IF(COUNTIFS(monthly!T:T,"",monthly!$A:$A,"&gt;="&amp;$A34,monthly!$B:$B,"&lt;="&amp;$B34)&gt;0,"NA",AVERAGEIFS(monthly!T:T,monthly!$A:$A,"&gt;="&amp;$A34,monthly!$B:$B,"&lt;="&amp;$B34))</f>
        <v>NA</v>
      </c>
      <c r="AC34" t="str">
        <f>IF(COUNTIFS(monthly!U:U,"",monthly!$A:$A,"&gt;="&amp;$A34,monthly!$B:$B,"&lt;="&amp;$B34)&gt;0,"NA",AVERAGEIFS(monthly!U:U,monthly!$A:$A,"&gt;="&amp;$A34,monthly!$B:$B,"&lt;="&amp;$B34))</f>
        <v>NA</v>
      </c>
      <c r="AD34" t="str">
        <f>IF(COUNTIFS(monthly!V:V,"",monthly!$A:$A,"&gt;="&amp;$A34,monthly!$B:$B,"&lt;="&amp;$B34)&gt;0,"NA",AVERAGEIFS(monthly!V:V,monthly!$A:$A,"&gt;="&amp;$A34,monthly!$B:$B,"&lt;="&amp;$B34))</f>
        <v>NA</v>
      </c>
      <c r="AE34" t="str">
        <f>IF(COUNTIFS(monthly!W:W,"",monthly!$A:$A,"&gt;="&amp;$A34,monthly!$B:$B,"&lt;="&amp;$B34)&gt;0,"NA",AVERAGEIFS(monthly!W:W,monthly!$A:$A,"&gt;="&amp;$A34,monthly!$B:$B,"&lt;="&amp;$B34))</f>
        <v>NA</v>
      </c>
      <c r="AF34" t="str">
        <f>IF(COUNTIFS(monthly!X:X,"",monthly!$A:$A,"&gt;="&amp;$A34,monthly!$B:$B,"&lt;="&amp;$B34)&gt;0,"NA",AVERAGEIFS(monthly!X:X,monthly!$A:$A,"&gt;="&amp;$A34,monthly!$B:$B,"&lt;="&amp;$B34))</f>
        <v>NA</v>
      </c>
      <c r="AG34" t="str">
        <f>IF(COUNTIFS(monthly!Y:Y,"",monthly!$A:$A,"&gt;="&amp;$A34,monthly!$B:$B,"&lt;="&amp;$B34)&gt;0,"NA",AVERAGEIFS(monthly!Y:Y,monthly!$A:$A,"&gt;="&amp;$A34,monthly!$B:$B,"&lt;="&amp;$B34))</f>
        <v>NA</v>
      </c>
      <c r="AH34" t="str">
        <f>IF(COUNTIFS(monthly!Z:Z,"",monthly!$A:$A,"&gt;="&amp;$A34,monthly!$B:$B,"&lt;="&amp;$B34)&gt;0,"NA",AVERAGEIFS(monthly!Z:Z,monthly!$A:$A,"&gt;="&amp;$A34,monthly!$B:$B,"&lt;="&amp;$B34))</f>
        <v>NA</v>
      </c>
    </row>
    <row r="35" spans="1:34" x14ac:dyDescent="0.2">
      <c r="A35" s="1">
        <v>28581</v>
      </c>
      <c r="B35" s="1">
        <v>28671</v>
      </c>
      <c r="C35">
        <f>IF(ISBLANK(VLOOKUP($A35,quarterly_data,MATCH(C$1,quarterly!$1:$1,FALSE),FALSE)),"NA",VLOOKUP($A35,quarterly_data,MATCH(C$1,quarterly!$1:$1,FALSE),FALSE))</f>
        <v>139.11151027147</v>
      </c>
      <c r="D35">
        <f>IF(ISBLANK(VLOOKUP($A35,quarterly_data,MATCH(D$1,quarterly!$1:$1,FALSE),FALSE)),"NA",VLOOKUP($A35,quarterly_data,MATCH(D$1,quarterly!$1:$1,FALSE),FALSE))</f>
        <v>51.9</v>
      </c>
      <c r="E35">
        <f>IF(ISBLANK(VLOOKUP($A35,quarterly_data,MATCH(E$1,quarterly!$1:$1,FALSE),FALSE)),"NA",VLOOKUP($A35,quarterly_data,MATCH(E$1,quarterly!$1:$1,FALSE),FALSE))</f>
        <v>0</v>
      </c>
      <c r="F35">
        <f>IF(ISBLANK(VLOOKUP($A35,quarterly_data,MATCH(F$1,quarterly!$1:$1,FALSE),FALSE)),"NA",VLOOKUP($A35,quarterly_data,MATCH(F$1,quarterly!$1:$1,FALSE),FALSE))</f>
        <v>2.51801E-2</v>
      </c>
      <c r="G35">
        <f>IF(ISBLANK(VLOOKUP($A35,quarterly_data,MATCH(G$1,quarterly!$1:$1,FALSE),FALSE)),"NA",VLOOKUP($A35,quarterly_data,MATCH(G$1,quarterly!$1:$1,FALSE),FALSE))</f>
        <v>7058.92</v>
      </c>
      <c r="H35">
        <f>IF(ISBLANK(VLOOKUP($A35,quarterly_data,MATCH(H$1,quarterly!$1:$1,FALSE),FALSE)),"NA",VLOOKUP($A35,quarterly_data,MATCH(H$1,quarterly!$1:$1,FALSE),FALSE))</f>
        <v>170633</v>
      </c>
      <c r="I35" t="str">
        <f>IF(ISBLANK(VLOOKUP($A35,quarterly_data,MATCH(I$1,quarterly!$1:$1,FALSE),FALSE)),"NA",VLOOKUP($A35,quarterly_data,MATCH(I$1,quarterly!$1:$1,FALSE),FALSE))</f>
        <v>NA</v>
      </c>
      <c r="J35">
        <f>IF(ISBLANK(VLOOKUP($A35,quarterly_data,MATCH(J$1,quarterly!$1:$1,FALSE),FALSE)),"NA",VLOOKUP($A35,quarterly_data,MATCH(J$1,quarterly!$1:$1,FALSE),FALSE))</f>
        <v>15.08</v>
      </c>
      <c r="K35">
        <f>IF(COUNTIFS(monthly!C:C,"",monthly!$A:$A,"&gt;="&amp;$A35,monthly!$B:$B,"&lt;="&amp;$B35)&gt;0,"NA",AVERAGEIFS(monthly!C:C,monthly!$A:$A,"&gt;="&amp;$A35,monthly!$B:$B,"&lt;="&amp;$B35))</f>
        <v>87</v>
      </c>
      <c r="L35">
        <f>IF(COUNTIFS(monthly!D:D,"",monthly!$A:$A,"&gt;="&amp;$A35,monthly!$B:$B,"&lt;="&amp;$B35)&gt;0,"NA",AVERAGEIFS(monthly!D:D,monthly!$A:$A,"&gt;="&amp;$A35,monthly!$B:$B,"&lt;="&amp;$B35))</f>
        <v>1.1379666666666666</v>
      </c>
      <c r="M35" t="str">
        <f>IF(COUNTIFS(monthly!E:E,"",monthly!$A:$A,"&gt;="&amp;$A35,monthly!$B:$B,"&lt;="&amp;$B35)&gt;0,"NA",AVERAGEIFS(monthly!E:E,monthly!$A:$A,"&gt;="&amp;$A35,monthly!$B:$B,"&lt;="&amp;$B35))</f>
        <v>NA</v>
      </c>
      <c r="N35" t="str">
        <f>IF(COUNTIFS(monthly!F:F,"",monthly!$A:$A,"&gt;="&amp;$A35,monthly!$B:$B,"&lt;="&amp;$B35)&gt;0,"NA",AVERAGEIFS(monthly!F:F,monthly!$A:$A,"&gt;="&amp;$A35,monthly!$B:$B,"&lt;="&amp;$B35))</f>
        <v>NA</v>
      </c>
      <c r="O35">
        <f>IF(COUNTIFS(monthly!G:G,"",monthly!$A:$A,"&gt;="&amp;$A35,monthly!$B:$B,"&lt;="&amp;$B35)&gt;0,"NA",AVERAGEIFS(monthly!G:G,monthly!$A:$A,"&gt;="&amp;$A35,monthly!$B:$B,"&lt;="&amp;$B35))</f>
        <v>21.5</v>
      </c>
      <c r="P35">
        <f>IF(COUNTIFS(monthly!H:H,"",monthly!$A:$A,"&gt;="&amp;$A35,monthly!$B:$B,"&lt;="&amp;$B35)&gt;0,"NA",AVERAGEIFS(monthly!H:H,monthly!$A:$A,"&gt;="&amp;$A35,monthly!$B:$B,"&lt;="&amp;$B35))</f>
        <v>28.633333333333336</v>
      </c>
      <c r="Q35">
        <f>IF(COUNTIFS(monthly!I:I,"",monthly!$A:$A,"&gt;="&amp;$A35,monthly!$B:$B,"&lt;="&amp;$B35)&gt;0,"NA",AVERAGEIFS(monthly!I:I,monthly!$A:$A,"&gt;="&amp;$A35,monthly!$B:$B,"&lt;="&amp;$B35))</f>
        <v>12.699999999999998</v>
      </c>
      <c r="R35">
        <f>IF(COUNTIFS(monthly!J:J,"",monthly!$A:$A,"&gt;="&amp;$A35,monthly!$B:$B,"&lt;="&amp;$B35)&gt;0,"NA",AVERAGEIFS(monthly!J:J,monthly!$A:$A,"&gt;="&amp;$A35,monthly!$B:$B,"&lt;="&amp;$B35))</f>
        <v>3.0400000000000005</v>
      </c>
      <c r="S35">
        <f>IF(COUNTIFS(monthly!K:K,"",monthly!$A:$A,"&gt;="&amp;$A35,monthly!$B:$B,"&lt;="&amp;$B35)&gt;0,"NA",AVERAGEIFS(monthly!K:K,monthly!$A:$A,"&gt;="&amp;$A35,monthly!$B:$B,"&lt;="&amp;$B35))</f>
        <v>8.6074127347353908</v>
      </c>
      <c r="T35">
        <f>IF(COUNTIFS(monthly!L:L,"",monthly!$A:$A,"&gt;="&amp;$A35,monthly!$B:$B,"&lt;="&amp;$B35)&gt;0,"NA",AVERAGEIFS(monthly!L:L,monthly!$A:$A,"&gt;="&amp;$A35,monthly!$B:$B,"&lt;="&amp;$B35))</f>
        <v>7.2817777777777772</v>
      </c>
      <c r="U35">
        <f>IF(COUNTIFS(monthly!M:M,"",monthly!$A:$A,"&gt;="&amp;$A35,monthly!$B:$B,"&lt;="&amp;$B35)&gt;0,"NA",AVERAGEIFS(monthly!M:M,monthly!$A:$A,"&gt;="&amp;$A35,monthly!$B:$B,"&lt;="&amp;$B35))</f>
        <v>1.3256349569576125</v>
      </c>
      <c r="V35" t="str">
        <f>IF(COUNTIFS(monthly!N:N,"",monthly!$A:$A,"&gt;="&amp;$A35,monthly!$B:$B,"&lt;="&amp;$B35)&gt;0,"NA",AVERAGEIFS(monthly!N:N,monthly!$A:$A,"&gt;="&amp;$A35,monthly!$B:$B,"&lt;="&amp;$B35))</f>
        <v>NA</v>
      </c>
      <c r="W35">
        <f>IF(COUNTIFS(monthly!O:O,"",monthly!$A:$A,"&gt;="&amp;$A35,monthly!$B:$B,"&lt;="&amp;$B35)&gt;0,"NA",AVERAGEIFS(monthly!O:O,monthly!$A:$A,"&gt;="&amp;$A35,monthly!$B:$B,"&lt;="&amp;$B35))</f>
        <v>7.9964119769119764</v>
      </c>
      <c r="X35" t="str">
        <f>IF(COUNTIFS(monthly!P:P,"",monthly!$A:$A,"&gt;="&amp;$A35,monthly!$B:$B,"&lt;="&amp;$B35)&gt;0,"NA",AVERAGEIFS(monthly!P:P,monthly!$A:$A,"&gt;="&amp;$A35,monthly!$B:$B,"&lt;="&amp;$B35))</f>
        <v>NA</v>
      </c>
      <c r="Y35">
        <f>IF(COUNTIFS(monthly!Q:Q,"",monthly!$A:$A,"&gt;="&amp;$A35,monthly!$B:$B,"&lt;="&amp;$B35)&gt;0,"NA",AVERAGEIFS(monthly!Q:Q,monthly!$A:$A,"&gt;="&amp;$A35,monthly!$B:$B,"&lt;="&amp;$B35))</f>
        <v>9.1233333333333331</v>
      </c>
      <c r="Z35">
        <f>IF(COUNTIFS(monthly!R:R,"",monthly!$A:$A,"&gt;="&amp;$A35,monthly!$B:$B,"&lt;="&amp;$B35)&gt;0,"NA",AVERAGEIFS(monthly!R:R,monthly!$A:$A,"&gt;="&amp;$A35,monthly!$B:$B,"&lt;="&amp;$B35))</f>
        <v>8.3206623376623394</v>
      </c>
      <c r="AA35">
        <f>IF(COUNTIFS(monthly!S:S,"",monthly!$A:$A,"&gt;="&amp;$A35,monthly!$B:$B,"&lt;="&amp;$B35)&gt;0,"NA",AVERAGEIFS(monthly!S:S,monthly!$A:$A,"&gt;="&amp;$A35,monthly!$B:$B,"&lt;="&amp;$B35))</f>
        <v>0.80267099567099487</v>
      </c>
      <c r="AB35" t="str">
        <f>IF(COUNTIFS(monthly!T:T,"",monthly!$A:$A,"&gt;="&amp;$A35,monthly!$B:$B,"&lt;="&amp;$B35)&gt;0,"NA",AVERAGEIFS(monthly!T:T,monthly!$A:$A,"&gt;="&amp;$A35,monthly!$B:$B,"&lt;="&amp;$B35))</f>
        <v>NA</v>
      </c>
      <c r="AC35" t="str">
        <f>IF(COUNTIFS(monthly!U:U,"",monthly!$A:$A,"&gt;="&amp;$A35,monthly!$B:$B,"&lt;="&amp;$B35)&gt;0,"NA",AVERAGEIFS(monthly!U:U,monthly!$A:$A,"&gt;="&amp;$A35,monthly!$B:$B,"&lt;="&amp;$B35))</f>
        <v>NA</v>
      </c>
      <c r="AD35" t="str">
        <f>IF(COUNTIFS(monthly!V:V,"",monthly!$A:$A,"&gt;="&amp;$A35,monthly!$B:$B,"&lt;="&amp;$B35)&gt;0,"NA",AVERAGEIFS(monthly!V:V,monthly!$A:$A,"&gt;="&amp;$A35,monthly!$B:$B,"&lt;="&amp;$B35))</f>
        <v>NA</v>
      </c>
      <c r="AE35" t="str">
        <f>IF(COUNTIFS(monthly!W:W,"",monthly!$A:$A,"&gt;="&amp;$A35,monthly!$B:$B,"&lt;="&amp;$B35)&gt;0,"NA",AVERAGEIFS(monthly!W:W,monthly!$A:$A,"&gt;="&amp;$A35,monthly!$B:$B,"&lt;="&amp;$B35))</f>
        <v>NA</v>
      </c>
      <c r="AF35" t="str">
        <f>IF(COUNTIFS(monthly!X:X,"",monthly!$A:$A,"&gt;="&amp;$A35,monthly!$B:$B,"&lt;="&amp;$B35)&gt;0,"NA",AVERAGEIFS(monthly!X:X,monthly!$A:$A,"&gt;="&amp;$A35,monthly!$B:$B,"&lt;="&amp;$B35))</f>
        <v>NA</v>
      </c>
      <c r="AG35" t="str">
        <f>IF(COUNTIFS(monthly!Y:Y,"",monthly!$A:$A,"&gt;="&amp;$A35,monthly!$B:$B,"&lt;="&amp;$B35)&gt;0,"NA",AVERAGEIFS(monthly!Y:Y,monthly!$A:$A,"&gt;="&amp;$A35,monthly!$B:$B,"&lt;="&amp;$B35))</f>
        <v>NA</v>
      </c>
      <c r="AH35" t="str">
        <f>IF(COUNTIFS(monthly!Z:Z,"",monthly!$A:$A,"&gt;="&amp;$A35,monthly!$B:$B,"&lt;="&amp;$B35)&gt;0,"NA",AVERAGEIFS(monthly!Z:Z,monthly!$A:$A,"&gt;="&amp;$A35,monthly!$B:$B,"&lt;="&amp;$B35))</f>
        <v>NA</v>
      </c>
    </row>
    <row r="36" spans="1:34" x14ac:dyDescent="0.2">
      <c r="A36" s="1">
        <v>28672</v>
      </c>
      <c r="B36" s="1">
        <v>28763</v>
      </c>
      <c r="C36">
        <f>IF(ISBLANK(VLOOKUP($A36,quarterly_data,MATCH(C$1,quarterly!$1:$1,FALSE),FALSE)),"NA",VLOOKUP($A36,quarterly_data,MATCH(C$1,quarterly!$1:$1,FALSE),FALSE))</f>
        <v>133.85296529387409</v>
      </c>
      <c r="D36">
        <f>IF(ISBLANK(VLOOKUP($A36,quarterly_data,MATCH(D$1,quarterly!$1:$1,FALSE),FALSE)),"NA",VLOOKUP($A36,quarterly_data,MATCH(D$1,quarterly!$1:$1,FALSE),FALSE))</f>
        <v>51</v>
      </c>
      <c r="E36">
        <f>IF(ISBLANK(VLOOKUP($A36,quarterly_data,MATCH(E$1,quarterly!$1:$1,FALSE),FALSE)),"NA",VLOOKUP($A36,quarterly_data,MATCH(E$1,quarterly!$1:$1,FALSE),FALSE))</f>
        <v>0</v>
      </c>
      <c r="F36">
        <f>IF(ISBLANK(VLOOKUP($A36,quarterly_data,MATCH(F$1,quarterly!$1:$1,FALSE),FALSE)),"NA",VLOOKUP($A36,quarterly_data,MATCH(F$1,quarterly!$1:$1,FALSE),FALSE))</f>
        <v>6.1501000000000004E-3</v>
      </c>
      <c r="G36">
        <f>IF(ISBLANK(VLOOKUP($A36,quarterly_data,MATCH(G$1,quarterly!$1:$1,FALSE),FALSE)),"NA",VLOOKUP($A36,quarterly_data,MATCH(G$1,quarterly!$1:$1,FALSE),FALSE))</f>
        <v>7129.915</v>
      </c>
      <c r="H36">
        <f>IF(ISBLANK(VLOOKUP($A36,quarterly_data,MATCH(H$1,quarterly!$1:$1,FALSE),FALSE)),"NA",VLOOKUP($A36,quarterly_data,MATCH(H$1,quarterly!$1:$1,FALSE),FALSE))</f>
        <v>173227</v>
      </c>
      <c r="I36" t="str">
        <f>IF(ISBLANK(VLOOKUP($A36,quarterly_data,MATCH(I$1,quarterly!$1:$1,FALSE),FALSE)),"NA",VLOOKUP($A36,quarterly_data,MATCH(I$1,quarterly!$1:$1,FALSE),FALSE))</f>
        <v>NA</v>
      </c>
      <c r="J36">
        <f>IF(ISBLANK(VLOOKUP($A36,quarterly_data,MATCH(J$1,quarterly!$1:$1,FALSE),FALSE)),"NA",VLOOKUP($A36,quarterly_data,MATCH(J$1,quarterly!$1:$1,FALSE),FALSE))</f>
        <v>15.35</v>
      </c>
      <c r="K36">
        <f>IF(COUNTIFS(monthly!C:C,"",monthly!$A:$A,"&gt;="&amp;$A36,monthly!$B:$B,"&lt;="&amp;$B36)&gt;0,"NA",AVERAGEIFS(monthly!C:C,monthly!$A:$A,"&gt;="&amp;$A36,monthly!$B:$B,"&lt;="&amp;$B36))</f>
        <v>84</v>
      </c>
      <c r="L36">
        <f>IF(COUNTIFS(monthly!D:D,"",monthly!$A:$A,"&gt;="&amp;$A36,monthly!$B:$B,"&lt;="&amp;$B36)&gt;0,"NA",AVERAGEIFS(monthly!D:D,monthly!$A:$A,"&gt;="&amp;$A36,monthly!$B:$B,"&lt;="&amp;$B36))</f>
        <v>1.1546000000000001</v>
      </c>
      <c r="M36" t="str">
        <f>IF(COUNTIFS(monthly!E:E,"",monthly!$A:$A,"&gt;="&amp;$A36,monthly!$B:$B,"&lt;="&amp;$B36)&gt;0,"NA",AVERAGEIFS(monthly!E:E,monthly!$A:$A,"&gt;="&amp;$A36,monthly!$B:$B,"&lt;="&amp;$B36))</f>
        <v>NA</v>
      </c>
      <c r="N36" t="str">
        <f>IF(COUNTIFS(monthly!F:F,"",monthly!$A:$A,"&gt;="&amp;$A36,monthly!$B:$B,"&lt;="&amp;$B36)&gt;0,"NA",AVERAGEIFS(monthly!F:F,monthly!$A:$A,"&gt;="&amp;$A36,monthly!$B:$B,"&lt;="&amp;$B36))</f>
        <v>NA</v>
      </c>
      <c r="O36">
        <f>IF(COUNTIFS(monthly!G:G,"",monthly!$A:$A,"&gt;="&amp;$A36,monthly!$B:$B,"&lt;="&amp;$B36)&gt;0,"NA",AVERAGEIFS(monthly!G:G,monthly!$A:$A,"&gt;="&amp;$A36,monthly!$B:$B,"&lt;="&amp;$B36))</f>
        <v>21.5</v>
      </c>
      <c r="P36">
        <f>IF(COUNTIFS(monthly!H:H,"",monthly!$A:$A,"&gt;="&amp;$A36,monthly!$B:$B,"&lt;="&amp;$B36)&gt;0,"NA",AVERAGEIFS(monthly!H:H,monthly!$A:$A,"&gt;="&amp;$A36,monthly!$B:$B,"&lt;="&amp;$B36))</f>
        <v>30.2</v>
      </c>
      <c r="Q36">
        <f>IF(COUNTIFS(monthly!I:I,"",monthly!$A:$A,"&gt;="&amp;$A36,monthly!$B:$B,"&lt;="&amp;$B36)&gt;0,"NA",AVERAGEIFS(monthly!I:I,monthly!$A:$A,"&gt;="&amp;$A36,monthly!$B:$B,"&lt;="&amp;$B36))</f>
        <v>12.800000000000002</v>
      </c>
      <c r="R36">
        <f>IF(COUNTIFS(monthly!J:J,"",monthly!$A:$A,"&gt;="&amp;$A36,monthly!$B:$B,"&lt;="&amp;$B36)&gt;0,"NA",AVERAGEIFS(monthly!J:J,monthly!$A:$A,"&gt;="&amp;$A36,monthly!$B:$B,"&lt;="&amp;$B36))</f>
        <v>3.0400000000000005</v>
      </c>
      <c r="S36">
        <f>IF(COUNTIFS(monthly!K:K,"",monthly!$A:$A,"&gt;="&amp;$A36,monthly!$B:$B,"&lt;="&amp;$B36)&gt;0,"NA",AVERAGEIFS(monthly!K:K,monthly!$A:$A,"&gt;="&amp;$A36,monthly!$B:$B,"&lt;="&amp;$B36))</f>
        <v>9.0005314009661834</v>
      </c>
      <c r="T36">
        <f>IF(COUNTIFS(monthly!L:L,"",monthly!$A:$A,"&gt;="&amp;$A36,monthly!$B:$B,"&lt;="&amp;$B36)&gt;0,"NA",AVERAGEIFS(monthly!L:L,monthly!$A:$A,"&gt;="&amp;$A36,monthly!$B:$B,"&lt;="&amp;$B36))</f>
        <v>8.0985949820788523</v>
      </c>
      <c r="U36">
        <f>IF(COUNTIFS(monthly!M:M,"",monthly!$A:$A,"&gt;="&amp;$A36,monthly!$B:$B,"&lt;="&amp;$B36)&gt;0,"NA",AVERAGEIFS(monthly!M:M,monthly!$A:$A,"&gt;="&amp;$A36,monthly!$B:$B,"&lt;="&amp;$B36))</f>
        <v>0.90193641888733056</v>
      </c>
      <c r="V36" t="str">
        <f>IF(COUNTIFS(monthly!N:N,"",monthly!$A:$A,"&gt;="&amp;$A36,monthly!$B:$B,"&lt;="&amp;$B36)&gt;0,"NA",AVERAGEIFS(monthly!N:N,monthly!$A:$A,"&gt;="&amp;$A36,monthly!$B:$B,"&lt;="&amp;$B36))</f>
        <v>NA</v>
      </c>
      <c r="W36">
        <f>IF(COUNTIFS(monthly!O:O,"",monthly!$A:$A,"&gt;="&amp;$A36,monthly!$B:$B,"&lt;="&amp;$B36)&gt;0,"NA",AVERAGEIFS(monthly!O:O,monthly!$A:$A,"&gt;="&amp;$A36,monthly!$B:$B,"&lt;="&amp;$B36))</f>
        <v>8.4738405797101439</v>
      </c>
      <c r="X36" t="str">
        <f>IF(COUNTIFS(monthly!P:P,"",monthly!$A:$A,"&gt;="&amp;$A36,monthly!$B:$B,"&lt;="&amp;$B36)&gt;0,"NA",AVERAGEIFS(monthly!P:P,monthly!$A:$A,"&gt;="&amp;$A36,monthly!$B:$B,"&lt;="&amp;$B36))</f>
        <v>NA</v>
      </c>
      <c r="Y36">
        <f>IF(COUNTIFS(monthly!Q:Q,"",monthly!$A:$A,"&gt;="&amp;$A36,monthly!$B:$B,"&lt;="&amp;$B36)&gt;0,"NA",AVERAGEIFS(monthly!Q:Q,monthly!$A:$A,"&gt;="&amp;$A36,monthly!$B:$B,"&lt;="&amp;$B36))</f>
        <v>9.0333333333333332</v>
      </c>
      <c r="Z36">
        <f>IF(COUNTIFS(monthly!R:R,"",monthly!$A:$A,"&gt;="&amp;$A36,monthly!$B:$B,"&lt;="&amp;$B36)&gt;0,"NA",AVERAGEIFS(monthly!R:R,monthly!$A:$A,"&gt;="&amp;$A36,monthly!$B:$B,"&lt;="&amp;$B36))</f>
        <v>8.4891231884057969</v>
      </c>
      <c r="AA36">
        <f>IF(COUNTIFS(monthly!S:S,"",monthly!$A:$A,"&gt;="&amp;$A36,monthly!$B:$B,"&lt;="&amp;$B36)&gt;0,"NA",AVERAGEIFS(monthly!S:S,monthly!$A:$A,"&gt;="&amp;$A36,monthly!$B:$B,"&lt;="&amp;$B36))</f>
        <v>0.54421014492753628</v>
      </c>
      <c r="AB36" t="str">
        <f>IF(COUNTIFS(monthly!T:T,"",monthly!$A:$A,"&gt;="&amp;$A36,monthly!$B:$B,"&lt;="&amp;$B36)&gt;0,"NA",AVERAGEIFS(monthly!T:T,monthly!$A:$A,"&gt;="&amp;$A36,monthly!$B:$B,"&lt;="&amp;$B36))</f>
        <v>NA</v>
      </c>
      <c r="AC36" t="str">
        <f>IF(COUNTIFS(monthly!U:U,"",monthly!$A:$A,"&gt;="&amp;$A36,monthly!$B:$B,"&lt;="&amp;$B36)&gt;0,"NA",AVERAGEIFS(monthly!U:U,monthly!$A:$A,"&gt;="&amp;$A36,monthly!$B:$B,"&lt;="&amp;$B36))</f>
        <v>NA</v>
      </c>
      <c r="AD36" t="str">
        <f>IF(COUNTIFS(monthly!V:V,"",monthly!$A:$A,"&gt;="&amp;$A36,monthly!$B:$B,"&lt;="&amp;$B36)&gt;0,"NA",AVERAGEIFS(monthly!V:V,monthly!$A:$A,"&gt;="&amp;$A36,monthly!$B:$B,"&lt;="&amp;$B36))</f>
        <v>NA</v>
      </c>
      <c r="AE36" t="str">
        <f>IF(COUNTIFS(monthly!W:W,"",monthly!$A:$A,"&gt;="&amp;$A36,monthly!$B:$B,"&lt;="&amp;$B36)&gt;0,"NA",AVERAGEIFS(monthly!W:W,monthly!$A:$A,"&gt;="&amp;$A36,monthly!$B:$B,"&lt;="&amp;$B36))</f>
        <v>NA</v>
      </c>
      <c r="AF36" t="str">
        <f>IF(COUNTIFS(monthly!X:X,"",monthly!$A:$A,"&gt;="&amp;$A36,monthly!$B:$B,"&lt;="&amp;$B36)&gt;0,"NA",AVERAGEIFS(monthly!X:X,monthly!$A:$A,"&gt;="&amp;$A36,monthly!$B:$B,"&lt;="&amp;$B36))</f>
        <v>NA</v>
      </c>
      <c r="AG36" t="str">
        <f>IF(COUNTIFS(monthly!Y:Y,"",monthly!$A:$A,"&gt;="&amp;$A36,monthly!$B:$B,"&lt;="&amp;$B36)&gt;0,"NA",AVERAGEIFS(monthly!Y:Y,monthly!$A:$A,"&gt;="&amp;$A36,monthly!$B:$B,"&lt;="&amp;$B36))</f>
        <v>NA</v>
      </c>
      <c r="AH36" t="str">
        <f>IF(COUNTIFS(monthly!Z:Z,"",monthly!$A:$A,"&gt;="&amp;$A36,monthly!$B:$B,"&lt;="&amp;$B36)&gt;0,"NA",AVERAGEIFS(monthly!Z:Z,monthly!$A:$A,"&gt;="&amp;$A36,monthly!$B:$B,"&lt;="&amp;$B36))</f>
        <v>NA</v>
      </c>
    </row>
    <row r="37" spans="1:34" x14ac:dyDescent="0.2">
      <c r="A37" s="1">
        <v>28764</v>
      </c>
      <c r="B37" s="1">
        <v>28854</v>
      </c>
      <c r="C37">
        <f>IF(ISBLANK(VLOOKUP($A37,quarterly_data,MATCH(C$1,quarterly!$1:$1,FALSE),FALSE)),"NA",VLOOKUP($A37,quarterly_data,MATCH(C$1,quarterly!$1:$1,FALSE),FALSE))</f>
        <v>131.18455709348419</v>
      </c>
      <c r="D37">
        <f>IF(ISBLANK(VLOOKUP($A37,quarterly_data,MATCH(D$1,quarterly!$1:$1,FALSE),FALSE)),"NA",VLOOKUP($A37,quarterly_data,MATCH(D$1,quarterly!$1:$1,FALSE),FALSE))</f>
        <v>50.7</v>
      </c>
      <c r="E37">
        <f>IF(ISBLANK(VLOOKUP($A37,quarterly_data,MATCH(E$1,quarterly!$1:$1,FALSE),FALSE)),"NA",VLOOKUP($A37,quarterly_data,MATCH(E$1,quarterly!$1:$1,FALSE),FALSE))</f>
        <v>0</v>
      </c>
      <c r="F37">
        <f>IF(ISBLANK(VLOOKUP($A37,quarterly_data,MATCH(F$1,quarterly!$1:$1,FALSE),FALSE)),"NA",VLOOKUP($A37,quarterly_data,MATCH(F$1,quarterly!$1:$1,FALSE),FALSE))</f>
        <v>0</v>
      </c>
      <c r="G37">
        <f>IF(ISBLANK(VLOOKUP($A37,quarterly_data,MATCH(G$1,quarterly!$1:$1,FALSE),FALSE)),"NA",VLOOKUP($A37,quarterly_data,MATCH(G$1,quarterly!$1:$1,FALSE),FALSE))</f>
        <v>7225.75</v>
      </c>
      <c r="H37">
        <f>IF(ISBLANK(VLOOKUP($A37,quarterly_data,MATCH(H$1,quarterly!$1:$1,FALSE),FALSE)),"NA",VLOOKUP($A37,quarterly_data,MATCH(H$1,quarterly!$1:$1,FALSE),FALSE))</f>
        <v>174628</v>
      </c>
      <c r="I37" t="str">
        <f>IF(ISBLANK(VLOOKUP($A37,quarterly_data,MATCH(I$1,quarterly!$1:$1,FALSE),FALSE)),"NA",VLOOKUP($A37,quarterly_data,MATCH(I$1,quarterly!$1:$1,FALSE),FALSE))</f>
        <v>NA</v>
      </c>
      <c r="J37">
        <f>IF(ISBLANK(VLOOKUP($A37,quarterly_data,MATCH(J$1,quarterly!$1:$1,FALSE),FALSE)),"NA",VLOOKUP($A37,quarterly_data,MATCH(J$1,quarterly!$1:$1,FALSE),FALSE))</f>
        <v>15.7</v>
      </c>
      <c r="K37">
        <f>IF(COUNTIFS(monthly!C:C,"",monthly!$A:$A,"&gt;="&amp;$A37,monthly!$B:$B,"&lt;="&amp;$B37)&gt;0,"NA",AVERAGEIFS(monthly!C:C,monthly!$A:$A,"&gt;="&amp;$A37,monthly!$B:$B,"&lt;="&amp;$B37))</f>
        <v>82.7</v>
      </c>
      <c r="L37">
        <f>IF(COUNTIFS(monthly!D:D,"",monthly!$A:$A,"&gt;="&amp;$A37,monthly!$B:$B,"&lt;="&amp;$B37)&gt;0,"NA",AVERAGEIFS(monthly!D:D,monthly!$A:$A,"&gt;="&amp;$A37,monthly!$B:$B,"&lt;="&amp;$B37))</f>
        <v>1.1627000000000001</v>
      </c>
      <c r="M37" t="str">
        <f>IF(COUNTIFS(monthly!E:E,"",monthly!$A:$A,"&gt;="&amp;$A37,monthly!$B:$B,"&lt;="&amp;$B37)&gt;0,"NA",AVERAGEIFS(monthly!E:E,monthly!$A:$A,"&gt;="&amp;$A37,monthly!$B:$B,"&lt;="&amp;$B37))</f>
        <v>NA</v>
      </c>
      <c r="N37" t="str">
        <f>IF(COUNTIFS(monthly!F:F,"",monthly!$A:$A,"&gt;="&amp;$A37,monthly!$B:$B,"&lt;="&amp;$B37)&gt;0,"NA",AVERAGEIFS(monthly!F:F,monthly!$A:$A,"&gt;="&amp;$A37,monthly!$B:$B,"&lt;="&amp;$B37))</f>
        <v>NA</v>
      </c>
      <c r="O37">
        <f>IF(COUNTIFS(monthly!G:G,"",monthly!$A:$A,"&gt;="&amp;$A37,monthly!$B:$B,"&lt;="&amp;$B37)&gt;0,"NA",AVERAGEIFS(monthly!G:G,monthly!$A:$A,"&gt;="&amp;$A37,monthly!$B:$B,"&lt;="&amp;$B37))</f>
        <v>21.5</v>
      </c>
      <c r="P37">
        <f>IF(COUNTIFS(monthly!H:H,"",monthly!$A:$A,"&gt;="&amp;$A37,monthly!$B:$B,"&lt;="&amp;$B37)&gt;0,"NA",AVERAGEIFS(monthly!H:H,monthly!$A:$A,"&gt;="&amp;$A37,monthly!$B:$B,"&lt;="&amp;$B37))</f>
        <v>30.2</v>
      </c>
      <c r="Q37">
        <f>IF(COUNTIFS(monthly!I:I,"",monthly!$A:$A,"&gt;="&amp;$A37,monthly!$B:$B,"&lt;="&amp;$B37)&gt;0,"NA",AVERAGEIFS(monthly!I:I,monthly!$A:$A,"&gt;="&amp;$A37,monthly!$B:$B,"&lt;="&amp;$B37))</f>
        <v>13.05</v>
      </c>
      <c r="R37">
        <f>IF(COUNTIFS(monthly!J:J,"",monthly!$A:$A,"&gt;="&amp;$A37,monthly!$B:$B,"&lt;="&amp;$B37)&gt;0,"NA",AVERAGEIFS(monthly!J:J,monthly!$A:$A,"&gt;="&amp;$A37,monthly!$B:$B,"&lt;="&amp;$B37))</f>
        <v>3.04</v>
      </c>
      <c r="S37">
        <f>IF(COUNTIFS(monthly!K:K,"",monthly!$A:$A,"&gt;="&amp;$A37,monthly!$B:$B,"&lt;="&amp;$B37)&gt;0,"NA",AVERAGEIFS(monthly!K:K,monthly!$A:$A,"&gt;="&amp;$A37,monthly!$B:$B,"&lt;="&amp;$B37))</f>
        <v>8.6840909090909086</v>
      </c>
      <c r="T37">
        <f>IF(COUNTIFS(monthly!L:L,"",monthly!$A:$A,"&gt;="&amp;$A37,monthly!$B:$B,"&lt;="&amp;$B37)&gt;0,"NA",AVERAGEIFS(monthly!L:L,monthly!$A:$A,"&gt;="&amp;$A37,monthly!$B:$B,"&lt;="&amp;$B37))</f>
        <v>9.3552419354838712</v>
      </c>
      <c r="U37">
        <f>IF(COUNTIFS(monthly!M:M,"",monthly!$A:$A,"&gt;="&amp;$A37,monthly!$B:$B,"&lt;="&amp;$B37)&gt;0,"NA",AVERAGEIFS(monthly!M:M,monthly!$A:$A,"&gt;="&amp;$A37,monthly!$B:$B,"&lt;="&amp;$B37))</f>
        <v>-0.67115102639296254</v>
      </c>
      <c r="V37" t="str">
        <f>IF(COUNTIFS(monthly!N:N,"",monthly!$A:$A,"&gt;="&amp;$A37,monthly!$B:$B,"&lt;="&amp;$B37)&gt;0,"NA",AVERAGEIFS(monthly!N:N,monthly!$A:$A,"&gt;="&amp;$A37,monthly!$B:$B,"&lt;="&amp;$B37))</f>
        <v>NA</v>
      </c>
      <c r="W37">
        <f>IF(COUNTIFS(monthly!O:O,"",monthly!$A:$A,"&gt;="&amp;$A37,monthly!$B:$B,"&lt;="&amp;$B37)&gt;0,"NA",AVERAGEIFS(monthly!O:O,monthly!$A:$A,"&gt;="&amp;$A37,monthly!$B:$B,"&lt;="&amp;$B37))</f>
        <v>9.1391547619047628</v>
      </c>
      <c r="X37" t="str">
        <f>IF(COUNTIFS(monthly!P:P,"",monthly!$A:$A,"&gt;="&amp;$A37,monthly!$B:$B,"&lt;="&amp;$B37)&gt;0,"NA",AVERAGEIFS(monthly!P:P,monthly!$A:$A,"&gt;="&amp;$A37,monthly!$B:$B,"&lt;="&amp;$B37))</f>
        <v>NA</v>
      </c>
      <c r="Y37">
        <f>IF(COUNTIFS(monthly!Q:Q,"",monthly!$A:$A,"&gt;="&amp;$A37,monthly!$B:$B,"&lt;="&amp;$B37)&gt;0,"NA",AVERAGEIFS(monthly!Q:Q,monthly!$A:$A,"&gt;="&amp;$A37,monthly!$B:$B,"&lt;="&amp;$B37))</f>
        <v>8.8450000000000006</v>
      </c>
      <c r="Z37">
        <f>IF(COUNTIFS(monthly!R:R,"",monthly!$A:$A,"&gt;="&amp;$A37,monthly!$B:$B,"&lt;="&amp;$B37)&gt;0,"NA",AVERAGEIFS(monthly!R:R,monthly!$A:$A,"&gt;="&amp;$A37,monthly!$B:$B,"&lt;="&amp;$B37))</f>
        <v>8.7236904761904768</v>
      </c>
      <c r="AA37">
        <f>IF(COUNTIFS(monthly!S:S,"",monthly!$A:$A,"&gt;="&amp;$A37,monthly!$B:$B,"&lt;="&amp;$B37)&gt;0,"NA",AVERAGEIFS(monthly!S:S,monthly!$A:$A,"&gt;="&amp;$A37,monthly!$B:$B,"&lt;="&amp;$B37))</f>
        <v>0.12130952380952298</v>
      </c>
      <c r="AB37" t="str">
        <f>IF(COUNTIFS(monthly!T:T,"",monthly!$A:$A,"&gt;="&amp;$A37,monthly!$B:$B,"&lt;="&amp;$B37)&gt;0,"NA",AVERAGEIFS(monthly!T:T,monthly!$A:$A,"&gt;="&amp;$A37,monthly!$B:$B,"&lt;="&amp;$B37))</f>
        <v>NA</v>
      </c>
      <c r="AC37" t="str">
        <f>IF(COUNTIFS(monthly!U:U,"",monthly!$A:$A,"&gt;="&amp;$A37,monthly!$B:$B,"&lt;="&amp;$B37)&gt;0,"NA",AVERAGEIFS(monthly!U:U,monthly!$A:$A,"&gt;="&amp;$A37,monthly!$B:$B,"&lt;="&amp;$B37))</f>
        <v>NA</v>
      </c>
      <c r="AD37" t="str">
        <f>IF(COUNTIFS(monthly!V:V,"",monthly!$A:$A,"&gt;="&amp;$A37,monthly!$B:$B,"&lt;="&amp;$B37)&gt;0,"NA",AVERAGEIFS(monthly!V:V,monthly!$A:$A,"&gt;="&amp;$A37,monthly!$B:$B,"&lt;="&amp;$B37))</f>
        <v>NA</v>
      </c>
      <c r="AE37" t="str">
        <f>IF(COUNTIFS(monthly!W:W,"",monthly!$A:$A,"&gt;="&amp;$A37,monthly!$B:$B,"&lt;="&amp;$B37)&gt;0,"NA",AVERAGEIFS(monthly!W:W,monthly!$A:$A,"&gt;="&amp;$A37,monthly!$B:$B,"&lt;="&amp;$B37))</f>
        <v>NA</v>
      </c>
      <c r="AF37" t="str">
        <f>IF(COUNTIFS(monthly!X:X,"",monthly!$A:$A,"&gt;="&amp;$A37,monthly!$B:$B,"&lt;="&amp;$B37)&gt;0,"NA",AVERAGEIFS(monthly!X:X,monthly!$A:$A,"&gt;="&amp;$A37,monthly!$B:$B,"&lt;="&amp;$B37))</f>
        <v>NA</v>
      </c>
      <c r="AG37" t="str">
        <f>IF(COUNTIFS(monthly!Y:Y,"",monthly!$A:$A,"&gt;="&amp;$A37,monthly!$B:$B,"&lt;="&amp;$B37)&gt;0,"NA",AVERAGEIFS(monthly!Y:Y,monthly!$A:$A,"&gt;="&amp;$A37,monthly!$B:$B,"&lt;="&amp;$B37))</f>
        <v>NA</v>
      </c>
      <c r="AH37" t="str">
        <f>IF(COUNTIFS(monthly!Z:Z,"",monthly!$A:$A,"&gt;="&amp;$A37,monthly!$B:$B,"&lt;="&amp;$B37)&gt;0,"NA",AVERAGEIFS(monthly!Z:Z,monthly!$A:$A,"&gt;="&amp;$A37,monthly!$B:$B,"&lt;="&amp;$B37))</f>
        <v>NA</v>
      </c>
    </row>
    <row r="38" spans="1:34" x14ac:dyDescent="0.2">
      <c r="A38" s="1">
        <v>28856</v>
      </c>
      <c r="B38" s="1">
        <v>28944</v>
      </c>
      <c r="C38">
        <f>IF(ISBLANK(VLOOKUP($A38,quarterly_data,MATCH(C$1,quarterly!$1:$1,FALSE),FALSE)),"NA",VLOOKUP($A38,quarterly_data,MATCH(C$1,quarterly!$1:$1,FALSE),FALSE))</f>
        <v>131.37295490949953</v>
      </c>
      <c r="D38">
        <f>IF(ISBLANK(VLOOKUP($A38,quarterly_data,MATCH(D$1,quarterly!$1:$1,FALSE),FALSE)),"NA",VLOOKUP($A38,quarterly_data,MATCH(D$1,quarterly!$1:$1,FALSE),FALSE))</f>
        <v>51.5</v>
      </c>
      <c r="E38">
        <f>IF(ISBLANK(VLOOKUP($A38,quarterly_data,MATCH(E$1,quarterly!$1:$1,FALSE),FALSE)),"NA",VLOOKUP($A38,quarterly_data,MATCH(E$1,quarterly!$1:$1,FALSE),FALSE))</f>
        <v>0.19015019999999999</v>
      </c>
      <c r="F38">
        <f>IF(ISBLANK(VLOOKUP($A38,quarterly_data,MATCH(F$1,quarterly!$1:$1,FALSE),FALSE)),"NA",VLOOKUP($A38,quarterly_data,MATCH(F$1,quarterly!$1:$1,FALSE),FALSE))</f>
        <v>3.8030000000000001E-2</v>
      </c>
      <c r="G38">
        <f>IF(ISBLANK(VLOOKUP($A38,quarterly_data,MATCH(G$1,quarterly!$1:$1,FALSE),FALSE)),"NA",VLOOKUP($A38,quarterly_data,MATCH(G$1,quarterly!$1:$1,FALSE),FALSE))</f>
        <v>7238.7269999999999</v>
      </c>
      <c r="H38">
        <f>IF(ISBLANK(VLOOKUP($A38,quarterly_data,MATCH(H$1,quarterly!$1:$1,FALSE),FALSE)),"NA",VLOOKUP($A38,quarterly_data,MATCH(H$1,quarterly!$1:$1,FALSE),FALSE))</f>
        <v>179454</v>
      </c>
      <c r="I38" t="str">
        <f>IF(ISBLANK(VLOOKUP($A38,quarterly_data,MATCH(I$1,quarterly!$1:$1,FALSE),FALSE)),"NA",VLOOKUP($A38,quarterly_data,MATCH(I$1,quarterly!$1:$1,FALSE),FALSE))</f>
        <v>NA</v>
      </c>
      <c r="J38">
        <f>IF(ISBLANK(VLOOKUP($A38,quarterly_data,MATCH(J$1,quarterly!$1:$1,FALSE),FALSE)),"NA",VLOOKUP($A38,quarterly_data,MATCH(J$1,quarterly!$1:$1,FALSE),FALSE))</f>
        <v>15.97</v>
      </c>
      <c r="K38">
        <f>IF(COUNTIFS(monthly!C:C,"",monthly!$A:$A,"&gt;="&amp;$A38,monthly!$B:$B,"&lt;="&amp;$B38)&gt;0,"NA",AVERAGEIFS(monthly!C:C,monthly!$A:$A,"&gt;="&amp;$A38,monthly!$B:$B,"&lt;="&amp;$B38))</f>
        <v>82.6</v>
      </c>
      <c r="L38">
        <f>IF(COUNTIFS(monthly!D:D,"",monthly!$A:$A,"&gt;="&amp;$A38,monthly!$B:$B,"&lt;="&amp;$B38)&gt;0,"NA",AVERAGEIFS(monthly!D:D,monthly!$A:$A,"&gt;="&amp;$A38,monthly!$B:$B,"&lt;="&amp;$B38))</f>
        <v>1.1308500000000001</v>
      </c>
      <c r="M38" t="str">
        <f>IF(COUNTIFS(monthly!E:E,"",monthly!$A:$A,"&gt;="&amp;$A38,monthly!$B:$B,"&lt;="&amp;$B38)&gt;0,"NA",AVERAGEIFS(monthly!E:E,monthly!$A:$A,"&gt;="&amp;$A38,monthly!$B:$B,"&lt;="&amp;$B38))</f>
        <v>NA</v>
      </c>
      <c r="N38" t="str">
        <f>IF(COUNTIFS(monthly!F:F,"",monthly!$A:$A,"&gt;="&amp;$A38,monthly!$B:$B,"&lt;="&amp;$B38)&gt;0,"NA",AVERAGEIFS(monthly!F:F,monthly!$A:$A,"&gt;="&amp;$A38,monthly!$B:$B,"&lt;="&amp;$B38))</f>
        <v>NA</v>
      </c>
      <c r="O38">
        <f>IF(COUNTIFS(monthly!G:G,"",monthly!$A:$A,"&gt;="&amp;$A38,monthly!$B:$B,"&lt;="&amp;$B38)&gt;0,"NA",AVERAGEIFS(monthly!G:G,monthly!$A:$A,"&gt;="&amp;$A38,monthly!$B:$B,"&lt;="&amp;$B38))</f>
        <v>23.5</v>
      </c>
      <c r="P38">
        <f>IF(COUNTIFS(monthly!H:H,"",monthly!$A:$A,"&gt;="&amp;$A38,monthly!$B:$B,"&lt;="&amp;$B38)&gt;0,"NA",AVERAGEIFS(monthly!H:H,monthly!$A:$A,"&gt;="&amp;$A38,monthly!$B:$B,"&lt;="&amp;$B38))</f>
        <v>30.2</v>
      </c>
      <c r="Q38">
        <f>IF(COUNTIFS(monthly!I:I,"",monthly!$A:$A,"&gt;="&amp;$A38,monthly!$B:$B,"&lt;="&amp;$B38)&gt;0,"NA",AVERAGEIFS(monthly!I:I,monthly!$A:$A,"&gt;="&amp;$A38,monthly!$B:$B,"&lt;="&amp;$B38))</f>
        <v>20.5</v>
      </c>
      <c r="R38">
        <f>IF(COUNTIFS(monthly!J:J,"",monthly!$A:$A,"&gt;="&amp;$A38,monthly!$B:$B,"&lt;="&amp;$B38)&gt;0,"NA",AVERAGEIFS(monthly!J:J,monthly!$A:$A,"&gt;="&amp;$A38,monthly!$B:$B,"&lt;="&amp;$B38))</f>
        <v>3.69</v>
      </c>
      <c r="S38">
        <f>IF(COUNTIFS(monthly!K:K,"",monthly!$A:$A,"&gt;="&amp;$A38,monthly!$B:$B,"&lt;="&amp;$B38)&gt;0,"NA",AVERAGEIFS(monthly!K:K,monthly!$A:$A,"&gt;="&amp;$A38,monthly!$B:$B,"&lt;="&amp;$B38))</f>
        <v>7.3125833333333325</v>
      </c>
      <c r="T38">
        <f>IF(COUNTIFS(monthly!L:L,"",monthly!$A:$A,"&gt;="&amp;$A38,monthly!$B:$B,"&lt;="&amp;$B38)&gt;0,"NA",AVERAGEIFS(monthly!L:L,monthly!$A:$A,"&gt;="&amp;$A38,monthly!$B:$B,"&lt;="&amp;$B38))</f>
        <v>10.064769585253456</v>
      </c>
      <c r="U38">
        <f>IF(COUNTIFS(monthly!M:M,"",monthly!$A:$A,"&gt;="&amp;$A38,monthly!$B:$B,"&lt;="&amp;$B38)&gt;0,"NA",AVERAGEIFS(monthly!M:M,monthly!$A:$A,"&gt;="&amp;$A38,monthly!$B:$B,"&lt;="&amp;$B38))</f>
        <v>-2.7521862519201243</v>
      </c>
      <c r="V38" t="str">
        <f>IF(COUNTIFS(monthly!N:N,"",monthly!$A:$A,"&gt;="&amp;$A38,monthly!$B:$B,"&lt;="&amp;$B38)&gt;0,"NA",AVERAGEIFS(monthly!N:N,monthly!$A:$A,"&gt;="&amp;$A38,monthly!$B:$B,"&lt;="&amp;$B38))</f>
        <v>NA</v>
      </c>
      <c r="W38">
        <f>IF(COUNTIFS(monthly!O:O,"",monthly!$A:$A,"&gt;="&amp;$A38,monthly!$B:$B,"&lt;="&amp;$B38)&gt;0,"NA",AVERAGEIFS(monthly!O:O,monthly!$A:$A,"&gt;="&amp;$A38,monthly!$B:$B,"&lt;="&amp;$B38))</f>
        <v>9.7883333333333304</v>
      </c>
      <c r="X38" t="str">
        <f>IF(COUNTIFS(monthly!P:P,"",monthly!$A:$A,"&gt;="&amp;$A38,monthly!$B:$B,"&lt;="&amp;$B38)&gt;0,"NA",AVERAGEIFS(monthly!P:P,monthly!$A:$A,"&gt;="&amp;$A38,monthly!$B:$B,"&lt;="&amp;$B38))</f>
        <v>NA</v>
      </c>
      <c r="Y38">
        <f>IF(COUNTIFS(monthly!Q:Q,"",monthly!$A:$A,"&gt;="&amp;$A38,monthly!$B:$B,"&lt;="&amp;$B38)&gt;0,"NA",AVERAGEIFS(monthly!Q:Q,monthly!$A:$A,"&gt;="&amp;$A38,monthly!$B:$B,"&lt;="&amp;$B38))</f>
        <v>8.9250000000000007</v>
      </c>
      <c r="Z38">
        <f>IF(COUNTIFS(monthly!R:R,"",monthly!$A:$A,"&gt;="&amp;$A38,monthly!$B:$B,"&lt;="&amp;$B38)&gt;0,"NA",AVERAGEIFS(monthly!R:R,monthly!$A:$A,"&gt;="&amp;$A38,monthly!$B:$B,"&lt;="&amp;$B38))</f>
        <v>9.0989393939393945</v>
      </c>
      <c r="AA38">
        <f>IF(COUNTIFS(monthly!S:S,"",monthly!$A:$A,"&gt;="&amp;$A38,monthly!$B:$B,"&lt;="&amp;$B38)&gt;0,"NA",AVERAGEIFS(monthly!S:S,monthly!$A:$A,"&gt;="&amp;$A38,monthly!$B:$B,"&lt;="&amp;$B38))</f>
        <v>-0.17393939393939473</v>
      </c>
      <c r="AB38" t="str">
        <f>IF(COUNTIFS(monthly!T:T,"",monthly!$A:$A,"&gt;="&amp;$A38,monthly!$B:$B,"&lt;="&amp;$B38)&gt;0,"NA",AVERAGEIFS(monthly!T:T,monthly!$A:$A,"&gt;="&amp;$A38,monthly!$B:$B,"&lt;="&amp;$B38))</f>
        <v>NA</v>
      </c>
      <c r="AC38" t="str">
        <f>IF(COUNTIFS(monthly!U:U,"",monthly!$A:$A,"&gt;="&amp;$A38,monthly!$B:$B,"&lt;="&amp;$B38)&gt;0,"NA",AVERAGEIFS(monthly!U:U,monthly!$A:$A,"&gt;="&amp;$A38,monthly!$B:$B,"&lt;="&amp;$B38))</f>
        <v>NA</v>
      </c>
      <c r="AD38" t="str">
        <f>IF(COUNTIFS(monthly!V:V,"",monthly!$A:$A,"&gt;="&amp;$A38,monthly!$B:$B,"&lt;="&amp;$B38)&gt;0,"NA",AVERAGEIFS(monthly!V:V,monthly!$A:$A,"&gt;="&amp;$A38,monthly!$B:$B,"&lt;="&amp;$B38))</f>
        <v>NA</v>
      </c>
      <c r="AE38" t="str">
        <f>IF(COUNTIFS(monthly!W:W,"",monthly!$A:$A,"&gt;="&amp;$A38,monthly!$B:$B,"&lt;="&amp;$B38)&gt;0,"NA",AVERAGEIFS(monthly!W:W,monthly!$A:$A,"&gt;="&amp;$A38,monthly!$B:$B,"&lt;="&amp;$B38))</f>
        <v>NA</v>
      </c>
      <c r="AF38" t="str">
        <f>IF(COUNTIFS(monthly!X:X,"",monthly!$A:$A,"&gt;="&amp;$A38,monthly!$B:$B,"&lt;="&amp;$B38)&gt;0,"NA",AVERAGEIFS(monthly!X:X,monthly!$A:$A,"&gt;="&amp;$A38,monthly!$B:$B,"&lt;="&amp;$B38))</f>
        <v>NA</v>
      </c>
      <c r="AG38" t="str">
        <f>IF(COUNTIFS(monthly!Y:Y,"",monthly!$A:$A,"&gt;="&amp;$A38,monthly!$B:$B,"&lt;="&amp;$B38)&gt;0,"NA",AVERAGEIFS(monthly!Y:Y,monthly!$A:$A,"&gt;="&amp;$A38,monthly!$B:$B,"&lt;="&amp;$B38))</f>
        <v>NA</v>
      </c>
      <c r="AH38" t="str">
        <f>IF(COUNTIFS(monthly!Z:Z,"",monthly!$A:$A,"&gt;="&amp;$A38,monthly!$B:$B,"&lt;="&amp;$B38)&gt;0,"NA",AVERAGEIFS(monthly!Z:Z,monthly!$A:$A,"&gt;="&amp;$A38,monthly!$B:$B,"&lt;="&amp;$B38))</f>
        <v>NA</v>
      </c>
    </row>
    <row r="39" spans="1:34" x14ac:dyDescent="0.2">
      <c r="A39" s="1">
        <v>28946</v>
      </c>
      <c r="B39" s="1">
        <v>29036</v>
      </c>
      <c r="C39">
        <f>IF(ISBLANK(VLOOKUP($A39,quarterly_data,MATCH(C$1,quarterly!$1:$1,FALSE),FALSE)),"NA",VLOOKUP($A39,quarterly_data,MATCH(C$1,quarterly!$1:$1,FALSE),FALSE))</f>
        <v>132.00638437030273</v>
      </c>
      <c r="D39">
        <f>IF(ISBLANK(VLOOKUP($A39,quarterly_data,MATCH(D$1,quarterly!$1:$1,FALSE),FALSE)),"NA",VLOOKUP($A39,quarterly_data,MATCH(D$1,quarterly!$1:$1,FALSE),FALSE))</f>
        <v>53.6</v>
      </c>
      <c r="E39">
        <f>IF(ISBLANK(VLOOKUP($A39,quarterly_data,MATCH(E$1,quarterly!$1:$1,FALSE),FALSE)),"NA",VLOOKUP($A39,quarterly_data,MATCH(E$1,quarterly!$1:$1,FALSE),FALSE))</f>
        <v>0</v>
      </c>
      <c r="F39">
        <f>IF(ISBLANK(VLOOKUP($A39,quarterly_data,MATCH(F$1,quarterly!$1:$1,FALSE),FALSE)),"NA",VLOOKUP($A39,quarterly_data,MATCH(F$1,quarterly!$1:$1,FALSE),FALSE))</f>
        <v>1.9015000000000001E-2</v>
      </c>
      <c r="G39">
        <f>IF(ISBLANK(VLOOKUP($A39,quarterly_data,MATCH(G$1,quarterly!$1:$1,FALSE),FALSE)),"NA",VLOOKUP($A39,quarterly_data,MATCH(G$1,quarterly!$1:$1,FALSE),FALSE))</f>
        <v>7246.4539999999997</v>
      </c>
      <c r="H39">
        <f>IF(ISBLANK(VLOOKUP($A39,quarterly_data,MATCH(H$1,quarterly!$1:$1,FALSE),FALSE)),"NA",VLOOKUP($A39,quarterly_data,MATCH(H$1,quarterly!$1:$1,FALSE),FALSE))</f>
        <v>176554</v>
      </c>
      <c r="I39" t="str">
        <f>IF(ISBLANK(VLOOKUP($A39,quarterly_data,MATCH(I$1,quarterly!$1:$1,FALSE),FALSE)),"NA",VLOOKUP($A39,quarterly_data,MATCH(I$1,quarterly!$1:$1,FALSE),FALSE))</f>
        <v>NA</v>
      </c>
      <c r="J39">
        <f>IF(ISBLANK(VLOOKUP($A39,quarterly_data,MATCH(J$1,quarterly!$1:$1,FALSE),FALSE)),"NA",VLOOKUP($A39,quarterly_data,MATCH(J$1,quarterly!$1:$1,FALSE),FALSE))</f>
        <v>16.39</v>
      </c>
      <c r="K39">
        <f>IF(COUNTIFS(monthly!C:C,"",monthly!$A:$A,"&gt;="&amp;$A39,monthly!$B:$B,"&lt;="&amp;$B39)&gt;0,"NA",AVERAGEIFS(monthly!C:C,monthly!$A:$A,"&gt;="&amp;$A39,monthly!$B:$B,"&lt;="&amp;$B39))</f>
        <v>82.999999999999986</v>
      </c>
      <c r="L39">
        <f>IF(COUNTIFS(monthly!D:D,"",monthly!$A:$A,"&gt;="&amp;$A39,monthly!$B:$B,"&lt;="&amp;$B39)&gt;0,"NA",AVERAGEIFS(monthly!D:D,monthly!$A:$A,"&gt;="&amp;$A39,monthly!$B:$B,"&lt;="&amp;$B39))</f>
        <v>1.1094333333333335</v>
      </c>
      <c r="M39" t="str">
        <f>IF(COUNTIFS(monthly!E:E,"",monthly!$A:$A,"&gt;="&amp;$A39,monthly!$B:$B,"&lt;="&amp;$B39)&gt;0,"NA",AVERAGEIFS(monthly!E:E,monthly!$A:$A,"&gt;="&amp;$A39,monthly!$B:$B,"&lt;="&amp;$B39))</f>
        <v>NA</v>
      </c>
      <c r="N39" t="str">
        <f>IF(COUNTIFS(monthly!F:F,"",monthly!$A:$A,"&gt;="&amp;$A39,monthly!$B:$B,"&lt;="&amp;$B39)&gt;0,"NA",AVERAGEIFS(monthly!F:F,monthly!$A:$A,"&gt;="&amp;$A39,monthly!$B:$B,"&lt;="&amp;$B39))</f>
        <v>NA</v>
      </c>
      <c r="O39">
        <f>IF(COUNTIFS(monthly!G:G,"",monthly!$A:$A,"&gt;="&amp;$A39,monthly!$B:$B,"&lt;="&amp;$B39)&gt;0,"NA",AVERAGEIFS(monthly!G:G,monthly!$A:$A,"&gt;="&amp;$A39,monthly!$B:$B,"&lt;="&amp;$B39))</f>
        <v>23.5</v>
      </c>
      <c r="P39">
        <f>IF(COUNTIFS(monthly!H:H,"",monthly!$A:$A,"&gt;="&amp;$A39,monthly!$B:$B,"&lt;="&amp;$B39)&gt;0,"NA",AVERAGEIFS(monthly!H:H,monthly!$A:$A,"&gt;="&amp;$A39,monthly!$B:$B,"&lt;="&amp;$B39))</f>
        <v>30.2</v>
      </c>
      <c r="Q39">
        <f>IF(COUNTIFS(monthly!I:I,"",monthly!$A:$A,"&gt;="&amp;$A39,monthly!$B:$B,"&lt;="&amp;$B39)&gt;0,"NA",AVERAGEIFS(monthly!I:I,monthly!$A:$A,"&gt;="&amp;$A39,monthly!$B:$B,"&lt;="&amp;$B39))</f>
        <v>30.966666666666669</v>
      </c>
      <c r="R39">
        <f>IF(COUNTIFS(monthly!J:J,"",monthly!$A:$A,"&gt;="&amp;$A39,monthly!$B:$B,"&lt;="&amp;$B39)&gt;0,"NA",AVERAGEIFS(monthly!J:J,monthly!$A:$A,"&gt;="&amp;$A39,monthly!$B:$B,"&lt;="&amp;$B39))</f>
        <v>3.69</v>
      </c>
      <c r="S39">
        <f>IF(COUNTIFS(monthly!K:K,"",monthly!$A:$A,"&gt;="&amp;$A39,monthly!$B:$B,"&lt;="&amp;$B39)&gt;0,"NA",AVERAGEIFS(monthly!K:K,monthly!$A:$A,"&gt;="&amp;$A39,monthly!$B:$B,"&lt;="&amp;$B39))</f>
        <v>7.8296560846560839</v>
      </c>
      <c r="T39">
        <f>IF(COUNTIFS(monthly!L:L,"",monthly!$A:$A,"&gt;="&amp;$A39,monthly!$B:$B,"&lt;="&amp;$B39)&gt;0,"NA",AVERAGEIFS(monthly!L:L,monthly!$A:$A,"&gt;="&amp;$A39,monthly!$B:$B,"&lt;="&amp;$B39))</f>
        <v>10.181311827956991</v>
      </c>
      <c r="U39">
        <f>IF(COUNTIFS(monthly!M:M,"",monthly!$A:$A,"&gt;="&amp;$A39,monthly!$B:$B,"&lt;="&amp;$B39)&gt;0,"NA",AVERAGEIFS(monthly!M:M,monthly!$A:$A,"&gt;="&amp;$A39,monthly!$B:$B,"&lt;="&amp;$B39))</f>
        <v>-2.351655743300908</v>
      </c>
      <c r="V39" t="str">
        <f>IF(COUNTIFS(monthly!N:N,"",monthly!$A:$A,"&gt;="&amp;$A39,monthly!$B:$B,"&lt;="&amp;$B39)&gt;0,"NA",AVERAGEIFS(monthly!N:N,monthly!$A:$A,"&gt;="&amp;$A39,monthly!$B:$B,"&lt;="&amp;$B39))</f>
        <v>NA</v>
      </c>
      <c r="W39">
        <f>IF(COUNTIFS(monthly!O:O,"",monthly!$A:$A,"&gt;="&amp;$A39,monthly!$B:$B,"&lt;="&amp;$B39)&gt;0,"NA",AVERAGEIFS(monthly!O:O,monthly!$A:$A,"&gt;="&amp;$A39,monthly!$B:$B,"&lt;="&amp;$B39))</f>
        <v>9.5942619047619058</v>
      </c>
      <c r="X39" t="str">
        <f>IF(COUNTIFS(monthly!P:P,"",monthly!$A:$A,"&gt;="&amp;$A39,monthly!$B:$B,"&lt;="&amp;$B39)&gt;0,"NA",AVERAGEIFS(monthly!P:P,monthly!$A:$A,"&gt;="&amp;$A39,monthly!$B:$B,"&lt;="&amp;$B39))</f>
        <v>NA</v>
      </c>
      <c r="Y39">
        <f>IF(COUNTIFS(monthly!Q:Q,"",monthly!$A:$A,"&gt;="&amp;$A39,monthly!$B:$B,"&lt;="&amp;$B39)&gt;0,"NA",AVERAGEIFS(monthly!Q:Q,monthly!$A:$A,"&gt;="&amp;$A39,monthly!$B:$B,"&lt;="&amp;$B39))</f>
        <v>9.7833333333333332</v>
      </c>
      <c r="Z39">
        <f>IF(COUNTIFS(monthly!R:R,"",monthly!$A:$A,"&gt;="&amp;$A39,monthly!$B:$B,"&lt;="&amp;$B39)&gt;0,"NA",AVERAGEIFS(monthly!R:R,monthly!$A:$A,"&gt;="&amp;$A39,monthly!$B:$B,"&lt;="&amp;$B39))</f>
        <v>9.1160634920634909</v>
      </c>
      <c r="AA39">
        <f>IF(COUNTIFS(monthly!S:S,"",monthly!$A:$A,"&gt;="&amp;$A39,monthly!$B:$B,"&lt;="&amp;$B39)&gt;0,"NA",AVERAGEIFS(monthly!S:S,monthly!$A:$A,"&gt;="&amp;$A39,monthly!$B:$B,"&lt;="&amp;$B39))</f>
        <v>0.66726984126984112</v>
      </c>
      <c r="AB39" t="str">
        <f>IF(COUNTIFS(monthly!T:T,"",monthly!$A:$A,"&gt;="&amp;$A39,monthly!$B:$B,"&lt;="&amp;$B39)&gt;0,"NA",AVERAGEIFS(monthly!T:T,monthly!$A:$A,"&gt;="&amp;$A39,monthly!$B:$B,"&lt;="&amp;$B39))</f>
        <v>NA</v>
      </c>
      <c r="AC39" t="str">
        <f>IF(COUNTIFS(monthly!U:U,"",monthly!$A:$A,"&gt;="&amp;$A39,monthly!$B:$B,"&lt;="&amp;$B39)&gt;0,"NA",AVERAGEIFS(monthly!U:U,monthly!$A:$A,"&gt;="&amp;$A39,monthly!$B:$B,"&lt;="&amp;$B39))</f>
        <v>NA</v>
      </c>
      <c r="AD39" t="str">
        <f>IF(COUNTIFS(monthly!V:V,"",monthly!$A:$A,"&gt;="&amp;$A39,monthly!$B:$B,"&lt;="&amp;$B39)&gt;0,"NA",AVERAGEIFS(monthly!V:V,monthly!$A:$A,"&gt;="&amp;$A39,monthly!$B:$B,"&lt;="&amp;$B39))</f>
        <v>NA</v>
      </c>
      <c r="AE39" t="str">
        <f>IF(COUNTIFS(monthly!W:W,"",monthly!$A:$A,"&gt;="&amp;$A39,monthly!$B:$B,"&lt;="&amp;$B39)&gt;0,"NA",AVERAGEIFS(monthly!W:W,monthly!$A:$A,"&gt;="&amp;$A39,monthly!$B:$B,"&lt;="&amp;$B39))</f>
        <v>NA</v>
      </c>
      <c r="AF39" t="str">
        <f>IF(COUNTIFS(monthly!X:X,"",monthly!$A:$A,"&gt;="&amp;$A39,monthly!$B:$B,"&lt;="&amp;$B39)&gt;0,"NA",AVERAGEIFS(monthly!X:X,monthly!$A:$A,"&gt;="&amp;$A39,monthly!$B:$B,"&lt;="&amp;$B39))</f>
        <v>NA</v>
      </c>
      <c r="AG39" t="str">
        <f>IF(COUNTIFS(monthly!Y:Y,"",monthly!$A:$A,"&gt;="&amp;$A39,monthly!$B:$B,"&lt;="&amp;$B39)&gt;0,"NA",AVERAGEIFS(monthly!Y:Y,monthly!$A:$A,"&gt;="&amp;$A39,monthly!$B:$B,"&lt;="&amp;$B39))</f>
        <v>NA</v>
      </c>
      <c r="AH39" t="str">
        <f>IF(COUNTIFS(monthly!Z:Z,"",monthly!$A:$A,"&gt;="&amp;$A39,monthly!$B:$B,"&lt;="&amp;$B39)&gt;0,"NA",AVERAGEIFS(monthly!Z:Z,monthly!$A:$A,"&gt;="&amp;$A39,monthly!$B:$B,"&lt;="&amp;$B39))</f>
        <v>NA</v>
      </c>
    </row>
    <row r="40" spans="1:34" x14ac:dyDescent="0.2">
      <c r="A40" s="1">
        <v>29037</v>
      </c>
      <c r="B40" s="1">
        <v>29128</v>
      </c>
      <c r="C40">
        <f>IF(ISBLANK(VLOOKUP($A40,quarterly_data,MATCH(C$1,quarterly!$1:$1,FALSE),FALSE)),"NA",VLOOKUP($A40,quarterly_data,MATCH(C$1,quarterly!$1:$1,FALSE),FALSE))</f>
        <v>133.58256269636576</v>
      </c>
      <c r="D40">
        <f>IF(ISBLANK(VLOOKUP($A40,quarterly_data,MATCH(D$1,quarterly!$1:$1,FALSE),FALSE)),"NA",VLOOKUP($A40,quarterly_data,MATCH(D$1,quarterly!$1:$1,FALSE),FALSE))</f>
        <v>53.6</v>
      </c>
      <c r="E40">
        <f>IF(ISBLANK(VLOOKUP($A40,quarterly_data,MATCH(E$1,quarterly!$1:$1,FALSE),FALSE)),"NA",VLOOKUP($A40,quarterly_data,MATCH(E$1,quarterly!$1:$1,FALSE),FALSE))</f>
        <v>0.18325089999999999</v>
      </c>
      <c r="F40">
        <f>IF(ISBLANK(VLOOKUP($A40,quarterly_data,MATCH(F$1,quarterly!$1:$1,FALSE),FALSE)),"NA",VLOOKUP($A40,quarterly_data,MATCH(F$1,quarterly!$1:$1,FALSE),FALSE))</f>
        <v>4.2988499999999999E-2</v>
      </c>
      <c r="G40">
        <f>IF(ISBLANK(VLOOKUP($A40,quarterly_data,MATCH(G$1,quarterly!$1:$1,FALSE),FALSE)),"NA",VLOOKUP($A40,quarterly_data,MATCH(G$1,quarterly!$1:$1,FALSE),FALSE))</f>
        <v>7300.2809999999999</v>
      </c>
      <c r="H40">
        <f>IF(ISBLANK(VLOOKUP($A40,quarterly_data,MATCH(H$1,quarterly!$1:$1,FALSE),FALSE)),"NA",VLOOKUP($A40,quarterly_data,MATCH(H$1,quarterly!$1:$1,FALSE),FALSE))</f>
        <v>178192</v>
      </c>
      <c r="I40" t="str">
        <f>IF(ISBLANK(VLOOKUP($A40,quarterly_data,MATCH(I$1,quarterly!$1:$1,FALSE),FALSE)),"NA",VLOOKUP($A40,quarterly_data,MATCH(I$1,quarterly!$1:$1,FALSE),FALSE))</f>
        <v>NA</v>
      </c>
      <c r="J40">
        <f>IF(ISBLANK(VLOOKUP($A40,quarterly_data,MATCH(J$1,quarterly!$1:$1,FALSE),FALSE)),"NA",VLOOKUP($A40,quarterly_data,MATCH(J$1,quarterly!$1:$1,FALSE),FALSE))</f>
        <v>16.78</v>
      </c>
      <c r="K40">
        <f>IF(COUNTIFS(monthly!C:C,"",monthly!$A:$A,"&gt;="&amp;$A40,monthly!$B:$B,"&lt;="&amp;$B40)&gt;0,"NA",AVERAGEIFS(monthly!C:C,monthly!$A:$A,"&gt;="&amp;$A40,monthly!$B:$B,"&lt;="&amp;$B40))</f>
        <v>83.433333333333337</v>
      </c>
      <c r="L40">
        <f>IF(COUNTIFS(monthly!D:D,"",monthly!$A:$A,"&gt;="&amp;$A40,monthly!$B:$B,"&lt;="&amp;$B40)&gt;0,"NA",AVERAGEIFS(monthly!D:D,monthly!$A:$A,"&gt;="&amp;$A40,monthly!$B:$B,"&lt;="&amp;$B40))</f>
        <v>1.1294666666666668</v>
      </c>
      <c r="M40" t="str">
        <f>IF(COUNTIFS(monthly!E:E,"",monthly!$A:$A,"&gt;="&amp;$A40,monthly!$B:$B,"&lt;="&amp;$B40)&gt;0,"NA",AVERAGEIFS(monthly!E:E,monthly!$A:$A,"&gt;="&amp;$A40,monthly!$B:$B,"&lt;="&amp;$B40))</f>
        <v>NA</v>
      </c>
      <c r="N40" t="str">
        <f>IF(COUNTIFS(monthly!F:F,"",monthly!$A:$A,"&gt;="&amp;$A40,monthly!$B:$B,"&lt;="&amp;$B40)&gt;0,"NA",AVERAGEIFS(monthly!F:F,monthly!$A:$A,"&gt;="&amp;$A40,monthly!$B:$B,"&lt;="&amp;$B40))</f>
        <v>NA</v>
      </c>
      <c r="O40">
        <f>IF(COUNTIFS(monthly!G:G,"",monthly!$A:$A,"&gt;="&amp;$A40,monthly!$B:$B,"&lt;="&amp;$B40)&gt;0,"NA",AVERAGEIFS(monthly!G:G,monthly!$A:$A,"&gt;="&amp;$A40,monthly!$B:$B,"&lt;="&amp;$B40))</f>
        <v>23.5</v>
      </c>
      <c r="P40">
        <f>IF(COUNTIFS(monthly!H:H,"",monthly!$A:$A,"&gt;="&amp;$A40,monthly!$B:$B,"&lt;="&amp;$B40)&gt;0,"NA",AVERAGEIFS(monthly!H:H,monthly!$A:$A,"&gt;="&amp;$A40,monthly!$B:$B,"&lt;="&amp;$B40))</f>
        <v>30.933333333333334</v>
      </c>
      <c r="Q40">
        <f>IF(COUNTIFS(monthly!I:I,"",monthly!$A:$A,"&gt;="&amp;$A40,monthly!$B:$B,"&lt;="&amp;$B40)&gt;0,"NA",AVERAGEIFS(monthly!I:I,monthly!$A:$A,"&gt;="&amp;$A40,monthly!$B:$B,"&lt;="&amp;$B40))</f>
        <v>35.766666666666666</v>
      </c>
      <c r="R40">
        <f>IF(COUNTIFS(monthly!J:J,"",monthly!$A:$A,"&gt;="&amp;$A40,monthly!$B:$B,"&lt;="&amp;$B40)&gt;0,"NA",AVERAGEIFS(monthly!J:J,monthly!$A:$A,"&gt;="&amp;$A40,monthly!$B:$B,"&lt;="&amp;$B40))</f>
        <v>3.69</v>
      </c>
      <c r="S40">
        <f>IF(COUNTIFS(monthly!K:K,"",monthly!$A:$A,"&gt;="&amp;$A40,monthly!$B:$B,"&lt;="&amp;$B40)&gt;0,"NA",AVERAGEIFS(monthly!K:K,monthly!$A:$A,"&gt;="&amp;$A40,monthly!$B:$B,"&lt;="&amp;$B40))</f>
        <v>8.6646640316205534</v>
      </c>
      <c r="T40">
        <f>IF(COUNTIFS(monthly!L:L,"",monthly!$A:$A,"&gt;="&amp;$A40,monthly!$B:$B,"&lt;="&amp;$B40)&gt;0,"NA",AVERAGEIFS(monthly!L:L,monthly!$A:$A,"&gt;="&amp;$A40,monthly!$B:$B,"&lt;="&amp;$B40))</f>
        <v>10.945358422939071</v>
      </c>
      <c r="U40">
        <f>IF(COUNTIFS(monthly!M:M,"",monthly!$A:$A,"&gt;="&amp;$A40,monthly!$B:$B,"&lt;="&amp;$B40)&gt;0,"NA",AVERAGEIFS(monthly!M:M,monthly!$A:$A,"&gt;="&amp;$A40,monthly!$B:$B,"&lt;="&amp;$B40))</f>
        <v>-2.2806943913185163</v>
      </c>
      <c r="V40" t="str">
        <f>IF(COUNTIFS(monthly!N:N,"",monthly!$A:$A,"&gt;="&amp;$A40,monthly!$B:$B,"&lt;="&amp;$B40)&gt;0,"NA",AVERAGEIFS(monthly!N:N,monthly!$A:$A,"&gt;="&amp;$A40,monthly!$B:$B,"&lt;="&amp;$B40))</f>
        <v>NA</v>
      </c>
      <c r="W40">
        <f>IF(COUNTIFS(monthly!O:O,"",monthly!$A:$A,"&gt;="&amp;$A40,monthly!$B:$B,"&lt;="&amp;$B40)&gt;0,"NA",AVERAGEIFS(monthly!O:O,monthly!$A:$A,"&gt;="&amp;$A40,monthly!$B:$B,"&lt;="&amp;$B40))</f>
        <v>9.5508768297555466</v>
      </c>
      <c r="X40" t="str">
        <f>IF(COUNTIFS(monthly!P:P,"",monthly!$A:$A,"&gt;="&amp;$A40,monthly!$B:$B,"&lt;="&amp;$B40)&gt;0,"NA",AVERAGEIFS(monthly!P:P,monthly!$A:$A,"&gt;="&amp;$A40,monthly!$B:$B,"&lt;="&amp;$B40))</f>
        <v>NA</v>
      </c>
      <c r="Y40">
        <f>IF(COUNTIFS(monthly!Q:Q,"",monthly!$A:$A,"&gt;="&amp;$A40,monthly!$B:$B,"&lt;="&amp;$B40)&gt;0,"NA",AVERAGEIFS(monthly!Q:Q,monthly!$A:$A,"&gt;="&amp;$A40,monthly!$B:$B,"&lt;="&amp;$B40))</f>
        <v>10.07</v>
      </c>
      <c r="Z40">
        <f>IF(COUNTIFS(monthly!R:R,"",monthly!$A:$A,"&gt;="&amp;$A40,monthly!$B:$B,"&lt;="&amp;$B40)&gt;0,"NA",AVERAGEIFS(monthly!R:R,monthly!$A:$A,"&gt;="&amp;$A40,monthly!$B:$B,"&lt;="&amp;$B40))</f>
        <v>9.1047673531655224</v>
      </c>
      <c r="AA40">
        <f>IF(COUNTIFS(monthly!S:S,"",monthly!$A:$A,"&gt;="&amp;$A40,monthly!$B:$B,"&lt;="&amp;$B40)&gt;0,"NA",AVERAGEIFS(monthly!S:S,monthly!$A:$A,"&gt;="&amp;$A40,monthly!$B:$B,"&lt;="&amp;$B40))</f>
        <v>0.96523264683447663</v>
      </c>
      <c r="AB40" t="str">
        <f>IF(COUNTIFS(monthly!T:T,"",monthly!$A:$A,"&gt;="&amp;$A40,monthly!$B:$B,"&lt;="&amp;$B40)&gt;0,"NA",AVERAGEIFS(monthly!T:T,monthly!$A:$A,"&gt;="&amp;$A40,monthly!$B:$B,"&lt;="&amp;$B40))</f>
        <v>NA</v>
      </c>
      <c r="AC40" t="str">
        <f>IF(COUNTIFS(monthly!U:U,"",monthly!$A:$A,"&gt;="&amp;$A40,monthly!$B:$B,"&lt;="&amp;$B40)&gt;0,"NA",AVERAGEIFS(monthly!U:U,monthly!$A:$A,"&gt;="&amp;$A40,monthly!$B:$B,"&lt;="&amp;$B40))</f>
        <v>NA</v>
      </c>
      <c r="AD40" t="str">
        <f>IF(COUNTIFS(monthly!V:V,"",monthly!$A:$A,"&gt;="&amp;$A40,monthly!$B:$B,"&lt;="&amp;$B40)&gt;0,"NA",AVERAGEIFS(monthly!V:V,monthly!$A:$A,"&gt;="&amp;$A40,monthly!$B:$B,"&lt;="&amp;$B40))</f>
        <v>NA</v>
      </c>
      <c r="AE40" t="str">
        <f>IF(COUNTIFS(monthly!W:W,"",monthly!$A:$A,"&gt;="&amp;$A40,monthly!$B:$B,"&lt;="&amp;$B40)&gt;0,"NA",AVERAGEIFS(monthly!W:W,monthly!$A:$A,"&gt;="&amp;$A40,monthly!$B:$B,"&lt;="&amp;$B40))</f>
        <v>NA</v>
      </c>
      <c r="AF40" t="str">
        <f>IF(COUNTIFS(monthly!X:X,"",monthly!$A:$A,"&gt;="&amp;$A40,monthly!$B:$B,"&lt;="&amp;$B40)&gt;0,"NA",AVERAGEIFS(monthly!X:X,monthly!$A:$A,"&gt;="&amp;$A40,monthly!$B:$B,"&lt;="&amp;$B40))</f>
        <v>NA</v>
      </c>
      <c r="AG40" t="str">
        <f>IF(COUNTIFS(monthly!Y:Y,"",monthly!$A:$A,"&gt;="&amp;$A40,monthly!$B:$B,"&lt;="&amp;$B40)&gt;0,"NA",AVERAGEIFS(monthly!Y:Y,monthly!$A:$A,"&gt;="&amp;$A40,monthly!$B:$B,"&lt;="&amp;$B40))</f>
        <v>NA</v>
      </c>
      <c r="AH40" t="str">
        <f>IF(COUNTIFS(monthly!Z:Z,"",monthly!$A:$A,"&gt;="&amp;$A40,monthly!$B:$B,"&lt;="&amp;$B40)&gt;0,"NA",AVERAGEIFS(monthly!Z:Z,monthly!$A:$A,"&gt;="&amp;$A40,monthly!$B:$B,"&lt;="&amp;$B40))</f>
        <v>NA</v>
      </c>
    </row>
    <row r="41" spans="1:34" x14ac:dyDescent="0.2">
      <c r="A41" s="1">
        <v>29129</v>
      </c>
      <c r="B41" s="1">
        <v>29219</v>
      </c>
      <c r="C41">
        <f>IF(ISBLANK(VLOOKUP($A41,quarterly_data,MATCH(C$1,quarterly!$1:$1,FALSE),FALSE)),"NA",VLOOKUP($A41,quarterly_data,MATCH(C$1,quarterly!$1:$1,FALSE),FALSE))</f>
        <v>133.52393635734404</v>
      </c>
      <c r="D41">
        <f>IF(ISBLANK(VLOOKUP($A41,quarterly_data,MATCH(D$1,quarterly!$1:$1,FALSE),FALSE)),"NA",VLOOKUP($A41,quarterly_data,MATCH(D$1,quarterly!$1:$1,FALSE),FALSE))</f>
        <v>54.2</v>
      </c>
      <c r="E41">
        <f>IF(ISBLANK(VLOOKUP($A41,quarterly_data,MATCH(E$1,quarterly!$1:$1,FALSE),FALSE)),"NA",VLOOKUP($A41,quarterly_data,MATCH(E$1,quarterly!$1:$1,FALSE),FALSE))</f>
        <v>0.25268479999999999</v>
      </c>
      <c r="F41">
        <f>IF(ISBLANK(VLOOKUP($A41,quarterly_data,MATCH(F$1,quarterly!$1:$1,FALSE),FALSE)),"NA",VLOOKUP($A41,quarterly_data,MATCH(F$1,quarterly!$1:$1,FALSE),FALSE))</f>
        <v>6.8862000000000007E-2</v>
      </c>
      <c r="G41">
        <f>IF(ISBLANK(VLOOKUP($A41,quarterly_data,MATCH(G$1,quarterly!$1:$1,FALSE),FALSE)),"NA",VLOOKUP($A41,quarterly_data,MATCH(G$1,quarterly!$1:$1,FALSE),FALSE))</f>
        <v>7318.5349999999999</v>
      </c>
      <c r="H41">
        <f>IF(ISBLANK(VLOOKUP($A41,quarterly_data,MATCH(H$1,quarterly!$1:$1,FALSE),FALSE)),"NA",VLOOKUP($A41,quarterly_data,MATCH(H$1,quarterly!$1:$1,FALSE),FALSE))</f>
        <v>181615</v>
      </c>
      <c r="I41" t="str">
        <f>IF(ISBLANK(VLOOKUP($A41,quarterly_data,MATCH(I$1,quarterly!$1:$1,FALSE),FALSE)),"NA",VLOOKUP($A41,quarterly_data,MATCH(I$1,quarterly!$1:$1,FALSE),FALSE))</f>
        <v>NA</v>
      </c>
      <c r="J41">
        <f>IF(ISBLANK(VLOOKUP($A41,quarterly_data,MATCH(J$1,quarterly!$1:$1,FALSE),FALSE)),"NA",VLOOKUP($A41,quarterly_data,MATCH(J$1,quarterly!$1:$1,FALSE),FALSE))</f>
        <v>17.28</v>
      </c>
      <c r="K41">
        <f>IF(COUNTIFS(monthly!C:C,"",monthly!$A:$A,"&gt;="&amp;$A41,monthly!$B:$B,"&lt;="&amp;$B41)&gt;0,"NA",AVERAGEIFS(monthly!C:C,monthly!$A:$A,"&gt;="&amp;$A41,monthly!$B:$B,"&lt;="&amp;$B41))</f>
        <v>83.699999999999989</v>
      </c>
      <c r="L41">
        <f>IF(COUNTIFS(monthly!D:D,"",monthly!$A:$A,"&gt;="&amp;$A41,monthly!$B:$B,"&lt;="&amp;$B41)&gt;0,"NA",AVERAGEIFS(monthly!D:D,monthly!$A:$A,"&gt;="&amp;$A41,monthly!$B:$B,"&lt;="&amp;$B41))</f>
        <v>1.0958000000000001</v>
      </c>
      <c r="M41" t="str">
        <f>IF(COUNTIFS(monthly!E:E,"",monthly!$A:$A,"&gt;="&amp;$A41,monthly!$B:$B,"&lt;="&amp;$B41)&gt;0,"NA",AVERAGEIFS(monthly!E:E,monthly!$A:$A,"&gt;="&amp;$A41,monthly!$B:$B,"&lt;="&amp;$B41))</f>
        <v>NA</v>
      </c>
      <c r="N41" t="str">
        <f>IF(COUNTIFS(monthly!F:F,"",monthly!$A:$A,"&gt;="&amp;$A41,monthly!$B:$B,"&lt;="&amp;$B41)&gt;0,"NA",AVERAGEIFS(monthly!F:F,monthly!$A:$A,"&gt;="&amp;$A41,monthly!$B:$B,"&lt;="&amp;$B41))</f>
        <v>NA</v>
      </c>
      <c r="O41">
        <f>IF(COUNTIFS(monthly!G:G,"",monthly!$A:$A,"&gt;="&amp;$A41,monthly!$B:$B,"&lt;="&amp;$B41)&gt;0,"NA",AVERAGEIFS(monthly!G:G,monthly!$A:$A,"&gt;="&amp;$A41,monthly!$B:$B,"&lt;="&amp;$B41))</f>
        <v>23.5</v>
      </c>
      <c r="P41">
        <f>IF(COUNTIFS(monthly!H:H,"",monthly!$A:$A,"&gt;="&amp;$A41,monthly!$B:$B,"&lt;="&amp;$B41)&gt;0,"NA",AVERAGEIFS(monthly!H:H,monthly!$A:$A,"&gt;="&amp;$A41,monthly!$B:$B,"&lt;="&amp;$B41))</f>
        <v>32.4</v>
      </c>
      <c r="Q41">
        <f>IF(COUNTIFS(monthly!I:I,"",monthly!$A:$A,"&gt;="&amp;$A41,monthly!$B:$B,"&lt;="&amp;$B41)&gt;0,"NA",AVERAGEIFS(monthly!I:I,monthly!$A:$A,"&gt;="&amp;$A41,monthly!$B:$B,"&lt;="&amp;$B41))</f>
        <v>40.25</v>
      </c>
      <c r="R41">
        <f>IF(COUNTIFS(monthly!J:J,"",monthly!$A:$A,"&gt;="&amp;$A41,monthly!$B:$B,"&lt;="&amp;$B41)&gt;0,"NA",AVERAGEIFS(monthly!J:J,monthly!$A:$A,"&gt;="&amp;$A41,monthly!$B:$B,"&lt;="&amp;$B41))</f>
        <v>3.69</v>
      </c>
      <c r="S41">
        <f>IF(COUNTIFS(monthly!K:K,"",monthly!$A:$A,"&gt;="&amp;$A41,monthly!$B:$B,"&lt;="&amp;$B41)&gt;0,"NA",AVERAGEIFS(monthly!K:K,monthly!$A:$A,"&gt;="&amp;$A41,monthly!$B:$B,"&lt;="&amp;$B41))</f>
        <v>8.1355237154150188</v>
      </c>
      <c r="T41">
        <f>IF(COUNTIFS(monthly!L:L,"",monthly!$A:$A,"&gt;="&amp;$A41,monthly!$B:$B,"&lt;="&amp;$B41)&gt;0,"NA",AVERAGEIFS(monthly!L:L,monthly!$A:$A,"&gt;="&amp;$A41,monthly!$B:$B,"&lt;="&amp;$B41))</f>
        <v>13.474521505376341</v>
      </c>
      <c r="U41">
        <f>IF(COUNTIFS(monthly!M:M,"",monthly!$A:$A,"&gt;="&amp;$A41,monthly!$B:$B,"&lt;="&amp;$B41)&gt;0,"NA",AVERAGEIFS(monthly!M:M,monthly!$A:$A,"&gt;="&amp;$A41,monthly!$B:$B,"&lt;="&amp;$B41))</f>
        <v>-5.3389977899613239</v>
      </c>
      <c r="V41" t="str">
        <f>IF(COUNTIFS(monthly!N:N,"",monthly!$A:$A,"&gt;="&amp;$A41,monthly!$B:$B,"&lt;="&amp;$B41)&gt;0,"NA",AVERAGEIFS(monthly!N:N,monthly!$A:$A,"&gt;="&amp;$A41,monthly!$B:$B,"&lt;="&amp;$B41))</f>
        <v>NA</v>
      </c>
      <c r="W41">
        <f>IF(COUNTIFS(monthly!O:O,"",monthly!$A:$A,"&gt;="&amp;$A41,monthly!$B:$B,"&lt;="&amp;$B41)&gt;0,"NA",AVERAGEIFS(monthly!O:O,monthly!$A:$A,"&gt;="&amp;$A41,monthly!$B:$B,"&lt;="&amp;$B41))</f>
        <v>11.648983253588518</v>
      </c>
      <c r="X41" t="str">
        <f>IF(COUNTIFS(monthly!P:P,"",monthly!$A:$A,"&gt;="&amp;$A41,monthly!$B:$B,"&lt;="&amp;$B41)&gt;0,"NA",AVERAGEIFS(monthly!P:P,monthly!$A:$A,"&gt;="&amp;$A41,monthly!$B:$B,"&lt;="&amp;$B41))</f>
        <v>NA</v>
      </c>
      <c r="Y41">
        <f>IF(COUNTIFS(monthly!Q:Q,"",monthly!$A:$A,"&gt;="&amp;$A41,monthly!$B:$B,"&lt;="&amp;$B41)&gt;0,"NA",AVERAGEIFS(monthly!Q:Q,monthly!$A:$A,"&gt;="&amp;$A41,monthly!$B:$B,"&lt;="&amp;$B41))</f>
        <v>10.074999999999999</v>
      </c>
      <c r="Z41">
        <f>IF(COUNTIFS(monthly!R:R,"",monthly!$A:$A,"&gt;="&amp;$A41,monthly!$B:$B,"&lt;="&amp;$B41)&gt;0,"NA",AVERAGEIFS(monthly!R:R,monthly!$A:$A,"&gt;="&amp;$A41,monthly!$B:$B,"&lt;="&amp;$B41))</f>
        <v>10.476124401913875</v>
      </c>
      <c r="AA41">
        <f>IF(COUNTIFS(monthly!S:S,"",monthly!$A:$A,"&gt;="&amp;$A41,monthly!$B:$B,"&lt;="&amp;$B41)&gt;0,"NA",AVERAGEIFS(monthly!S:S,monthly!$A:$A,"&gt;="&amp;$A41,monthly!$B:$B,"&lt;="&amp;$B41))</f>
        <v>-0.40112440191387577</v>
      </c>
      <c r="AB41" t="str">
        <f>IF(COUNTIFS(monthly!T:T,"",monthly!$A:$A,"&gt;="&amp;$A41,monthly!$B:$B,"&lt;="&amp;$B41)&gt;0,"NA",AVERAGEIFS(monthly!T:T,monthly!$A:$A,"&gt;="&amp;$A41,monthly!$B:$B,"&lt;="&amp;$B41))</f>
        <v>NA</v>
      </c>
      <c r="AC41" t="str">
        <f>IF(COUNTIFS(monthly!U:U,"",monthly!$A:$A,"&gt;="&amp;$A41,monthly!$B:$B,"&lt;="&amp;$B41)&gt;0,"NA",AVERAGEIFS(monthly!U:U,monthly!$A:$A,"&gt;="&amp;$A41,monthly!$B:$B,"&lt;="&amp;$B41))</f>
        <v>NA</v>
      </c>
      <c r="AD41" t="str">
        <f>IF(COUNTIFS(monthly!V:V,"",monthly!$A:$A,"&gt;="&amp;$A41,monthly!$B:$B,"&lt;="&amp;$B41)&gt;0,"NA",AVERAGEIFS(monthly!V:V,monthly!$A:$A,"&gt;="&amp;$A41,monthly!$B:$B,"&lt;="&amp;$B41))</f>
        <v>NA</v>
      </c>
      <c r="AE41" t="str">
        <f>IF(COUNTIFS(monthly!W:W,"",monthly!$A:$A,"&gt;="&amp;$A41,monthly!$B:$B,"&lt;="&amp;$B41)&gt;0,"NA",AVERAGEIFS(monthly!W:W,monthly!$A:$A,"&gt;="&amp;$A41,monthly!$B:$B,"&lt;="&amp;$B41))</f>
        <v>NA</v>
      </c>
      <c r="AF41" t="str">
        <f>IF(COUNTIFS(monthly!X:X,"",monthly!$A:$A,"&gt;="&amp;$A41,monthly!$B:$B,"&lt;="&amp;$B41)&gt;0,"NA",AVERAGEIFS(monthly!X:X,monthly!$A:$A,"&gt;="&amp;$A41,monthly!$B:$B,"&lt;="&amp;$B41))</f>
        <v>NA</v>
      </c>
      <c r="AG41" t="str">
        <f>IF(COUNTIFS(monthly!Y:Y,"",monthly!$A:$A,"&gt;="&amp;$A41,monthly!$B:$B,"&lt;="&amp;$B41)&gt;0,"NA",AVERAGEIFS(monthly!Y:Y,monthly!$A:$A,"&gt;="&amp;$A41,monthly!$B:$B,"&lt;="&amp;$B41))</f>
        <v>NA</v>
      </c>
      <c r="AH41" t="str">
        <f>IF(COUNTIFS(monthly!Z:Z,"",monthly!$A:$A,"&gt;="&amp;$A41,monthly!$B:$B,"&lt;="&amp;$B41)&gt;0,"NA",AVERAGEIFS(monthly!Z:Z,monthly!$A:$A,"&gt;="&amp;$A41,monthly!$B:$B,"&lt;="&amp;$B41))</f>
        <v>NA</v>
      </c>
    </row>
    <row r="42" spans="1:34" x14ac:dyDescent="0.2">
      <c r="A42" s="1">
        <v>29221</v>
      </c>
      <c r="B42" s="1">
        <v>29310</v>
      </c>
      <c r="C42">
        <f>IF(ISBLANK(VLOOKUP($A42,quarterly_data,MATCH(C$1,quarterly!$1:$1,FALSE),FALSE)),"NA",VLOOKUP($A42,quarterly_data,MATCH(C$1,quarterly!$1:$1,FALSE),FALSE))</f>
        <v>133.06898275119829</v>
      </c>
      <c r="D42">
        <f>IF(ISBLANK(VLOOKUP($A42,quarterly_data,MATCH(D$1,quarterly!$1:$1,FALSE),FALSE)),"NA",VLOOKUP($A42,quarterly_data,MATCH(D$1,quarterly!$1:$1,FALSE),FALSE))</f>
        <v>54.3</v>
      </c>
      <c r="E42">
        <f>IF(ISBLANK(VLOOKUP($A42,quarterly_data,MATCH(E$1,quarterly!$1:$1,FALSE),FALSE)),"NA",VLOOKUP($A42,quarterly_data,MATCH(E$1,quarterly!$1:$1,FALSE),FALSE))</f>
        <v>0.10927770000000001</v>
      </c>
      <c r="F42">
        <f>IF(ISBLANK(VLOOKUP($A42,quarterly_data,MATCH(F$1,quarterly!$1:$1,FALSE),FALSE)),"NA",VLOOKUP($A42,quarterly_data,MATCH(F$1,quarterly!$1:$1,FALSE),FALSE))</f>
        <v>5.3232399999999999E-2</v>
      </c>
      <c r="G42">
        <f>IF(ISBLANK(VLOOKUP($A42,quarterly_data,MATCH(G$1,quarterly!$1:$1,FALSE),FALSE)),"NA",VLOOKUP($A42,quarterly_data,MATCH(G$1,quarterly!$1:$1,FALSE),FALSE))</f>
        <v>7341.5569999999998</v>
      </c>
      <c r="H42">
        <f>IF(ISBLANK(VLOOKUP($A42,quarterly_data,MATCH(H$1,quarterly!$1:$1,FALSE),FALSE)),"NA",VLOOKUP($A42,quarterly_data,MATCH(H$1,quarterly!$1:$1,FALSE),FALSE))</f>
        <v>182487</v>
      </c>
      <c r="I42" t="str">
        <f>IF(ISBLANK(VLOOKUP($A42,quarterly_data,MATCH(I$1,quarterly!$1:$1,FALSE),FALSE)),"NA",VLOOKUP($A42,quarterly_data,MATCH(I$1,quarterly!$1:$1,FALSE),FALSE))</f>
        <v>NA</v>
      </c>
      <c r="J42">
        <f>IF(ISBLANK(VLOOKUP($A42,quarterly_data,MATCH(J$1,quarterly!$1:$1,FALSE),FALSE)),"NA",VLOOKUP($A42,quarterly_data,MATCH(J$1,quarterly!$1:$1,FALSE),FALSE))</f>
        <v>17.670000000000002</v>
      </c>
      <c r="K42">
        <f>IF(COUNTIFS(monthly!C:C,"",monthly!$A:$A,"&gt;="&amp;$A42,monthly!$B:$B,"&lt;="&amp;$B42)&gt;0,"NA",AVERAGEIFS(monthly!C:C,monthly!$A:$A,"&gt;="&amp;$A42,monthly!$B:$B,"&lt;="&amp;$B42))</f>
        <v>83.35</v>
      </c>
      <c r="L42">
        <f>IF(COUNTIFS(monthly!D:D,"",monthly!$A:$A,"&gt;="&amp;$A42,monthly!$B:$B,"&lt;="&amp;$B42)&gt;0,"NA",AVERAGEIFS(monthly!D:D,monthly!$A:$A,"&gt;="&amp;$A42,monthly!$B:$B,"&lt;="&amp;$B42))</f>
        <v>1.1028</v>
      </c>
      <c r="M42" t="str">
        <f>IF(COUNTIFS(monthly!E:E,"",monthly!$A:$A,"&gt;="&amp;$A42,monthly!$B:$B,"&lt;="&amp;$B42)&gt;0,"NA",AVERAGEIFS(monthly!E:E,monthly!$A:$A,"&gt;="&amp;$A42,monthly!$B:$B,"&lt;="&amp;$B42))</f>
        <v>NA</v>
      </c>
      <c r="N42" t="str">
        <f>IF(COUNTIFS(monthly!F:F,"",monthly!$A:$A,"&gt;="&amp;$A42,monthly!$B:$B,"&lt;="&amp;$B42)&gt;0,"NA",AVERAGEIFS(monthly!F:F,monthly!$A:$A,"&gt;="&amp;$A42,monthly!$B:$B,"&lt;="&amp;$B42))</f>
        <v>NA</v>
      </c>
      <c r="O42">
        <f>IF(COUNTIFS(monthly!G:G,"",monthly!$A:$A,"&gt;="&amp;$A42,monthly!$B:$B,"&lt;="&amp;$B42)&gt;0,"NA",AVERAGEIFS(monthly!G:G,monthly!$A:$A,"&gt;="&amp;$A42,monthly!$B:$B,"&lt;="&amp;$B42))</f>
        <v>28.1</v>
      </c>
      <c r="P42">
        <f>IF(COUNTIFS(monthly!H:H,"",monthly!$A:$A,"&gt;="&amp;$A42,monthly!$B:$B,"&lt;="&amp;$B42)&gt;0,"NA",AVERAGEIFS(monthly!H:H,monthly!$A:$A,"&gt;="&amp;$A42,monthly!$B:$B,"&lt;="&amp;$B42))</f>
        <v>32.4</v>
      </c>
      <c r="Q42">
        <f>IF(COUNTIFS(monthly!I:I,"",monthly!$A:$A,"&gt;="&amp;$A42,monthly!$B:$B,"&lt;="&amp;$B42)&gt;0,"NA",AVERAGEIFS(monthly!I:I,monthly!$A:$A,"&gt;="&amp;$A42,monthly!$B:$B,"&lt;="&amp;$B42))</f>
        <v>39.25</v>
      </c>
      <c r="R42">
        <f>IF(COUNTIFS(monthly!J:J,"",monthly!$A:$A,"&gt;="&amp;$A42,monthly!$B:$B,"&lt;="&amp;$B42)&gt;0,"NA",AVERAGEIFS(monthly!J:J,monthly!$A:$A,"&gt;="&amp;$A42,monthly!$B:$B,"&lt;="&amp;$B42))</f>
        <v>5.7</v>
      </c>
      <c r="S42">
        <f>IF(COUNTIFS(monthly!K:K,"",monthly!$A:$A,"&gt;="&amp;$A42,monthly!$B:$B,"&lt;="&amp;$B42)&gt;0,"NA",AVERAGEIFS(monthly!K:K,monthly!$A:$A,"&gt;="&amp;$A42,monthly!$B:$B,"&lt;="&amp;$B42))</f>
        <v>8.1757142857142853</v>
      </c>
      <c r="T42">
        <f>IF(COUNTIFS(monthly!L:L,"",monthly!$A:$A,"&gt;="&amp;$A42,monthly!$B:$B,"&lt;="&amp;$B42)&gt;0,"NA",AVERAGEIFS(monthly!L:L,monthly!$A:$A,"&gt;="&amp;$A42,monthly!$B:$B,"&lt;="&amp;$B42))</f>
        <v>13.971490545050052</v>
      </c>
      <c r="U42">
        <f>IF(COUNTIFS(monthly!M:M,"",monthly!$A:$A,"&gt;="&amp;$A42,monthly!$B:$B,"&lt;="&amp;$B42)&gt;0,"NA",AVERAGEIFS(monthly!M:M,monthly!$A:$A,"&gt;="&amp;$A42,monthly!$B:$B,"&lt;="&amp;$B42))</f>
        <v>-5.795776259335768</v>
      </c>
      <c r="V42" t="str">
        <f>IF(COUNTIFS(monthly!N:N,"",monthly!$A:$A,"&gt;="&amp;$A42,monthly!$B:$B,"&lt;="&amp;$B42)&gt;0,"NA",AVERAGEIFS(monthly!N:N,monthly!$A:$A,"&gt;="&amp;$A42,monthly!$B:$B,"&lt;="&amp;$B42))</f>
        <v>NA</v>
      </c>
      <c r="W42">
        <f>IF(COUNTIFS(monthly!O:O,"",monthly!$A:$A,"&gt;="&amp;$A42,monthly!$B:$B,"&lt;="&amp;$B42)&gt;0,"NA",AVERAGEIFS(monthly!O:O,monthly!$A:$A,"&gt;="&amp;$A42,monthly!$B:$B,"&lt;="&amp;$B42))</f>
        <v>12.458301435406698</v>
      </c>
      <c r="X42" t="str">
        <f>IF(COUNTIFS(monthly!P:P,"",monthly!$A:$A,"&gt;="&amp;$A42,monthly!$B:$B,"&lt;="&amp;$B42)&gt;0,"NA",AVERAGEIFS(monthly!P:P,monthly!$A:$A,"&gt;="&amp;$A42,monthly!$B:$B,"&lt;="&amp;$B42))</f>
        <v>NA</v>
      </c>
      <c r="Y42">
        <f>IF(COUNTIFS(monthly!Q:Q,"",monthly!$A:$A,"&gt;="&amp;$A42,monthly!$B:$B,"&lt;="&amp;$B42)&gt;0,"NA",AVERAGEIFS(monthly!Q:Q,monthly!$A:$A,"&gt;="&amp;$A42,monthly!$B:$B,"&lt;="&amp;$B42))</f>
        <v>10.5</v>
      </c>
      <c r="Z42">
        <f>IF(COUNTIFS(monthly!R:R,"",monthly!$A:$A,"&gt;="&amp;$A42,monthly!$B:$B,"&lt;="&amp;$B42)&gt;0,"NA",AVERAGEIFS(monthly!R:R,monthly!$A:$A,"&gt;="&amp;$A42,monthly!$B:$B,"&lt;="&amp;$B42))</f>
        <v>11.608504784688996</v>
      </c>
      <c r="AA42">
        <f>IF(COUNTIFS(monthly!S:S,"",monthly!$A:$A,"&gt;="&amp;$A42,monthly!$B:$B,"&lt;="&amp;$B42)&gt;0,"NA",AVERAGEIFS(monthly!S:S,monthly!$A:$A,"&gt;="&amp;$A42,monthly!$B:$B,"&lt;="&amp;$B42))</f>
        <v>-1.1085047846889955</v>
      </c>
      <c r="AB42" t="str">
        <f>IF(COUNTIFS(monthly!T:T,"",monthly!$A:$A,"&gt;="&amp;$A42,monthly!$B:$B,"&lt;="&amp;$B42)&gt;0,"NA",AVERAGEIFS(monthly!T:T,monthly!$A:$A,"&gt;="&amp;$A42,monthly!$B:$B,"&lt;="&amp;$B42))</f>
        <v>NA</v>
      </c>
      <c r="AC42" t="str">
        <f>IF(COUNTIFS(monthly!U:U,"",monthly!$A:$A,"&gt;="&amp;$A42,monthly!$B:$B,"&lt;="&amp;$B42)&gt;0,"NA",AVERAGEIFS(monthly!U:U,monthly!$A:$A,"&gt;="&amp;$A42,monthly!$B:$B,"&lt;="&amp;$B42))</f>
        <v>NA</v>
      </c>
      <c r="AD42" t="str">
        <f>IF(COUNTIFS(monthly!V:V,"",monthly!$A:$A,"&gt;="&amp;$A42,monthly!$B:$B,"&lt;="&amp;$B42)&gt;0,"NA",AVERAGEIFS(monthly!V:V,monthly!$A:$A,"&gt;="&amp;$A42,monthly!$B:$B,"&lt;="&amp;$B42))</f>
        <v>NA</v>
      </c>
      <c r="AE42" t="str">
        <f>IF(COUNTIFS(monthly!W:W,"",monthly!$A:$A,"&gt;="&amp;$A42,monthly!$B:$B,"&lt;="&amp;$B42)&gt;0,"NA",AVERAGEIFS(monthly!W:W,monthly!$A:$A,"&gt;="&amp;$A42,monthly!$B:$B,"&lt;="&amp;$B42))</f>
        <v>NA</v>
      </c>
      <c r="AF42" t="str">
        <f>IF(COUNTIFS(monthly!X:X,"",monthly!$A:$A,"&gt;="&amp;$A42,monthly!$B:$B,"&lt;="&amp;$B42)&gt;0,"NA",AVERAGEIFS(monthly!X:X,monthly!$A:$A,"&gt;="&amp;$A42,monthly!$B:$B,"&lt;="&amp;$B42))</f>
        <v>NA</v>
      </c>
      <c r="AG42" t="str">
        <f>IF(COUNTIFS(monthly!Y:Y,"",monthly!$A:$A,"&gt;="&amp;$A42,monthly!$B:$B,"&lt;="&amp;$B42)&gt;0,"NA",AVERAGEIFS(monthly!Y:Y,monthly!$A:$A,"&gt;="&amp;$A42,monthly!$B:$B,"&lt;="&amp;$B42))</f>
        <v>NA</v>
      </c>
      <c r="AH42" t="str">
        <f>IF(COUNTIFS(monthly!Z:Z,"",monthly!$A:$A,"&gt;="&amp;$A42,monthly!$B:$B,"&lt;="&amp;$B42)&gt;0,"NA",AVERAGEIFS(monthly!Z:Z,monthly!$A:$A,"&gt;="&amp;$A42,monthly!$B:$B,"&lt;="&amp;$B42))</f>
        <v>NA</v>
      </c>
    </row>
    <row r="43" spans="1:34" x14ac:dyDescent="0.2">
      <c r="A43" s="1">
        <v>29312</v>
      </c>
      <c r="B43" s="1">
        <v>29402</v>
      </c>
      <c r="C43">
        <f>IF(ISBLANK(VLOOKUP($A43,quarterly_data,MATCH(C$1,quarterly!$1:$1,FALSE),FALSE)),"NA",VLOOKUP($A43,quarterly_data,MATCH(C$1,quarterly!$1:$1,FALSE),FALSE))</f>
        <v>134.04553975939061</v>
      </c>
      <c r="D43">
        <f>IF(ISBLANK(VLOOKUP($A43,quarterly_data,MATCH(D$1,quarterly!$1:$1,FALSE),FALSE)),"NA",VLOOKUP($A43,quarterly_data,MATCH(D$1,quarterly!$1:$1,FALSE),FALSE))</f>
        <v>53.1</v>
      </c>
      <c r="E43">
        <f>IF(ISBLANK(VLOOKUP($A43,quarterly_data,MATCH(E$1,quarterly!$1:$1,FALSE),FALSE)),"NA",VLOOKUP($A43,quarterly_data,MATCH(E$1,quarterly!$1:$1,FALSE),FALSE))</f>
        <v>0</v>
      </c>
      <c r="F43">
        <f>IF(ISBLANK(VLOOKUP($A43,quarterly_data,MATCH(F$1,quarterly!$1:$1,FALSE),FALSE)),"NA",VLOOKUP($A43,quarterly_data,MATCH(F$1,quarterly!$1:$1,FALSE),FALSE))</f>
        <v>1.9350599999999999E-2</v>
      </c>
      <c r="G43">
        <f>IF(ISBLANK(VLOOKUP($A43,quarterly_data,MATCH(G$1,quarterly!$1:$1,FALSE),FALSE)),"NA",VLOOKUP($A43,quarterly_data,MATCH(G$1,quarterly!$1:$1,FALSE),FALSE))</f>
        <v>7190.2889999999998</v>
      </c>
      <c r="H43">
        <f>IF(ISBLANK(VLOOKUP($A43,quarterly_data,MATCH(H$1,quarterly!$1:$1,FALSE),FALSE)),"NA",VLOOKUP($A43,quarterly_data,MATCH(H$1,quarterly!$1:$1,FALSE),FALSE))</f>
        <v>182931</v>
      </c>
      <c r="I43" t="str">
        <f>IF(ISBLANK(VLOOKUP($A43,quarterly_data,MATCH(I$1,quarterly!$1:$1,FALSE),FALSE)),"NA",VLOOKUP($A43,quarterly_data,MATCH(I$1,quarterly!$1:$1,FALSE),FALSE))</f>
        <v>NA</v>
      </c>
      <c r="J43">
        <f>IF(ISBLANK(VLOOKUP($A43,quarterly_data,MATCH(J$1,quarterly!$1:$1,FALSE),FALSE)),"NA",VLOOKUP($A43,quarterly_data,MATCH(J$1,quarterly!$1:$1,FALSE),FALSE))</f>
        <v>18.170000000000002</v>
      </c>
      <c r="K43">
        <f>IF(COUNTIFS(monthly!C:C,"",monthly!$A:$A,"&gt;="&amp;$A43,monthly!$B:$B,"&lt;="&amp;$B43)&gt;0,"NA",AVERAGEIFS(monthly!C:C,monthly!$A:$A,"&gt;="&amp;$A43,monthly!$B:$B,"&lt;="&amp;$B43))</f>
        <v>84.766666666666666</v>
      </c>
      <c r="L43">
        <f>IF(COUNTIFS(monthly!D:D,"",monthly!$A:$A,"&gt;="&amp;$A43,monthly!$B:$B,"&lt;="&amp;$B43)&gt;0,"NA",AVERAGEIFS(monthly!D:D,monthly!$A:$A,"&gt;="&amp;$A43,monthly!$B:$B,"&lt;="&amp;$B43))</f>
        <v>1.1382333333333334</v>
      </c>
      <c r="M43" t="str">
        <f>IF(COUNTIFS(monthly!E:E,"",monthly!$A:$A,"&gt;="&amp;$A43,monthly!$B:$B,"&lt;="&amp;$B43)&gt;0,"NA",AVERAGEIFS(monthly!E:E,monthly!$A:$A,"&gt;="&amp;$A43,monthly!$B:$B,"&lt;="&amp;$B43))</f>
        <v>NA</v>
      </c>
      <c r="N43" t="str">
        <f>IF(COUNTIFS(monthly!F:F,"",monthly!$A:$A,"&gt;="&amp;$A43,monthly!$B:$B,"&lt;="&amp;$B43)&gt;0,"NA",AVERAGEIFS(monthly!F:F,monthly!$A:$A,"&gt;="&amp;$A43,monthly!$B:$B,"&lt;="&amp;$B43))</f>
        <v>NA</v>
      </c>
      <c r="O43">
        <f>IF(COUNTIFS(monthly!G:G,"",monthly!$A:$A,"&gt;="&amp;$A43,monthly!$B:$B,"&lt;="&amp;$B43)&gt;0,"NA",AVERAGEIFS(monthly!G:G,monthly!$A:$A,"&gt;="&amp;$A43,monthly!$B:$B,"&lt;="&amp;$B43))</f>
        <v>28.100000000000005</v>
      </c>
      <c r="P43">
        <f>IF(COUNTIFS(monthly!H:H,"",monthly!$A:$A,"&gt;="&amp;$A43,monthly!$B:$B,"&lt;="&amp;$B43)&gt;0,"NA",AVERAGEIFS(monthly!H:H,monthly!$A:$A,"&gt;="&amp;$A43,monthly!$B:$B,"&lt;="&amp;$B43))</f>
        <v>40.1</v>
      </c>
      <c r="Q43">
        <f>IF(COUNTIFS(monthly!I:I,"",monthly!$A:$A,"&gt;="&amp;$A43,monthly!$B:$B,"&lt;="&amp;$B43)&gt;0,"NA",AVERAGEIFS(monthly!I:I,monthly!$A:$A,"&gt;="&amp;$A43,monthly!$B:$B,"&lt;="&amp;$B43))</f>
        <v>38.233333333333334</v>
      </c>
      <c r="R43">
        <f>IF(COUNTIFS(monthly!J:J,"",monthly!$A:$A,"&gt;="&amp;$A43,monthly!$B:$B,"&lt;="&amp;$B43)&gt;0,"NA",AVERAGEIFS(monthly!J:J,monthly!$A:$A,"&gt;="&amp;$A43,monthly!$B:$B,"&lt;="&amp;$B43))</f>
        <v>5.7</v>
      </c>
      <c r="S43">
        <f>IF(COUNTIFS(monthly!K:K,"",monthly!$A:$A,"&gt;="&amp;$A43,monthly!$B:$B,"&lt;="&amp;$B43)&gt;0,"NA",AVERAGEIFS(monthly!K:K,monthly!$A:$A,"&gt;="&amp;$A43,monthly!$B:$B,"&lt;="&amp;$B43))</f>
        <v>10.055262778157514</v>
      </c>
      <c r="T43">
        <f>IF(COUNTIFS(monthly!L:L,"",monthly!$A:$A,"&gt;="&amp;$A43,monthly!$B:$B,"&lt;="&amp;$B43)&gt;0,"NA",AVERAGEIFS(monthly!L:L,monthly!$A:$A,"&gt;="&amp;$A43,monthly!$B:$B,"&lt;="&amp;$B43))</f>
        <v>12.687630824372761</v>
      </c>
      <c r="U43">
        <f>IF(COUNTIFS(monthly!M:M,"",monthly!$A:$A,"&gt;="&amp;$A43,monthly!$B:$B,"&lt;="&amp;$B43)&gt;0,"NA",AVERAGEIFS(monthly!M:M,monthly!$A:$A,"&gt;="&amp;$A43,monthly!$B:$B,"&lt;="&amp;$B43))</f>
        <v>-2.6323680462152446</v>
      </c>
      <c r="V43" t="str">
        <f>IF(COUNTIFS(monthly!N:N,"",monthly!$A:$A,"&gt;="&amp;$A43,monthly!$B:$B,"&lt;="&amp;$B43)&gt;0,"NA",AVERAGEIFS(monthly!N:N,monthly!$A:$A,"&gt;="&amp;$A43,monthly!$B:$B,"&lt;="&amp;$B43))</f>
        <v>NA</v>
      </c>
      <c r="W43">
        <f>IF(COUNTIFS(monthly!O:O,"",monthly!$A:$A,"&gt;="&amp;$A43,monthly!$B:$B,"&lt;="&amp;$B43)&gt;0,"NA",AVERAGEIFS(monthly!O:O,monthly!$A:$A,"&gt;="&amp;$A43,monthly!$B:$B,"&lt;="&amp;$B43))</f>
        <v>10.226666666666667</v>
      </c>
      <c r="X43" t="str">
        <f>IF(COUNTIFS(monthly!P:P,"",monthly!$A:$A,"&gt;="&amp;$A43,monthly!$B:$B,"&lt;="&amp;$B43)&gt;0,"NA",AVERAGEIFS(monthly!P:P,monthly!$A:$A,"&gt;="&amp;$A43,monthly!$B:$B,"&lt;="&amp;$B43))</f>
        <v>NA</v>
      </c>
      <c r="Y43">
        <f>IF(COUNTIFS(monthly!Q:Q,"",monthly!$A:$A,"&gt;="&amp;$A43,monthly!$B:$B,"&lt;="&amp;$B43)&gt;0,"NA",AVERAGEIFS(monthly!Q:Q,monthly!$A:$A,"&gt;="&amp;$A43,monthly!$B:$B,"&lt;="&amp;$B43))</f>
        <v>11.756666666666666</v>
      </c>
      <c r="Z43">
        <f>IF(COUNTIFS(monthly!R:R,"",monthly!$A:$A,"&gt;="&amp;$A43,monthly!$B:$B,"&lt;="&amp;$B43)&gt;0,"NA",AVERAGEIFS(monthly!R:R,monthly!$A:$A,"&gt;="&amp;$A43,monthly!$B:$B,"&lt;="&amp;$B43))</f>
        <v>10.477619047619049</v>
      </c>
      <c r="AA43">
        <f>IF(COUNTIFS(monthly!S:S,"",monthly!$A:$A,"&gt;="&amp;$A43,monthly!$B:$B,"&lt;="&amp;$B43)&gt;0,"NA",AVERAGEIFS(monthly!S:S,monthly!$A:$A,"&gt;="&amp;$A43,monthly!$B:$B,"&lt;="&amp;$B43))</f>
        <v>1.2790476190476188</v>
      </c>
      <c r="AB43" t="str">
        <f>IF(COUNTIFS(monthly!T:T,"",monthly!$A:$A,"&gt;="&amp;$A43,monthly!$B:$B,"&lt;="&amp;$B43)&gt;0,"NA",AVERAGEIFS(monthly!T:T,monthly!$A:$A,"&gt;="&amp;$A43,monthly!$B:$B,"&lt;="&amp;$B43))</f>
        <v>NA</v>
      </c>
      <c r="AC43" t="str">
        <f>IF(COUNTIFS(monthly!U:U,"",monthly!$A:$A,"&gt;="&amp;$A43,monthly!$B:$B,"&lt;="&amp;$B43)&gt;0,"NA",AVERAGEIFS(monthly!U:U,monthly!$A:$A,"&gt;="&amp;$A43,monthly!$B:$B,"&lt;="&amp;$B43))</f>
        <v>NA</v>
      </c>
      <c r="AD43" t="str">
        <f>IF(COUNTIFS(monthly!V:V,"",monthly!$A:$A,"&gt;="&amp;$A43,monthly!$B:$B,"&lt;="&amp;$B43)&gt;0,"NA",AVERAGEIFS(monthly!V:V,monthly!$A:$A,"&gt;="&amp;$A43,monthly!$B:$B,"&lt;="&amp;$B43))</f>
        <v>NA</v>
      </c>
      <c r="AE43" t="str">
        <f>IF(COUNTIFS(monthly!W:W,"",monthly!$A:$A,"&gt;="&amp;$A43,monthly!$B:$B,"&lt;="&amp;$B43)&gt;0,"NA",AVERAGEIFS(monthly!W:W,monthly!$A:$A,"&gt;="&amp;$A43,monthly!$B:$B,"&lt;="&amp;$B43))</f>
        <v>NA</v>
      </c>
      <c r="AF43" t="str">
        <f>IF(COUNTIFS(monthly!X:X,"",monthly!$A:$A,"&gt;="&amp;$A43,monthly!$B:$B,"&lt;="&amp;$B43)&gt;0,"NA",AVERAGEIFS(monthly!X:X,monthly!$A:$A,"&gt;="&amp;$A43,monthly!$B:$B,"&lt;="&amp;$B43))</f>
        <v>NA</v>
      </c>
      <c r="AG43" t="str">
        <f>IF(COUNTIFS(monthly!Y:Y,"",monthly!$A:$A,"&gt;="&amp;$A43,monthly!$B:$B,"&lt;="&amp;$B43)&gt;0,"NA",AVERAGEIFS(monthly!Y:Y,monthly!$A:$A,"&gt;="&amp;$A43,monthly!$B:$B,"&lt;="&amp;$B43))</f>
        <v>NA</v>
      </c>
      <c r="AH43" t="str">
        <f>IF(COUNTIFS(monthly!Z:Z,"",monthly!$A:$A,"&gt;="&amp;$A43,monthly!$B:$B,"&lt;="&amp;$B43)&gt;0,"NA",AVERAGEIFS(monthly!Z:Z,monthly!$A:$A,"&gt;="&amp;$A43,monthly!$B:$B,"&lt;="&amp;$B43))</f>
        <v>NA</v>
      </c>
    </row>
    <row r="44" spans="1:34" x14ac:dyDescent="0.2">
      <c r="A44" s="1">
        <v>29403</v>
      </c>
      <c r="B44" s="1">
        <v>29494</v>
      </c>
      <c r="C44">
        <f>IF(ISBLANK(VLOOKUP($A44,quarterly_data,MATCH(C$1,quarterly!$1:$1,FALSE),FALSE)),"NA",VLOOKUP($A44,quarterly_data,MATCH(C$1,quarterly!$1:$1,FALSE),FALSE))</f>
        <v>136.49652210619476</v>
      </c>
      <c r="D44">
        <f>IF(ISBLANK(VLOOKUP($A44,quarterly_data,MATCH(D$1,quarterly!$1:$1,FALSE),FALSE)),"NA",VLOOKUP($A44,quarterly_data,MATCH(D$1,quarterly!$1:$1,FALSE),FALSE))</f>
        <v>53</v>
      </c>
      <c r="E44">
        <f>IF(ISBLANK(VLOOKUP($A44,quarterly_data,MATCH(E$1,quarterly!$1:$1,FALSE),FALSE)),"NA",VLOOKUP($A44,quarterly_data,MATCH(E$1,quarterly!$1:$1,FALSE),FALSE))</f>
        <v>0.25004169999999998</v>
      </c>
      <c r="F44">
        <f>IF(ISBLANK(VLOOKUP($A44,quarterly_data,MATCH(F$1,quarterly!$1:$1,FALSE),FALSE)),"NA",VLOOKUP($A44,quarterly_data,MATCH(F$1,quarterly!$1:$1,FALSE),FALSE))</f>
        <v>5.3650900000000001E-2</v>
      </c>
      <c r="G44">
        <f>IF(ISBLANK(VLOOKUP($A44,quarterly_data,MATCH(G$1,quarterly!$1:$1,FALSE),FALSE)),"NA",VLOOKUP($A44,quarterly_data,MATCH(G$1,quarterly!$1:$1,FALSE),FALSE))</f>
        <v>7181.7430000000004</v>
      </c>
      <c r="H44">
        <f>IF(ISBLANK(VLOOKUP($A44,quarterly_data,MATCH(H$1,quarterly!$1:$1,FALSE),FALSE)),"NA",VLOOKUP($A44,quarterly_data,MATCH(H$1,quarterly!$1:$1,FALSE),FALSE))</f>
        <v>183921</v>
      </c>
      <c r="I44" t="str">
        <f>IF(ISBLANK(VLOOKUP($A44,quarterly_data,MATCH(I$1,quarterly!$1:$1,FALSE),FALSE)),"NA",VLOOKUP($A44,quarterly_data,MATCH(I$1,quarterly!$1:$1,FALSE),FALSE))</f>
        <v>NA</v>
      </c>
      <c r="J44">
        <f>IF(ISBLANK(VLOOKUP($A44,quarterly_data,MATCH(J$1,quarterly!$1:$1,FALSE),FALSE)),"NA",VLOOKUP($A44,quarterly_data,MATCH(J$1,quarterly!$1:$1,FALSE),FALSE))</f>
        <v>18.48</v>
      </c>
      <c r="K44">
        <f>IF(COUNTIFS(monthly!C:C,"",monthly!$A:$A,"&gt;="&amp;$A44,monthly!$B:$B,"&lt;="&amp;$B44)&gt;0,"NA",AVERAGEIFS(monthly!C:C,monthly!$A:$A,"&gt;="&amp;$A44,monthly!$B:$B,"&lt;="&amp;$B44))</f>
        <v>85.7</v>
      </c>
      <c r="L44">
        <f>IF(COUNTIFS(monthly!D:D,"",monthly!$A:$A,"&gt;="&amp;$A44,monthly!$B:$B,"&lt;="&amp;$B44)&gt;0,"NA",AVERAGEIFS(monthly!D:D,monthly!$A:$A,"&gt;="&amp;$A44,monthly!$B:$B,"&lt;="&amp;$B44))</f>
        <v>1.1623666666666668</v>
      </c>
      <c r="M44" t="str">
        <f>IF(COUNTIFS(monthly!E:E,"",monthly!$A:$A,"&gt;="&amp;$A44,monthly!$B:$B,"&lt;="&amp;$B44)&gt;0,"NA",AVERAGEIFS(monthly!E:E,monthly!$A:$A,"&gt;="&amp;$A44,monthly!$B:$B,"&lt;="&amp;$B44))</f>
        <v>NA</v>
      </c>
      <c r="N44" t="str">
        <f>IF(COUNTIFS(monthly!F:F,"",monthly!$A:$A,"&gt;="&amp;$A44,monthly!$B:$B,"&lt;="&amp;$B44)&gt;0,"NA",AVERAGEIFS(monthly!F:F,monthly!$A:$A,"&gt;="&amp;$A44,monthly!$B:$B,"&lt;="&amp;$B44))</f>
        <v>NA</v>
      </c>
      <c r="O44">
        <f>IF(COUNTIFS(monthly!G:G,"",monthly!$A:$A,"&gt;="&amp;$A44,monthly!$B:$B,"&lt;="&amp;$B44)&gt;0,"NA",AVERAGEIFS(monthly!G:G,monthly!$A:$A,"&gt;="&amp;$A44,monthly!$B:$B,"&lt;="&amp;$B44))</f>
        <v>28.100000000000005</v>
      </c>
      <c r="P44">
        <f>IF(COUNTIFS(monthly!H:H,"",monthly!$A:$A,"&gt;="&amp;$A44,monthly!$B:$B,"&lt;="&amp;$B44)&gt;0,"NA",AVERAGEIFS(monthly!H:H,monthly!$A:$A,"&gt;="&amp;$A44,monthly!$B:$B,"&lt;="&amp;$B44))</f>
        <v>43.166666666666664</v>
      </c>
      <c r="Q44">
        <f>IF(COUNTIFS(monthly!I:I,"",monthly!$A:$A,"&gt;="&amp;$A44,monthly!$B:$B,"&lt;="&amp;$B44)&gt;0,"NA",AVERAGEIFS(monthly!I:I,monthly!$A:$A,"&gt;="&amp;$A44,monthly!$B:$B,"&lt;="&amp;$B44))</f>
        <v>34.800000000000004</v>
      </c>
      <c r="R44">
        <f>IF(COUNTIFS(monthly!J:J,"",monthly!$A:$A,"&gt;="&amp;$A44,monthly!$B:$B,"&lt;="&amp;$B44)&gt;0,"NA",AVERAGEIFS(monthly!J:J,monthly!$A:$A,"&gt;="&amp;$A44,monthly!$B:$B,"&lt;="&amp;$B44))</f>
        <v>5.7</v>
      </c>
      <c r="S44">
        <f>IF(COUNTIFS(monthly!K:K,"",monthly!$A:$A,"&gt;="&amp;$A44,monthly!$B:$B,"&lt;="&amp;$B44)&gt;0,"NA",AVERAGEIFS(monthly!K:K,monthly!$A:$A,"&gt;="&amp;$A44,monthly!$B:$B,"&lt;="&amp;$B44))</f>
        <v>9.9857456553108719</v>
      </c>
      <c r="T44">
        <f>IF(COUNTIFS(monthly!L:L,"",monthly!$A:$A,"&gt;="&amp;$A44,monthly!$B:$B,"&lt;="&amp;$B44)&gt;0,"NA",AVERAGEIFS(monthly!L:L,monthly!$A:$A,"&gt;="&amp;$A44,monthly!$B:$B,"&lt;="&amp;$B44))</f>
        <v>9.834430107526881</v>
      </c>
      <c r="U44">
        <f>IF(COUNTIFS(monthly!M:M,"",monthly!$A:$A,"&gt;="&amp;$A44,monthly!$B:$B,"&lt;="&amp;$B44)&gt;0,"NA",AVERAGEIFS(monthly!M:M,monthly!$A:$A,"&gt;="&amp;$A44,monthly!$B:$B,"&lt;="&amp;$B44))</f>
        <v>0.15131554778399092</v>
      </c>
      <c r="V44" t="str">
        <f>IF(COUNTIFS(monthly!N:N,"",monthly!$A:$A,"&gt;="&amp;$A44,monthly!$B:$B,"&lt;="&amp;$B44)&gt;0,"NA",AVERAGEIFS(monthly!N:N,monthly!$A:$A,"&gt;="&amp;$A44,monthly!$B:$B,"&lt;="&amp;$B44))</f>
        <v>NA</v>
      </c>
      <c r="W44">
        <f>IF(COUNTIFS(monthly!O:O,"",monthly!$A:$A,"&gt;="&amp;$A44,monthly!$B:$B,"&lt;="&amp;$B44)&gt;0,"NA",AVERAGEIFS(monthly!O:O,monthly!$A:$A,"&gt;="&amp;$A44,monthly!$B:$B,"&lt;="&amp;$B44))</f>
        <v>10.377308802308802</v>
      </c>
      <c r="X44" t="str">
        <f>IF(COUNTIFS(monthly!P:P,"",monthly!$A:$A,"&gt;="&amp;$A44,monthly!$B:$B,"&lt;="&amp;$B44)&gt;0,"NA",AVERAGEIFS(monthly!P:P,monthly!$A:$A,"&gt;="&amp;$A44,monthly!$B:$B,"&lt;="&amp;$B44))</f>
        <v>NA</v>
      </c>
      <c r="Y44">
        <f>IF(COUNTIFS(monthly!Q:Q,"",monthly!$A:$A,"&gt;="&amp;$A44,monthly!$B:$B,"&lt;="&amp;$B44)&gt;0,"NA",AVERAGEIFS(monthly!Q:Q,monthly!$A:$A,"&gt;="&amp;$A44,monthly!$B:$B,"&lt;="&amp;$B44))</f>
        <v>11.793333333333335</v>
      </c>
      <c r="Z44">
        <f>IF(COUNTIFS(monthly!R:R,"",monthly!$A:$A,"&gt;="&amp;$A44,monthly!$B:$B,"&lt;="&amp;$B44)&gt;0,"NA",AVERAGEIFS(monthly!R:R,monthly!$A:$A,"&gt;="&amp;$A44,monthly!$B:$B,"&lt;="&amp;$B44))</f>
        <v>10.952734487734489</v>
      </c>
      <c r="AA44">
        <f>IF(COUNTIFS(monthly!S:S,"",monthly!$A:$A,"&gt;="&amp;$A44,monthly!$B:$B,"&lt;="&amp;$B44)&gt;0,"NA",AVERAGEIFS(monthly!S:S,monthly!$A:$A,"&gt;="&amp;$A44,monthly!$B:$B,"&lt;="&amp;$B44))</f>
        <v>0.84059884559884424</v>
      </c>
      <c r="AB44" t="str">
        <f>IF(COUNTIFS(monthly!T:T,"",monthly!$A:$A,"&gt;="&amp;$A44,monthly!$B:$B,"&lt;="&amp;$B44)&gt;0,"NA",AVERAGEIFS(monthly!T:T,monthly!$A:$A,"&gt;="&amp;$A44,monthly!$B:$B,"&lt;="&amp;$B44))</f>
        <v>NA</v>
      </c>
      <c r="AC44" t="str">
        <f>IF(COUNTIFS(monthly!U:U,"",monthly!$A:$A,"&gt;="&amp;$A44,monthly!$B:$B,"&lt;="&amp;$B44)&gt;0,"NA",AVERAGEIFS(monthly!U:U,monthly!$A:$A,"&gt;="&amp;$A44,monthly!$B:$B,"&lt;="&amp;$B44))</f>
        <v>NA</v>
      </c>
      <c r="AD44" t="str">
        <f>IF(COUNTIFS(monthly!V:V,"",monthly!$A:$A,"&gt;="&amp;$A44,monthly!$B:$B,"&lt;="&amp;$B44)&gt;0,"NA",AVERAGEIFS(monthly!V:V,monthly!$A:$A,"&gt;="&amp;$A44,monthly!$B:$B,"&lt;="&amp;$B44))</f>
        <v>NA</v>
      </c>
      <c r="AE44" t="str">
        <f>IF(COUNTIFS(monthly!W:W,"",monthly!$A:$A,"&gt;="&amp;$A44,monthly!$B:$B,"&lt;="&amp;$B44)&gt;0,"NA",AVERAGEIFS(monthly!W:W,monthly!$A:$A,"&gt;="&amp;$A44,monthly!$B:$B,"&lt;="&amp;$B44))</f>
        <v>NA</v>
      </c>
      <c r="AF44" t="str">
        <f>IF(COUNTIFS(monthly!X:X,"",monthly!$A:$A,"&gt;="&amp;$A44,monthly!$B:$B,"&lt;="&amp;$B44)&gt;0,"NA",AVERAGEIFS(monthly!X:X,monthly!$A:$A,"&gt;="&amp;$A44,monthly!$B:$B,"&lt;="&amp;$B44))</f>
        <v>NA</v>
      </c>
      <c r="AG44" t="str">
        <f>IF(COUNTIFS(monthly!Y:Y,"",monthly!$A:$A,"&gt;="&amp;$A44,monthly!$B:$B,"&lt;="&amp;$B44)&gt;0,"NA",AVERAGEIFS(monthly!Y:Y,monthly!$A:$A,"&gt;="&amp;$A44,monthly!$B:$B,"&lt;="&amp;$B44))</f>
        <v>NA</v>
      </c>
      <c r="AH44" t="str">
        <f>IF(COUNTIFS(monthly!Z:Z,"",monthly!$A:$A,"&gt;="&amp;$A44,monthly!$B:$B,"&lt;="&amp;$B44)&gt;0,"NA",AVERAGEIFS(monthly!Z:Z,monthly!$A:$A,"&gt;="&amp;$A44,monthly!$B:$B,"&lt;="&amp;$B44))</f>
        <v>NA</v>
      </c>
    </row>
    <row r="45" spans="1:34" x14ac:dyDescent="0.2">
      <c r="A45" s="1">
        <v>29495</v>
      </c>
      <c r="B45" s="1">
        <v>29585</v>
      </c>
      <c r="C45">
        <f>IF(ISBLANK(VLOOKUP($A45,quarterly_data,MATCH(C$1,quarterly!$1:$1,FALSE),FALSE)),"NA",VLOOKUP($A45,quarterly_data,MATCH(C$1,quarterly!$1:$1,FALSE),FALSE))</f>
        <v>136.99659262375675</v>
      </c>
      <c r="D45">
        <f>IF(ISBLANK(VLOOKUP($A45,quarterly_data,MATCH(D$1,quarterly!$1:$1,FALSE),FALSE)),"NA",VLOOKUP($A45,quarterly_data,MATCH(D$1,quarterly!$1:$1,FALSE),FALSE))</f>
        <v>52.9</v>
      </c>
      <c r="E45">
        <f>IF(ISBLANK(VLOOKUP($A45,quarterly_data,MATCH(E$1,quarterly!$1:$1,FALSE),FALSE)),"NA",VLOOKUP($A45,quarterly_data,MATCH(E$1,quarterly!$1:$1,FALSE),FALSE))</f>
        <v>0.1043079</v>
      </c>
      <c r="F45">
        <f>IF(ISBLANK(VLOOKUP($A45,quarterly_data,MATCH(F$1,quarterly!$1:$1,FALSE),FALSE)),"NA",VLOOKUP($A45,quarterly_data,MATCH(F$1,quarterly!$1:$1,FALSE),FALSE))</f>
        <v>4.5865799999999998E-2</v>
      </c>
      <c r="G45">
        <f>IF(ISBLANK(VLOOKUP($A45,quarterly_data,MATCH(G$1,quarterly!$1:$1,FALSE),FALSE)),"NA",VLOOKUP($A45,quarterly_data,MATCH(G$1,quarterly!$1:$1,FALSE),FALSE))</f>
        <v>7315.6769999999997</v>
      </c>
      <c r="H45">
        <f>IF(ISBLANK(VLOOKUP($A45,quarterly_data,MATCH(H$1,quarterly!$1:$1,FALSE),FALSE)),"NA",VLOOKUP($A45,quarterly_data,MATCH(H$1,quarterly!$1:$1,FALSE),FALSE))</f>
        <v>187060</v>
      </c>
      <c r="I45" t="str">
        <f>IF(ISBLANK(VLOOKUP($A45,quarterly_data,MATCH(I$1,quarterly!$1:$1,FALSE),FALSE)),"NA",VLOOKUP($A45,quarterly_data,MATCH(I$1,quarterly!$1:$1,FALSE),FALSE))</f>
        <v>NA</v>
      </c>
      <c r="J45">
        <f>IF(ISBLANK(VLOOKUP($A45,quarterly_data,MATCH(J$1,quarterly!$1:$1,FALSE),FALSE)),"NA",VLOOKUP($A45,quarterly_data,MATCH(J$1,quarterly!$1:$1,FALSE),FALSE))</f>
        <v>18.87</v>
      </c>
      <c r="K45">
        <f>IF(COUNTIFS(monthly!C:C,"",monthly!$A:$A,"&gt;="&amp;$A45,monthly!$B:$B,"&lt;="&amp;$B45)&gt;0,"NA",AVERAGEIFS(monthly!C:C,monthly!$A:$A,"&gt;="&amp;$A45,monthly!$B:$B,"&lt;="&amp;$B45))</f>
        <v>86.5</v>
      </c>
      <c r="L45">
        <f>IF(COUNTIFS(monthly!D:D,"",monthly!$A:$A,"&gt;="&amp;$A45,monthly!$B:$B,"&lt;="&amp;$B45)&gt;0,"NA",AVERAGEIFS(monthly!D:D,monthly!$A:$A,"&gt;="&amp;$A45,monthly!$B:$B,"&lt;="&amp;$B45))</f>
        <v>1.16845</v>
      </c>
      <c r="M45" t="str">
        <f>IF(COUNTIFS(monthly!E:E,"",monthly!$A:$A,"&gt;="&amp;$A45,monthly!$B:$B,"&lt;="&amp;$B45)&gt;0,"NA",AVERAGEIFS(monthly!E:E,monthly!$A:$A,"&gt;="&amp;$A45,monthly!$B:$B,"&lt;="&amp;$B45))</f>
        <v>NA</v>
      </c>
      <c r="N45" t="str">
        <f>IF(COUNTIFS(monthly!F:F,"",monthly!$A:$A,"&gt;="&amp;$A45,monthly!$B:$B,"&lt;="&amp;$B45)&gt;0,"NA",AVERAGEIFS(monthly!F:F,monthly!$A:$A,"&gt;="&amp;$A45,monthly!$B:$B,"&lt;="&amp;$B45))</f>
        <v>NA</v>
      </c>
      <c r="O45">
        <f>IF(COUNTIFS(monthly!G:G,"",monthly!$A:$A,"&gt;="&amp;$A45,monthly!$B:$B,"&lt;="&amp;$B45)&gt;0,"NA",AVERAGEIFS(monthly!G:G,monthly!$A:$A,"&gt;="&amp;$A45,monthly!$B:$B,"&lt;="&amp;$B45))</f>
        <v>28.1</v>
      </c>
      <c r="P45">
        <f>IF(COUNTIFS(monthly!H:H,"",monthly!$A:$A,"&gt;="&amp;$A45,monthly!$B:$B,"&lt;="&amp;$B45)&gt;0,"NA",AVERAGEIFS(monthly!H:H,monthly!$A:$A,"&gt;="&amp;$A45,monthly!$B:$B,"&lt;="&amp;$B45))</f>
        <v>44.8</v>
      </c>
      <c r="Q45">
        <f>IF(COUNTIFS(monthly!I:I,"",monthly!$A:$A,"&gt;="&amp;$A45,monthly!$B:$B,"&lt;="&amp;$B45)&gt;0,"NA",AVERAGEIFS(monthly!I:I,monthly!$A:$A,"&gt;="&amp;$A45,monthly!$B:$B,"&lt;="&amp;$B45))</f>
        <v>39.349999999999994</v>
      </c>
      <c r="R45">
        <f>IF(COUNTIFS(monthly!J:J,"",monthly!$A:$A,"&gt;="&amp;$A45,monthly!$B:$B,"&lt;="&amp;$B45)&gt;0,"NA",AVERAGEIFS(monthly!J:J,monthly!$A:$A,"&gt;="&amp;$A45,monthly!$B:$B,"&lt;="&amp;$B45))</f>
        <v>5.7</v>
      </c>
      <c r="S45">
        <f>IF(COUNTIFS(monthly!K:K,"",monthly!$A:$A,"&gt;="&amp;$A45,monthly!$B:$B,"&lt;="&amp;$B45)&gt;0,"NA",AVERAGEIFS(monthly!K:K,monthly!$A:$A,"&gt;="&amp;$A45,monthly!$B:$B,"&lt;="&amp;$B45))</f>
        <v>9.0907717391304335</v>
      </c>
      <c r="T45">
        <f>IF(COUNTIFS(monthly!L:L,"",monthly!$A:$A,"&gt;="&amp;$A45,monthly!$B:$B,"&lt;="&amp;$B45)&gt;0,"NA",AVERAGEIFS(monthly!L:L,monthly!$A:$A,"&gt;="&amp;$A45,monthly!$B:$B,"&lt;="&amp;$B45))</f>
        <v>14.33110752688172</v>
      </c>
      <c r="U45">
        <f>IF(COUNTIFS(monthly!M:M,"",monthly!$A:$A,"&gt;="&amp;$A45,monthly!$B:$B,"&lt;="&amp;$B45)&gt;0,"NA",AVERAGEIFS(monthly!M:M,monthly!$A:$A,"&gt;="&amp;$A45,monthly!$B:$B,"&lt;="&amp;$B45))</f>
        <v>-5.2403357877512855</v>
      </c>
      <c r="V45" t="str">
        <f>IF(COUNTIFS(monthly!N:N,"",monthly!$A:$A,"&gt;="&amp;$A45,monthly!$B:$B,"&lt;="&amp;$B45)&gt;0,"NA",AVERAGEIFS(monthly!N:N,monthly!$A:$A,"&gt;="&amp;$A45,monthly!$B:$B,"&lt;="&amp;$B45))</f>
        <v>NA</v>
      </c>
      <c r="W45">
        <f>IF(COUNTIFS(monthly!O:O,"",monthly!$A:$A,"&gt;="&amp;$A45,monthly!$B:$B,"&lt;="&amp;$B45)&gt;0,"NA",AVERAGEIFS(monthly!O:O,monthly!$A:$A,"&gt;="&amp;$A45,monthly!$B:$B,"&lt;="&amp;$B45))</f>
        <v>12.801149732620321</v>
      </c>
      <c r="X45" t="str">
        <f>IF(COUNTIFS(monthly!P:P,"",monthly!$A:$A,"&gt;="&amp;$A45,monthly!$B:$B,"&lt;="&amp;$B45)&gt;0,"NA",AVERAGEIFS(monthly!P:P,monthly!$A:$A,"&gt;="&amp;$A45,monthly!$B:$B,"&lt;="&amp;$B45))</f>
        <v>NA</v>
      </c>
      <c r="Y45">
        <f>IF(COUNTIFS(monthly!Q:Q,"",monthly!$A:$A,"&gt;="&amp;$A45,monthly!$B:$B,"&lt;="&amp;$B45)&gt;0,"NA",AVERAGEIFS(monthly!Q:Q,monthly!$A:$A,"&gt;="&amp;$A45,monthly!$B:$B,"&lt;="&amp;$B45))</f>
        <v>12.16</v>
      </c>
      <c r="Z45">
        <f>IF(COUNTIFS(monthly!R:R,"",monthly!$A:$A,"&gt;="&amp;$A45,monthly!$B:$B,"&lt;="&amp;$B45)&gt;0,"NA",AVERAGEIFS(monthly!R:R,monthly!$A:$A,"&gt;="&amp;$A45,monthly!$B:$B,"&lt;="&amp;$B45))</f>
        <v>12.218034759358288</v>
      </c>
      <c r="AA45">
        <f>IF(COUNTIFS(monthly!S:S,"",monthly!$A:$A,"&gt;="&amp;$A45,monthly!$B:$B,"&lt;="&amp;$B45)&gt;0,"NA",AVERAGEIFS(monthly!S:S,monthly!$A:$A,"&gt;="&amp;$A45,monthly!$B:$B,"&lt;="&amp;$B45))</f>
        <v>-5.8034759358287502E-2</v>
      </c>
      <c r="AB45" t="str">
        <f>IF(COUNTIFS(monthly!T:T,"",monthly!$A:$A,"&gt;="&amp;$A45,monthly!$B:$B,"&lt;="&amp;$B45)&gt;0,"NA",AVERAGEIFS(monthly!T:T,monthly!$A:$A,"&gt;="&amp;$A45,monthly!$B:$B,"&lt;="&amp;$B45))</f>
        <v>NA</v>
      </c>
      <c r="AC45" t="str">
        <f>IF(COUNTIFS(monthly!U:U,"",monthly!$A:$A,"&gt;="&amp;$A45,monthly!$B:$B,"&lt;="&amp;$B45)&gt;0,"NA",AVERAGEIFS(monthly!U:U,monthly!$A:$A,"&gt;="&amp;$A45,monthly!$B:$B,"&lt;="&amp;$B45))</f>
        <v>NA</v>
      </c>
      <c r="AD45" t="str">
        <f>IF(COUNTIFS(monthly!V:V,"",monthly!$A:$A,"&gt;="&amp;$A45,monthly!$B:$B,"&lt;="&amp;$B45)&gt;0,"NA",AVERAGEIFS(monthly!V:V,monthly!$A:$A,"&gt;="&amp;$A45,monthly!$B:$B,"&lt;="&amp;$B45))</f>
        <v>NA</v>
      </c>
      <c r="AE45" t="str">
        <f>IF(COUNTIFS(monthly!W:W,"",monthly!$A:$A,"&gt;="&amp;$A45,monthly!$B:$B,"&lt;="&amp;$B45)&gt;0,"NA",AVERAGEIFS(monthly!W:W,monthly!$A:$A,"&gt;="&amp;$A45,monthly!$B:$B,"&lt;="&amp;$B45))</f>
        <v>NA</v>
      </c>
      <c r="AF45" t="str">
        <f>IF(COUNTIFS(monthly!X:X,"",monthly!$A:$A,"&gt;="&amp;$A45,monthly!$B:$B,"&lt;="&amp;$B45)&gt;0,"NA",AVERAGEIFS(monthly!X:X,monthly!$A:$A,"&gt;="&amp;$A45,monthly!$B:$B,"&lt;="&amp;$B45))</f>
        <v>NA</v>
      </c>
      <c r="AG45" t="str">
        <f>IF(COUNTIFS(monthly!Y:Y,"",monthly!$A:$A,"&gt;="&amp;$A45,monthly!$B:$B,"&lt;="&amp;$B45)&gt;0,"NA",AVERAGEIFS(monthly!Y:Y,monthly!$A:$A,"&gt;="&amp;$A45,monthly!$B:$B,"&lt;="&amp;$B45))</f>
        <v>NA</v>
      </c>
      <c r="AH45" t="str">
        <f>IF(COUNTIFS(monthly!Z:Z,"",monthly!$A:$A,"&gt;="&amp;$A45,monthly!$B:$B,"&lt;="&amp;$B45)&gt;0,"NA",AVERAGEIFS(monthly!Z:Z,monthly!$A:$A,"&gt;="&amp;$A45,monthly!$B:$B,"&lt;="&amp;$B45))</f>
        <v>NA</v>
      </c>
    </row>
    <row r="46" spans="1:34" x14ac:dyDescent="0.2">
      <c r="A46" s="1">
        <v>29587</v>
      </c>
      <c r="B46" s="1">
        <v>29675</v>
      </c>
      <c r="C46">
        <f>IF(ISBLANK(VLOOKUP($A46,quarterly_data,MATCH(C$1,quarterly!$1:$1,FALSE),FALSE)),"NA",VLOOKUP($A46,quarterly_data,MATCH(C$1,quarterly!$1:$1,FALSE),FALSE))</f>
        <v>138.6037176705924</v>
      </c>
      <c r="D46">
        <f>IF(ISBLANK(VLOOKUP($A46,quarterly_data,MATCH(D$1,quarterly!$1:$1,FALSE),FALSE)),"NA",VLOOKUP($A46,quarterly_data,MATCH(D$1,quarterly!$1:$1,FALSE),FALSE))</f>
        <v>53.6</v>
      </c>
      <c r="E46">
        <f>IF(ISBLANK(VLOOKUP($A46,quarterly_data,MATCH(E$1,quarterly!$1:$1,FALSE),FALSE)),"NA",VLOOKUP($A46,quarterly_data,MATCH(E$1,quarterly!$1:$1,FALSE),FALSE))</f>
        <v>0.1120072</v>
      </c>
      <c r="F46">
        <f>IF(ISBLANK(VLOOKUP($A46,quarterly_data,MATCH(F$1,quarterly!$1:$1,FALSE),FALSE)),"NA",VLOOKUP($A46,quarterly_data,MATCH(F$1,quarterly!$1:$1,FALSE),FALSE))</f>
        <v>4.1167000000000002E-2</v>
      </c>
      <c r="G46">
        <f>IF(ISBLANK(VLOOKUP($A46,quarterly_data,MATCH(G$1,quarterly!$1:$1,FALSE),FALSE)),"NA",VLOOKUP($A46,quarterly_data,MATCH(G$1,quarterly!$1:$1,FALSE),FALSE))</f>
        <v>7459.0219999999999</v>
      </c>
      <c r="H46">
        <f>IF(ISBLANK(VLOOKUP($A46,quarterly_data,MATCH(H$1,quarterly!$1:$1,FALSE),FALSE)),"NA",VLOOKUP($A46,quarterly_data,MATCH(H$1,quarterly!$1:$1,FALSE),FALSE))</f>
        <v>187785</v>
      </c>
      <c r="I46" t="str">
        <f>IF(ISBLANK(VLOOKUP($A46,quarterly_data,MATCH(I$1,quarterly!$1:$1,FALSE),FALSE)),"NA",VLOOKUP($A46,quarterly_data,MATCH(I$1,quarterly!$1:$1,FALSE),FALSE))</f>
        <v>NA</v>
      </c>
      <c r="J46">
        <f>IF(ISBLANK(VLOOKUP($A46,quarterly_data,MATCH(J$1,quarterly!$1:$1,FALSE),FALSE)),"NA",VLOOKUP($A46,quarterly_data,MATCH(J$1,quarterly!$1:$1,FALSE),FALSE))</f>
        <v>19.329999999999998</v>
      </c>
      <c r="K46">
        <f>IF(COUNTIFS(monthly!C:C,"",monthly!$A:$A,"&gt;="&amp;$A46,monthly!$B:$B,"&lt;="&amp;$B46)&gt;0,"NA",AVERAGEIFS(monthly!C:C,monthly!$A:$A,"&gt;="&amp;$A46,monthly!$B:$B,"&lt;="&amp;$B46))</f>
        <v>87.85</v>
      </c>
      <c r="L46">
        <f>IF(COUNTIFS(monthly!D:D,"",monthly!$A:$A,"&gt;="&amp;$A46,monthly!$B:$B,"&lt;="&amp;$B46)&gt;0,"NA",AVERAGEIFS(monthly!D:D,monthly!$A:$A,"&gt;="&amp;$A46,monthly!$B:$B,"&lt;="&amp;$B46))</f>
        <v>1.1636500000000001</v>
      </c>
      <c r="M46" t="str">
        <f>IF(COUNTIFS(monthly!E:E,"",monthly!$A:$A,"&gt;="&amp;$A46,monthly!$B:$B,"&lt;="&amp;$B46)&gt;0,"NA",AVERAGEIFS(monthly!E:E,monthly!$A:$A,"&gt;="&amp;$A46,monthly!$B:$B,"&lt;="&amp;$B46))</f>
        <v>NA</v>
      </c>
      <c r="N46" t="str">
        <f>IF(COUNTIFS(monthly!F:F,"",monthly!$A:$A,"&gt;="&amp;$A46,monthly!$B:$B,"&lt;="&amp;$B46)&gt;0,"NA",AVERAGEIFS(monthly!F:F,monthly!$A:$A,"&gt;="&amp;$A46,monthly!$B:$B,"&lt;="&amp;$B46))</f>
        <v>NA</v>
      </c>
      <c r="O46">
        <f>IF(COUNTIFS(monthly!G:G,"",monthly!$A:$A,"&gt;="&amp;$A46,monthly!$B:$B,"&lt;="&amp;$B46)&gt;0,"NA",AVERAGEIFS(monthly!G:G,monthly!$A:$A,"&gt;="&amp;$A46,monthly!$B:$B,"&lt;="&amp;$B46))</f>
        <v>28.1</v>
      </c>
      <c r="P46">
        <f>IF(COUNTIFS(monthly!H:H,"",monthly!$A:$A,"&gt;="&amp;$A46,monthly!$B:$B,"&lt;="&amp;$B46)&gt;0,"NA",AVERAGEIFS(monthly!H:H,monthly!$A:$A,"&gt;="&amp;$A46,monthly!$B:$B,"&lt;="&amp;$B46))</f>
        <v>45</v>
      </c>
      <c r="Q46">
        <f>IF(COUNTIFS(monthly!I:I,"",monthly!$A:$A,"&gt;="&amp;$A46,monthly!$B:$B,"&lt;="&amp;$B46)&gt;0,"NA",AVERAGEIFS(monthly!I:I,monthly!$A:$A,"&gt;="&amp;$A46,monthly!$B:$B,"&lt;="&amp;$B46))</f>
        <v>39.5</v>
      </c>
      <c r="R46">
        <f>IF(COUNTIFS(monthly!J:J,"",monthly!$A:$A,"&gt;="&amp;$A46,monthly!$B:$B,"&lt;="&amp;$B46)&gt;0,"NA",AVERAGEIFS(monthly!J:J,monthly!$A:$A,"&gt;="&amp;$A46,monthly!$B:$B,"&lt;="&amp;$B46))</f>
        <v>6.03</v>
      </c>
      <c r="S46">
        <f>IF(COUNTIFS(monthly!K:K,"",monthly!$A:$A,"&gt;="&amp;$A46,monthly!$B:$B,"&lt;="&amp;$B46)&gt;0,"NA",AVERAGEIFS(monthly!K:K,monthly!$A:$A,"&gt;="&amp;$A46,monthly!$B:$B,"&lt;="&amp;$B46))</f>
        <v>9.884500000000001</v>
      </c>
      <c r="T46">
        <f>IF(COUNTIFS(monthly!L:L,"",monthly!$A:$A,"&gt;="&amp;$A46,monthly!$B:$B,"&lt;="&amp;$B46)&gt;0,"NA",AVERAGEIFS(monthly!L:L,monthly!$A:$A,"&gt;="&amp;$A46,monthly!$B:$B,"&lt;="&amp;$B46))</f>
        <v>17.509400921658983</v>
      </c>
      <c r="U46">
        <f>IF(COUNTIFS(monthly!M:M,"",monthly!$A:$A,"&gt;="&amp;$A46,monthly!$B:$B,"&lt;="&amp;$B46)&gt;0,"NA",AVERAGEIFS(monthly!M:M,monthly!$A:$A,"&gt;="&amp;$A46,monthly!$B:$B,"&lt;="&amp;$B46))</f>
        <v>-7.6249009216589823</v>
      </c>
      <c r="V46" t="str">
        <f>IF(COUNTIFS(monthly!N:N,"",monthly!$A:$A,"&gt;="&amp;$A46,monthly!$B:$B,"&lt;="&amp;$B46)&gt;0,"NA",AVERAGEIFS(monthly!N:N,monthly!$A:$A,"&gt;="&amp;$A46,monthly!$B:$B,"&lt;="&amp;$B46))</f>
        <v>NA</v>
      </c>
      <c r="W46">
        <f>IF(COUNTIFS(monthly!O:O,"",monthly!$A:$A,"&gt;="&amp;$A46,monthly!$B:$B,"&lt;="&amp;$B46)&gt;0,"NA",AVERAGEIFS(monthly!O:O,monthly!$A:$A,"&gt;="&amp;$A46,monthly!$B:$B,"&lt;="&amp;$B46))</f>
        <v>13.590634920634921</v>
      </c>
      <c r="X46" t="str">
        <f>IF(COUNTIFS(monthly!P:P,"",monthly!$A:$A,"&gt;="&amp;$A46,monthly!$B:$B,"&lt;="&amp;$B46)&gt;0,"NA",AVERAGEIFS(monthly!P:P,monthly!$A:$A,"&gt;="&amp;$A46,monthly!$B:$B,"&lt;="&amp;$B46))</f>
        <v>NA</v>
      </c>
      <c r="Y46">
        <f>IF(COUNTIFS(monthly!Q:Q,"",monthly!$A:$A,"&gt;="&amp;$A46,monthly!$B:$B,"&lt;="&amp;$B46)&gt;0,"NA",AVERAGEIFS(monthly!Q:Q,monthly!$A:$A,"&gt;="&amp;$A46,monthly!$B:$B,"&lt;="&amp;$B46))</f>
        <v>13.1</v>
      </c>
      <c r="Z46">
        <f>IF(COUNTIFS(monthly!R:R,"",monthly!$A:$A,"&gt;="&amp;$A46,monthly!$B:$B,"&lt;="&amp;$B46)&gt;0,"NA",AVERAGEIFS(monthly!R:R,monthly!$A:$A,"&gt;="&amp;$A46,monthly!$B:$B,"&lt;="&amp;$B46))</f>
        <v>12.881507936507941</v>
      </c>
      <c r="AA46">
        <f>IF(COUNTIFS(monthly!S:S,"",monthly!$A:$A,"&gt;="&amp;$A46,monthly!$B:$B,"&lt;="&amp;$B46)&gt;0,"NA",AVERAGEIFS(monthly!S:S,monthly!$A:$A,"&gt;="&amp;$A46,monthly!$B:$B,"&lt;="&amp;$B46))</f>
        <v>0.21849206349205996</v>
      </c>
      <c r="AB46" t="str">
        <f>IF(COUNTIFS(monthly!T:T,"",monthly!$A:$A,"&gt;="&amp;$A46,monthly!$B:$B,"&lt;="&amp;$B46)&gt;0,"NA",AVERAGEIFS(monthly!T:T,monthly!$A:$A,"&gt;="&amp;$A46,monthly!$B:$B,"&lt;="&amp;$B46))</f>
        <v>NA</v>
      </c>
      <c r="AC46" t="str">
        <f>IF(COUNTIFS(monthly!U:U,"",monthly!$A:$A,"&gt;="&amp;$A46,monthly!$B:$B,"&lt;="&amp;$B46)&gt;0,"NA",AVERAGEIFS(monthly!U:U,monthly!$A:$A,"&gt;="&amp;$A46,monthly!$B:$B,"&lt;="&amp;$B46))</f>
        <v>NA</v>
      </c>
      <c r="AD46" t="str">
        <f>IF(COUNTIFS(monthly!V:V,"",monthly!$A:$A,"&gt;="&amp;$A46,monthly!$B:$B,"&lt;="&amp;$B46)&gt;0,"NA",AVERAGEIFS(monthly!V:V,monthly!$A:$A,"&gt;="&amp;$A46,monthly!$B:$B,"&lt;="&amp;$B46))</f>
        <v>NA</v>
      </c>
      <c r="AE46" t="str">
        <f>IF(COUNTIFS(monthly!W:W,"",monthly!$A:$A,"&gt;="&amp;$A46,monthly!$B:$B,"&lt;="&amp;$B46)&gt;0,"NA",AVERAGEIFS(monthly!W:W,monthly!$A:$A,"&gt;="&amp;$A46,monthly!$B:$B,"&lt;="&amp;$B46))</f>
        <v>NA</v>
      </c>
      <c r="AF46" t="str">
        <f>IF(COUNTIFS(monthly!X:X,"",monthly!$A:$A,"&gt;="&amp;$A46,monthly!$B:$B,"&lt;="&amp;$B46)&gt;0,"NA",AVERAGEIFS(monthly!X:X,monthly!$A:$A,"&gt;="&amp;$A46,monthly!$B:$B,"&lt;="&amp;$B46))</f>
        <v>NA</v>
      </c>
      <c r="AG46" t="str">
        <f>IF(COUNTIFS(monthly!Y:Y,"",monthly!$A:$A,"&gt;="&amp;$A46,monthly!$B:$B,"&lt;="&amp;$B46)&gt;0,"NA",AVERAGEIFS(monthly!Y:Y,monthly!$A:$A,"&gt;="&amp;$A46,monthly!$B:$B,"&lt;="&amp;$B46))</f>
        <v>NA</v>
      </c>
      <c r="AH46" t="str">
        <f>IF(COUNTIFS(monthly!Z:Z,"",monthly!$A:$A,"&gt;="&amp;$A46,monthly!$B:$B,"&lt;="&amp;$B46)&gt;0,"NA",AVERAGEIFS(monthly!Z:Z,monthly!$A:$A,"&gt;="&amp;$A46,monthly!$B:$B,"&lt;="&amp;$B46))</f>
        <v>NA</v>
      </c>
    </row>
    <row r="47" spans="1:34" x14ac:dyDescent="0.2">
      <c r="A47" s="1">
        <v>29677</v>
      </c>
      <c r="B47" s="1">
        <v>29767</v>
      </c>
      <c r="C47">
        <f>IF(ISBLANK(VLOOKUP($A47,quarterly_data,MATCH(C$1,quarterly!$1:$1,FALSE),FALSE)),"NA",VLOOKUP($A47,quarterly_data,MATCH(C$1,quarterly!$1:$1,FALSE),FALSE))</f>
        <v>140.78185974000613</v>
      </c>
      <c r="D47">
        <f>IF(ISBLANK(VLOOKUP($A47,quarterly_data,MATCH(D$1,quarterly!$1:$1,FALSE),FALSE)),"NA",VLOOKUP($A47,quarterly_data,MATCH(D$1,quarterly!$1:$1,FALSE),FALSE))</f>
        <v>52.8</v>
      </c>
      <c r="E47">
        <f>IF(ISBLANK(VLOOKUP($A47,quarterly_data,MATCH(E$1,quarterly!$1:$1,FALSE),FALSE)),"NA",VLOOKUP($A47,quarterly_data,MATCH(E$1,quarterly!$1:$1,FALSE),FALSE))</f>
        <v>0.21708459999999999</v>
      </c>
      <c r="F47">
        <f>IF(ISBLANK(VLOOKUP($A47,quarterly_data,MATCH(F$1,quarterly!$1:$1,FALSE),FALSE)),"NA",VLOOKUP($A47,quarterly_data,MATCH(F$1,quarterly!$1:$1,FALSE),FALSE))</f>
        <v>5.8094600000000003E-2</v>
      </c>
      <c r="G47">
        <f>IF(ISBLANK(VLOOKUP($A47,quarterly_data,MATCH(G$1,quarterly!$1:$1,FALSE),FALSE)),"NA",VLOOKUP($A47,quarterly_data,MATCH(G$1,quarterly!$1:$1,FALSE),FALSE))</f>
        <v>7403.7449999999999</v>
      </c>
      <c r="H47">
        <f>IF(ISBLANK(VLOOKUP($A47,quarterly_data,MATCH(H$1,quarterly!$1:$1,FALSE),FALSE)),"NA",VLOOKUP($A47,quarterly_data,MATCH(H$1,quarterly!$1:$1,FALSE),FALSE))</f>
        <v>190697</v>
      </c>
      <c r="I47" t="str">
        <f>IF(ISBLANK(VLOOKUP($A47,quarterly_data,MATCH(I$1,quarterly!$1:$1,FALSE),FALSE)),"NA",VLOOKUP($A47,quarterly_data,MATCH(I$1,quarterly!$1:$1,FALSE),FALSE))</f>
        <v>NA</v>
      </c>
      <c r="J47">
        <f>IF(ISBLANK(VLOOKUP($A47,quarterly_data,MATCH(J$1,quarterly!$1:$1,FALSE),FALSE)),"NA",VLOOKUP($A47,quarterly_data,MATCH(J$1,quarterly!$1:$1,FALSE),FALSE))</f>
        <v>19.760000000000002</v>
      </c>
      <c r="K47">
        <f>IF(COUNTIFS(monthly!C:C,"",monthly!$A:$A,"&gt;="&amp;$A47,monthly!$B:$B,"&lt;="&amp;$B47)&gt;0,"NA",AVERAGEIFS(monthly!C:C,monthly!$A:$A,"&gt;="&amp;$A47,monthly!$B:$B,"&lt;="&amp;$B47))</f>
        <v>91.066666666666677</v>
      </c>
      <c r="L47">
        <f>IF(COUNTIFS(monthly!D:D,"",monthly!$A:$A,"&gt;="&amp;$A47,monthly!$B:$B,"&lt;="&amp;$B47)&gt;0,"NA",AVERAGEIFS(monthly!D:D,monthly!$A:$A,"&gt;="&amp;$A47,monthly!$B:$B,"&lt;="&amp;$B47))</f>
        <v>1.1456666666666668</v>
      </c>
      <c r="M47" t="str">
        <f>IF(COUNTIFS(monthly!E:E,"",monthly!$A:$A,"&gt;="&amp;$A47,monthly!$B:$B,"&lt;="&amp;$B47)&gt;0,"NA",AVERAGEIFS(monthly!E:E,monthly!$A:$A,"&gt;="&amp;$A47,monthly!$B:$B,"&lt;="&amp;$B47))</f>
        <v>NA</v>
      </c>
      <c r="N47" t="str">
        <f>IF(COUNTIFS(monthly!F:F,"",monthly!$A:$A,"&gt;="&amp;$A47,monthly!$B:$B,"&lt;="&amp;$B47)&gt;0,"NA",AVERAGEIFS(monthly!F:F,monthly!$A:$A,"&gt;="&amp;$A47,monthly!$B:$B,"&lt;="&amp;$B47))</f>
        <v>NA</v>
      </c>
      <c r="O47">
        <f>IF(COUNTIFS(monthly!G:G,"",monthly!$A:$A,"&gt;="&amp;$A47,monthly!$B:$B,"&lt;="&amp;$B47)&gt;0,"NA",AVERAGEIFS(monthly!G:G,monthly!$A:$A,"&gt;="&amp;$A47,monthly!$B:$B,"&lt;="&amp;$B47))</f>
        <v>28.100000000000005</v>
      </c>
      <c r="P47">
        <f>IF(COUNTIFS(monthly!H:H,"",monthly!$A:$A,"&gt;="&amp;$A47,monthly!$B:$B,"&lt;="&amp;$B47)&gt;0,"NA",AVERAGEIFS(monthly!H:H,monthly!$A:$A,"&gt;="&amp;$A47,monthly!$B:$B,"&lt;="&amp;$B47))</f>
        <v>56.5</v>
      </c>
      <c r="Q47">
        <f>IF(COUNTIFS(monthly!I:I,"",monthly!$A:$A,"&gt;="&amp;$A47,monthly!$B:$B,"&lt;="&amp;$B47)&gt;0,"NA",AVERAGEIFS(monthly!I:I,monthly!$A:$A,"&gt;="&amp;$A47,monthly!$B:$B,"&lt;="&amp;$B47))</f>
        <v>35.233333333333334</v>
      </c>
      <c r="R47">
        <f>IF(COUNTIFS(monthly!J:J,"",monthly!$A:$A,"&gt;="&amp;$A47,monthly!$B:$B,"&lt;="&amp;$B47)&gt;0,"NA",AVERAGEIFS(monthly!J:J,monthly!$A:$A,"&gt;="&amp;$A47,monthly!$B:$B,"&lt;="&amp;$B47))</f>
        <v>6.03</v>
      </c>
      <c r="S47">
        <f>IF(COUNTIFS(monthly!K:K,"",monthly!$A:$A,"&gt;="&amp;$A47,monthly!$B:$B,"&lt;="&amp;$B47)&gt;0,"NA",AVERAGEIFS(monthly!K:K,monthly!$A:$A,"&gt;="&amp;$A47,monthly!$B:$B,"&lt;="&amp;$B47))</f>
        <v>12.224531024531025</v>
      </c>
      <c r="T47">
        <f>IF(COUNTIFS(monthly!L:L,"",monthly!$A:$A,"&gt;="&amp;$A47,monthly!$B:$B,"&lt;="&amp;$B47)&gt;0,"NA",AVERAGEIFS(monthly!L:L,monthly!$A:$A,"&gt;="&amp;$A47,monthly!$B:$B,"&lt;="&amp;$B47))</f>
        <v>17.778802867383508</v>
      </c>
      <c r="U47">
        <f>IF(COUNTIFS(monthly!M:M,"",monthly!$A:$A,"&gt;="&amp;$A47,monthly!$B:$B,"&lt;="&amp;$B47)&gt;0,"NA",AVERAGEIFS(monthly!M:M,monthly!$A:$A,"&gt;="&amp;$A47,monthly!$B:$B,"&lt;="&amp;$B47))</f>
        <v>-5.5542718428524855</v>
      </c>
      <c r="V47" t="str">
        <f>IF(COUNTIFS(monthly!N:N,"",monthly!$A:$A,"&gt;="&amp;$A47,monthly!$B:$B,"&lt;="&amp;$B47)&gt;0,"NA",AVERAGEIFS(monthly!N:N,monthly!$A:$A,"&gt;="&amp;$A47,monthly!$B:$B,"&lt;="&amp;$B47))</f>
        <v>NA</v>
      </c>
      <c r="W47">
        <f>IF(COUNTIFS(monthly!O:O,"",monthly!$A:$A,"&gt;="&amp;$A47,monthly!$B:$B,"&lt;="&amp;$B47)&gt;0,"NA",AVERAGEIFS(monthly!O:O,monthly!$A:$A,"&gt;="&amp;$A47,monthly!$B:$B,"&lt;="&amp;$B47))</f>
        <v>14.704779220779221</v>
      </c>
      <c r="X47" t="str">
        <f>IF(COUNTIFS(monthly!P:P,"",monthly!$A:$A,"&gt;="&amp;$A47,monthly!$B:$B,"&lt;="&amp;$B47)&gt;0,"NA",AVERAGEIFS(monthly!P:P,monthly!$A:$A,"&gt;="&amp;$A47,monthly!$B:$B,"&lt;="&amp;$B47))</f>
        <v>NA</v>
      </c>
      <c r="Y47">
        <f>IF(COUNTIFS(monthly!Q:Q,"",monthly!$A:$A,"&gt;="&amp;$A47,monthly!$B:$B,"&lt;="&amp;$B47)&gt;0,"NA",AVERAGEIFS(monthly!Q:Q,monthly!$A:$A,"&gt;="&amp;$A47,monthly!$B:$B,"&lt;="&amp;$B47))</f>
        <v>13.1</v>
      </c>
      <c r="Z47">
        <f>IF(COUNTIFS(monthly!R:R,"",monthly!$A:$A,"&gt;="&amp;$A47,monthly!$B:$B,"&lt;="&amp;$B47)&gt;0,"NA",AVERAGEIFS(monthly!R:R,monthly!$A:$A,"&gt;="&amp;$A47,monthly!$B:$B,"&lt;="&amp;$B47))</f>
        <v>13.750432178932181</v>
      </c>
      <c r="AA47">
        <f>IF(COUNTIFS(monthly!S:S,"",monthly!$A:$A,"&gt;="&amp;$A47,monthly!$B:$B,"&lt;="&amp;$B47)&gt;0,"NA",AVERAGEIFS(monthly!S:S,monthly!$A:$A,"&gt;="&amp;$A47,monthly!$B:$B,"&lt;="&amp;$B47))</f>
        <v>-0.65043217893218086</v>
      </c>
      <c r="AB47" t="str">
        <f>IF(COUNTIFS(monthly!T:T,"",monthly!$A:$A,"&gt;="&amp;$A47,monthly!$B:$B,"&lt;="&amp;$B47)&gt;0,"NA",AVERAGEIFS(monthly!T:T,monthly!$A:$A,"&gt;="&amp;$A47,monthly!$B:$B,"&lt;="&amp;$B47))</f>
        <v>NA</v>
      </c>
      <c r="AC47" t="str">
        <f>IF(COUNTIFS(monthly!U:U,"",monthly!$A:$A,"&gt;="&amp;$A47,monthly!$B:$B,"&lt;="&amp;$B47)&gt;0,"NA",AVERAGEIFS(monthly!U:U,monthly!$A:$A,"&gt;="&amp;$A47,monthly!$B:$B,"&lt;="&amp;$B47))</f>
        <v>NA</v>
      </c>
      <c r="AD47" t="str">
        <f>IF(COUNTIFS(monthly!V:V,"",monthly!$A:$A,"&gt;="&amp;$A47,monthly!$B:$B,"&lt;="&amp;$B47)&gt;0,"NA",AVERAGEIFS(monthly!V:V,monthly!$A:$A,"&gt;="&amp;$A47,monthly!$B:$B,"&lt;="&amp;$B47))</f>
        <v>NA</v>
      </c>
      <c r="AE47" t="str">
        <f>IF(COUNTIFS(monthly!W:W,"",monthly!$A:$A,"&gt;="&amp;$A47,monthly!$B:$B,"&lt;="&amp;$B47)&gt;0,"NA",AVERAGEIFS(monthly!W:W,monthly!$A:$A,"&gt;="&amp;$A47,monthly!$B:$B,"&lt;="&amp;$B47))</f>
        <v>NA</v>
      </c>
      <c r="AF47" t="str">
        <f>IF(COUNTIFS(monthly!X:X,"",monthly!$A:$A,"&gt;="&amp;$A47,monthly!$B:$B,"&lt;="&amp;$B47)&gt;0,"NA",AVERAGEIFS(monthly!X:X,monthly!$A:$A,"&gt;="&amp;$A47,monthly!$B:$B,"&lt;="&amp;$B47))</f>
        <v>NA</v>
      </c>
      <c r="AG47" t="str">
        <f>IF(COUNTIFS(monthly!Y:Y,"",monthly!$A:$A,"&gt;="&amp;$A47,monthly!$B:$B,"&lt;="&amp;$B47)&gt;0,"NA",AVERAGEIFS(monthly!Y:Y,monthly!$A:$A,"&gt;="&amp;$A47,monthly!$B:$B,"&lt;="&amp;$B47))</f>
        <v>NA</v>
      </c>
      <c r="AH47" t="str">
        <f>IF(COUNTIFS(monthly!Z:Z,"",monthly!$A:$A,"&gt;="&amp;$A47,monthly!$B:$B,"&lt;="&amp;$B47)&gt;0,"NA",AVERAGEIFS(monthly!Z:Z,monthly!$A:$A,"&gt;="&amp;$A47,monthly!$B:$B,"&lt;="&amp;$B47))</f>
        <v>NA</v>
      </c>
    </row>
    <row r="48" spans="1:34" x14ac:dyDescent="0.2">
      <c r="A48" s="1">
        <v>29768</v>
      </c>
      <c r="B48" s="1">
        <v>29859</v>
      </c>
      <c r="C48">
        <f>IF(ISBLANK(VLOOKUP($A48,quarterly_data,MATCH(C$1,quarterly!$1:$1,FALSE),FALSE)),"NA",VLOOKUP($A48,quarterly_data,MATCH(C$1,quarterly!$1:$1,FALSE),FALSE))</f>
        <v>145.3723462805464</v>
      </c>
      <c r="D48">
        <f>IF(ISBLANK(VLOOKUP($A48,quarterly_data,MATCH(D$1,quarterly!$1:$1,FALSE),FALSE)),"NA",VLOOKUP($A48,quarterly_data,MATCH(D$1,quarterly!$1:$1,FALSE),FALSE))</f>
        <v>53.8</v>
      </c>
      <c r="E48">
        <f>IF(ISBLANK(VLOOKUP($A48,quarterly_data,MATCH(E$1,quarterly!$1:$1,FALSE),FALSE)),"NA",VLOOKUP($A48,quarterly_data,MATCH(E$1,quarterly!$1:$1,FALSE),FALSE))</f>
        <v>0</v>
      </c>
      <c r="F48">
        <f>IF(ISBLANK(VLOOKUP($A48,quarterly_data,MATCH(F$1,quarterly!$1:$1,FALSE),FALSE)),"NA",VLOOKUP($A48,quarterly_data,MATCH(F$1,quarterly!$1:$1,FALSE),FALSE))</f>
        <v>2.5441999999999999E-2</v>
      </c>
      <c r="G48">
        <f>IF(ISBLANK(VLOOKUP($A48,quarterly_data,MATCH(G$1,quarterly!$1:$1,FALSE),FALSE)),"NA",VLOOKUP($A48,quarterly_data,MATCH(G$1,quarterly!$1:$1,FALSE),FALSE))</f>
        <v>7492.4049999999997</v>
      </c>
      <c r="H48">
        <f>IF(ISBLANK(VLOOKUP($A48,quarterly_data,MATCH(H$1,quarterly!$1:$1,FALSE),FALSE)),"NA",VLOOKUP($A48,quarterly_data,MATCH(H$1,quarterly!$1:$1,FALSE),FALSE))</f>
        <v>194547</v>
      </c>
      <c r="I48" t="str">
        <f>IF(ISBLANK(VLOOKUP($A48,quarterly_data,MATCH(I$1,quarterly!$1:$1,FALSE),FALSE)),"NA",VLOOKUP($A48,quarterly_data,MATCH(I$1,quarterly!$1:$1,FALSE),FALSE))</f>
        <v>NA</v>
      </c>
      <c r="J48">
        <f>IF(ISBLANK(VLOOKUP($A48,quarterly_data,MATCH(J$1,quarterly!$1:$1,FALSE),FALSE)),"NA",VLOOKUP($A48,quarterly_data,MATCH(J$1,quarterly!$1:$1,FALSE),FALSE))</f>
        <v>20.14</v>
      </c>
      <c r="K48">
        <f>IF(COUNTIFS(monthly!C:C,"",monthly!$A:$A,"&gt;="&amp;$A48,monthly!$B:$B,"&lt;="&amp;$B48)&gt;0,"NA",AVERAGEIFS(monthly!C:C,monthly!$A:$A,"&gt;="&amp;$A48,monthly!$B:$B,"&lt;="&amp;$B48))</f>
        <v>94.13333333333334</v>
      </c>
      <c r="L48">
        <f>IF(COUNTIFS(monthly!D:D,"",monthly!$A:$A,"&gt;="&amp;$A48,monthly!$B:$B,"&lt;="&amp;$B48)&gt;0,"NA",AVERAGEIFS(monthly!D:D,monthly!$A:$A,"&gt;="&amp;$A48,monthly!$B:$B,"&lt;="&amp;$B48))</f>
        <v>1.1426000000000001</v>
      </c>
      <c r="M48" t="str">
        <f>IF(COUNTIFS(monthly!E:E,"",monthly!$A:$A,"&gt;="&amp;$A48,monthly!$B:$B,"&lt;="&amp;$B48)&gt;0,"NA",AVERAGEIFS(monthly!E:E,monthly!$A:$A,"&gt;="&amp;$A48,monthly!$B:$B,"&lt;="&amp;$B48))</f>
        <v>NA</v>
      </c>
      <c r="N48" t="str">
        <f>IF(COUNTIFS(monthly!F:F,"",monthly!$A:$A,"&gt;="&amp;$A48,monthly!$B:$B,"&lt;="&amp;$B48)&gt;0,"NA",AVERAGEIFS(monthly!F:F,monthly!$A:$A,"&gt;="&amp;$A48,monthly!$B:$B,"&lt;="&amp;$B48))</f>
        <v>NA</v>
      </c>
      <c r="O48">
        <f>IF(COUNTIFS(monthly!G:G,"",monthly!$A:$A,"&gt;="&amp;$A48,monthly!$B:$B,"&lt;="&amp;$B48)&gt;0,"NA",AVERAGEIFS(monthly!G:G,monthly!$A:$A,"&gt;="&amp;$A48,monthly!$B:$B,"&lt;="&amp;$B48))</f>
        <v>28.100000000000005</v>
      </c>
      <c r="P48">
        <f>IF(COUNTIFS(monthly!H:H,"",monthly!$A:$A,"&gt;="&amp;$A48,monthly!$B:$B,"&lt;="&amp;$B48)&gt;0,"NA",AVERAGEIFS(monthly!H:H,monthly!$A:$A,"&gt;="&amp;$A48,monthly!$B:$B,"&lt;="&amp;$B48))</f>
        <v>56.5</v>
      </c>
      <c r="Q48">
        <f>IF(COUNTIFS(monthly!I:I,"",monthly!$A:$A,"&gt;="&amp;$A48,monthly!$B:$B,"&lt;="&amp;$B48)&gt;0,"NA",AVERAGEIFS(monthly!I:I,monthly!$A:$A,"&gt;="&amp;$A48,monthly!$B:$B,"&lt;="&amp;$B48))</f>
        <v>35.6</v>
      </c>
      <c r="R48">
        <f>IF(COUNTIFS(monthly!J:J,"",monthly!$A:$A,"&gt;="&amp;$A48,monthly!$B:$B,"&lt;="&amp;$B48)&gt;0,"NA",AVERAGEIFS(monthly!J:J,monthly!$A:$A,"&gt;="&amp;$A48,monthly!$B:$B,"&lt;="&amp;$B48))</f>
        <v>6.03</v>
      </c>
      <c r="S48">
        <f>IF(COUNTIFS(monthly!K:K,"",monthly!$A:$A,"&gt;="&amp;$A48,monthly!$B:$B,"&lt;="&amp;$B48)&gt;0,"NA",AVERAGEIFS(monthly!K:K,monthly!$A:$A,"&gt;="&amp;$A48,monthly!$B:$B,"&lt;="&amp;$B48))</f>
        <v>13.022248258987389</v>
      </c>
      <c r="T48">
        <f>IF(COUNTIFS(monthly!L:L,"",monthly!$A:$A,"&gt;="&amp;$A48,monthly!$B:$B,"&lt;="&amp;$B48)&gt;0,"NA",AVERAGEIFS(monthly!L:L,monthly!$A:$A,"&gt;="&amp;$A48,monthly!$B:$B,"&lt;="&amp;$B48))</f>
        <v>17.575849462365589</v>
      </c>
      <c r="U48">
        <f>IF(COUNTIFS(monthly!M:M,"",monthly!$A:$A,"&gt;="&amp;$A48,monthly!$B:$B,"&lt;="&amp;$B48)&gt;0,"NA",AVERAGEIFS(monthly!M:M,monthly!$A:$A,"&gt;="&amp;$A48,monthly!$B:$B,"&lt;="&amp;$B48))</f>
        <v>-4.553601203378201</v>
      </c>
      <c r="V48" t="str">
        <f>IF(COUNTIFS(monthly!N:N,"",monthly!$A:$A,"&gt;="&amp;$A48,monthly!$B:$B,"&lt;="&amp;$B48)&gt;0,"NA",AVERAGEIFS(monthly!N:N,monthly!$A:$A,"&gt;="&amp;$A48,monthly!$B:$B,"&lt;="&amp;$B48))</f>
        <v>NA</v>
      </c>
      <c r="W48">
        <f>IF(COUNTIFS(monthly!O:O,"",monthly!$A:$A,"&gt;="&amp;$A48,monthly!$B:$B,"&lt;="&amp;$B48)&gt;0,"NA",AVERAGEIFS(monthly!O:O,monthly!$A:$A,"&gt;="&amp;$A48,monthly!$B:$B,"&lt;="&amp;$B48))</f>
        <v>16.032157287157286</v>
      </c>
      <c r="X48" t="str">
        <f>IF(COUNTIFS(monthly!P:P,"",monthly!$A:$A,"&gt;="&amp;$A48,monthly!$B:$B,"&lt;="&amp;$B48)&gt;0,"NA",AVERAGEIFS(monthly!P:P,monthly!$A:$A,"&gt;="&amp;$A48,monthly!$B:$B,"&lt;="&amp;$B48))</f>
        <v>NA</v>
      </c>
      <c r="Y48">
        <f>IF(COUNTIFS(monthly!Q:Q,"",monthly!$A:$A,"&gt;="&amp;$A48,monthly!$B:$B,"&lt;="&amp;$B48)&gt;0,"NA",AVERAGEIFS(monthly!Q:Q,monthly!$A:$A,"&gt;="&amp;$A48,monthly!$B:$B,"&lt;="&amp;$B48))</f>
        <v>14.633333333333333</v>
      </c>
      <c r="Z48">
        <f>IF(COUNTIFS(monthly!R:R,"",monthly!$A:$A,"&gt;="&amp;$A48,monthly!$B:$B,"&lt;="&amp;$B48)&gt;0,"NA",AVERAGEIFS(monthly!R:R,monthly!$A:$A,"&gt;="&amp;$A48,monthly!$B:$B,"&lt;="&amp;$B48))</f>
        <v>14.847287157287157</v>
      </c>
      <c r="AA48">
        <f>IF(COUNTIFS(monthly!S:S,"",monthly!$A:$A,"&gt;="&amp;$A48,monthly!$B:$B,"&lt;="&amp;$B48)&gt;0,"NA",AVERAGEIFS(monthly!S:S,monthly!$A:$A,"&gt;="&amp;$A48,monthly!$B:$B,"&lt;="&amp;$B48))</f>
        <v>-0.21395382395382376</v>
      </c>
      <c r="AB48" t="str">
        <f>IF(COUNTIFS(monthly!T:T,"",monthly!$A:$A,"&gt;="&amp;$A48,monthly!$B:$B,"&lt;="&amp;$B48)&gt;0,"NA",AVERAGEIFS(monthly!T:T,monthly!$A:$A,"&gt;="&amp;$A48,monthly!$B:$B,"&lt;="&amp;$B48))</f>
        <v>NA</v>
      </c>
      <c r="AC48" t="str">
        <f>IF(COUNTIFS(monthly!U:U,"",monthly!$A:$A,"&gt;="&amp;$A48,monthly!$B:$B,"&lt;="&amp;$B48)&gt;0,"NA",AVERAGEIFS(monthly!U:U,monthly!$A:$A,"&gt;="&amp;$A48,monthly!$B:$B,"&lt;="&amp;$B48))</f>
        <v>NA</v>
      </c>
      <c r="AD48" t="str">
        <f>IF(COUNTIFS(monthly!V:V,"",monthly!$A:$A,"&gt;="&amp;$A48,monthly!$B:$B,"&lt;="&amp;$B48)&gt;0,"NA",AVERAGEIFS(monthly!V:V,monthly!$A:$A,"&gt;="&amp;$A48,monthly!$B:$B,"&lt;="&amp;$B48))</f>
        <v>NA</v>
      </c>
      <c r="AE48" t="str">
        <f>IF(COUNTIFS(monthly!W:W,"",monthly!$A:$A,"&gt;="&amp;$A48,monthly!$B:$B,"&lt;="&amp;$B48)&gt;0,"NA",AVERAGEIFS(monthly!W:W,monthly!$A:$A,"&gt;="&amp;$A48,monthly!$B:$B,"&lt;="&amp;$B48))</f>
        <v>NA</v>
      </c>
      <c r="AF48" t="str">
        <f>IF(COUNTIFS(monthly!X:X,"",monthly!$A:$A,"&gt;="&amp;$A48,monthly!$B:$B,"&lt;="&amp;$B48)&gt;0,"NA",AVERAGEIFS(monthly!X:X,monthly!$A:$A,"&gt;="&amp;$A48,monthly!$B:$B,"&lt;="&amp;$B48))</f>
        <v>NA</v>
      </c>
      <c r="AG48" t="str">
        <f>IF(COUNTIFS(monthly!Y:Y,"",monthly!$A:$A,"&gt;="&amp;$A48,monthly!$B:$B,"&lt;="&amp;$B48)&gt;0,"NA",AVERAGEIFS(monthly!Y:Y,monthly!$A:$A,"&gt;="&amp;$A48,monthly!$B:$B,"&lt;="&amp;$B48))</f>
        <v>NA</v>
      </c>
      <c r="AH48" t="str">
        <f>IF(COUNTIFS(monthly!Z:Z,"",monthly!$A:$A,"&gt;="&amp;$A48,monthly!$B:$B,"&lt;="&amp;$B48)&gt;0,"NA",AVERAGEIFS(monthly!Z:Z,monthly!$A:$A,"&gt;="&amp;$A48,monthly!$B:$B,"&lt;="&amp;$B48))</f>
        <v>NA</v>
      </c>
    </row>
    <row r="49" spans="1:34" x14ac:dyDescent="0.2">
      <c r="A49" s="1">
        <v>29860</v>
      </c>
      <c r="B49" s="1">
        <v>29950</v>
      </c>
      <c r="C49">
        <f>IF(ISBLANK(VLOOKUP($A49,quarterly_data,MATCH(C$1,quarterly!$1:$1,FALSE),FALSE)),"NA",VLOOKUP($A49,quarterly_data,MATCH(C$1,quarterly!$1:$1,FALSE),FALSE))</f>
        <v>143.26947623551641</v>
      </c>
      <c r="D49">
        <f>IF(ISBLANK(VLOOKUP($A49,quarterly_data,MATCH(D$1,quarterly!$1:$1,FALSE),FALSE)),"NA",VLOOKUP($A49,quarterly_data,MATCH(D$1,quarterly!$1:$1,FALSE),FALSE))</f>
        <v>52.3</v>
      </c>
      <c r="E49">
        <f>IF(ISBLANK(VLOOKUP($A49,quarterly_data,MATCH(E$1,quarterly!$1:$1,FALSE),FALSE)),"NA",VLOOKUP($A49,quarterly_data,MATCH(E$1,quarterly!$1:$1,FALSE),FALSE))</f>
        <v>0.13958680000000001</v>
      </c>
      <c r="F49">
        <f>IF(ISBLANK(VLOOKUP($A49,quarterly_data,MATCH(F$1,quarterly!$1:$1,FALSE),FALSE)),"NA",VLOOKUP($A49,quarterly_data,MATCH(F$1,quarterly!$1:$1,FALSE),FALSE))</f>
        <v>3.5153499999999997E-2</v>
      </c>
      <c r="G49">
        <f>IF(ISBLANK(VLOOKUP($A49,quarterly_data,MATCH(G$1,quarterly!$1:$1,FALSE),FALSE)),"NA",VLOOKUP($A49,quarterly_data,MATCH(G$1,quarterly!$1:$1,FALSE),FALSE))</f>
        <v>7410.768</v>
      </c>
      <c r="H49">
        <f>IF(ISBLANK(VLOOKUP($A49,quarterly_data,MATCH(H$1,quarterly!$1:$1,FALSE),FALSE)),"NA",VLOOKUP($A49,quarterly_data,MATCH(H$1,quarterly!$1:$1,FALSE),FALSE))</f>
        <v>193739</v>
      </c>
      <c r="I49" t="str">
        <f>IF(ISBLANK(VLOOKUP($A49,quarterly_data,MATCH(I$1,quarterly!$1:$1,FALSE),FALSE)),"NA",VLOOKUP($A49,quarterly_data,MATCH(I$1,quarterly!$1:$1,FALSE),FALSE))</f>
        <v>NA</v>
      </c>
      <c r="J49">
        <f>IF(ISBLANK(VLOOKUP($A49,quarterly_data,MATCH(J$1,quarterly!$1:$1,FALSE),FALSE)),"NA",VLOOKUP($A49,quarterly_data,MATCH(J$1,quarterly!$1:$1,FALSE),FALSE))</f>
        <v>20.99</v>
      </c>
      <c r="K49">
        <f>IF(COUNTIFS(monthly!C:C,"",monthly!$A:$A,"&gt;="&amp;$A49,monthly!$B:$B,"&lt;="&amp;$B49)&gt;0,"NA",AVERAGEIFS(monthly!C:C,monthly!$A:$A,"&gt;="&amp;$A49,monthly!$B:$B,"&lt;="&amp;$B49))</f>
        <v>92.1</v>
      </c>
      <c r="L49">
        <f>IF(COUNTIFS(monthly!D:D,"",monthly!$A:$A,"&gt;="&amp;$A49,monthly!$B:$B,"&lt;="&amp;$B49)&gt;0,"NA",AVERAGEIFS(monthly!D:D,monthly!$A:$A,"&gt;="&amp;$A49,monthly!$B:$B,"&lt;="&amp;$B49))</f>
        <v>1.1432</v>
      </c>
      <c r="M49" t="str">
        <f>IF(COUNTIFS(monthly!E:E,"",monthly!$A:$A,"&gt;="&amp;$A49,monthly!$B:$B,"&lt;="&amp;$B49)&gt;0,"NA",AVERAGEIFS(monthly!E:E,monthly!$A:$A,"&gt;="&amp;$A49,monthly!$B:$B,"&lt;="&amp;$B49))</f>
        <v>NA</v>
      </c>
      <c r="N49" t="str">
        <f>IF(COUNTIFS(monthly!F:F,"",monthly!$A:$A,"&gt;="&amp;$A49,monthly!$B:$B,"&lt;="&amp;$B49)&gt;0,"NA",AVERAGEIFS(monthly!F:F,monthly!$A:$A,"&gt;="&amp;$A49,monthly!$B:$B,"&lt;="&amp;$B49))</f>
        <v>NA</v>
      </c>
      <c r="O49">
        <f>IF(COUNTIFS(monthly!G:G,"",monthly!$A:$A,"&gt;="&amp;$A49,monthly!$B:$B,"&lt;="&amp;$B49)&gt;0,"NA",AVERAGEIFS(monthly!G:G,monthly!$A:$A,"&gt;="&amp;$A49,monthly!$B:$B,"&lt;="&amp;$B49))</f>
        <v>28.1</v>
      </c>
      <c r="P49">
        <f>IF(COUNTIFS(monthly!H:H,"",monthly!$A:$A,"&gt;="&amp;$A49,monthly!$B:$B,"&lt;="&amp;$B49)&gt;0,"NA",AVERAGEIFS(monthly!H:H,monthly!$A:$A,"&gt;="&amp;$A49,monthly!$B:$B,"&lt;="&amp;$B49))</f>
        <v>56.5</v>
      </c>
      <c r="Q49">
        <f>IF(COUNTIFS(monthly!I:I,"",monthly!$A:$A,"&gt;="&amp;$A49,monthly!$B:$B,"&lt;="&amp;$B49)&gt;0,"NA",AVERAGEIFS(monthly!I:I,monthly!$A:$A,"&gt;="&amp;$A49,monthly!$B:$B,"&lt;="&amp;$B49))</f>
        <v>36.799999999999997</v>
      </c>
      <c r="R49">
        <f>IF(COUNTIFS(monthly!J:J,"",monthly!$A:$A,"&gt;="&amp;$A49,monthly!$B:$B,"&lt;="&amp;$B49)&gt;0,"NA",AVERAGEIFS(monthly!J:J,monthly!$A:$A,"&gt;="&amp;$A49,monthly!$B:$B,"&lt;="&amp;$B49))</f>
        <v>6.03</v>
      </c>
      <c r="S49">
        <f>IF(COUNTIFS(monthly!K:K,"",monthly!$A:$A,"&gt;="&amp;$A49,monthly!$B:$B,"&lt;="&amp;$B49)&gt;0,"NA",AVERAGEIFS(monthly!K:K,monthly!$A:$A,"&gt;="&amp;$A49,monthly!$B:$B,"&lt;="&amp;$B49))</f>
        <v>12.551536796536798</v>
      </c>
      <c r="T49">
        <f>IF(COUNTIFS(monthly!L:L,"",monthly!$A:$A,"&gt;="&amp;$A49,monthly!$B:$B,"&lt;="&amp;$B49)&gt;0,"NA",AVERAGEIFS(monthly!L:L,monthly!$A:$A,"&gt;="&amp;$A49,monthly!$B:$B,"&lt;="&amp;$B49))</f>
        <v>14.1935</v>
      </c>
      <c r="U49">
        <f>IF(COUNTIFS(monthly!M:M,"",monthly!$A:$A,"&gt;="&amp;$A49,monthly!$B:$B,"&lt;="&amp;$B49)&gt;0,"NA",AVERAGEIFS(monthly!M:M,monthly!$A:$A,"&gt;="&amp;$A49,monthly!$B:$B,"&lt;="&amp;$B49))</f>
        <v>-1.6419632034632041</v>
      </c>
      <c r="V49" t="str">
        <f>IF(COUNTIFS(monthly!N:N,"",monthly!$A:$A,"&gt;="&amp;$A49,monthly!$B:$B,"&lt;="&amp;$B49)&gt;0,"NA",AVERAGEIFS(monthly!N:N,monthly!$A:$A,"&gt;="&amp;$A49,monthly!$B:$B,"&lt;="&amp;$B49))</f>
        <v>NA</v>
      </c>
      <c r="W49">
        <f>IF(COUNTIFS(monthly!O:O,"",monthly!$A:$A,"&gt;="&amp;$A49,monthly!$B:$B,"&lt;="&amp;$B49)&gt;0,"NA",AVERAGEIFS(monthly!O:O,monthly!$A:$A,"&gt;="&amp;$A49,monthly!$B:$B,"&lt;="&amp;$B49))</f>
        <v>14.212261904761904</v>
      </c>
      <c r="X49" t="str">
        <f>IF(COUNTIFS(monthly!P:P,"",monthly!$A:$A,"&gt;="&amp;$A49,monthly!$B:$B,"&lt;="&amp;$B49)&gt;0,"NA",AVERAGEIFS(monthly!P:P,monthly!$A:$A,"&gt;="&amp;$A49,monthly!$B:$B,"&lt;="&amp;$B49))</f>
        <v>NA</v>
      </c>
      <c r="Y49">
        <f>IF(COUNTIFS(monthly!Q:Q,"",monthly!$A:$A,"&gt;="&amp;$A49,monthly!$B:$B,"&lt;="&amp;$B49)&gt;0,"NA",AVERAGEIFS(monthly!Q:Q,monthly!$A:$A,"&gt;="&amp;$A49,monthly!$B:$B,"&lt;="&amp;$B49))</f>
        <v>15</v>
      </c>
      <c r="Z49">
        <f>IF(COUNTIFS(monthly!R:R,"",monthly!$A:$A,"&gt;="&amp;$A49,monthly!$B:$B,"&lt;="&amp;$B49)&gt;0,"NA",AVERAGEIFS(monthly!R:R,monthly!$A:$A,"&gt;="&amp;$A49,monthly!$B:$B,"&lt;="&amp;$B49))</f>
        <v>14.270436507936505</v>
      </c>
      <c r="AA49">
        <f>IF(COUNTIFS(monthly!S:S,"",monthly!$A:$A,"&gt;="&amp;$A49,monthly!$B:$B,"&lt;="&amp;$B49)&gt;0,"NA",AVERAGEIFS(monthly!S:S,monthly!$A:$A,"&gt;="&amp;$A49,monthly!$B:$B,"&lt;="&amp;$B49))</f>
        <v>0.72956349206349369</v>
      </c>
      <c r="AB49" t="str">
        <f>IF(COUNTIFS(monthly!T:T,"",monthly!$A:$A,"&gt;="&amp;$A49,monthly!$B:$B,"&lt;="&amp;$B49)&gt;0,"NA",AVERAGEIFS(monthly!T:T,monthly!$A:$A,"&gt;="&amp;$A49,monthly!$B:$B,"&lt;="&amp;$B49))</f>
        <v>NA</v>
      </c>
      <c r="AC49" t="str">
        <f>IF(COUNTIFS(monthly!U:U,"",monthly!$A:$A,"&gt;="&amp;$A49,monthly!$B:$B,"&lt;="&amp;$B49)&gt;0,"NA",AVERAGEIFS(monthly!U:U,monthly!$A:$A,"&gt;="&amp;$A49,monthly!$B:$B,"&lt;="&amp;$B49))</f>
        <v>NA</v>
      </c>
      <c r="AD49" t="str">
        <f>IF(COUNTIFS(monthly!V:V,"",monthly!$A:$A,"&gt;="&amp;$A49,monthly!$B:$B,"&lt;="&amp;$B49)&gt;0,"NA",AVERAGEIFS(monthly!V:V,monthly!$A:$A,"&gt;="&amp;$A49,monthly!$B:$B,"&lt;="&amp;$B49))</f>
        <v>NA</v>
      </c>
      <c r="AE49" t="str">
        <f>IF(COUNTIFS(monthly!W:W,"",monthly!$A:$A,"&gt;="&amp;$A49,monthly!$B:$B,"&lt;="&amp;$B49)&gt;0,"NA",AVERAGEIFS(monthly!W:W,monthly!$A:$A,"&gt;="&amp;$A49,monthly!$B:$B,"&lt;="&amp;$B49))</f>
        <v>NA</v>
      </c>
      <c r="AF49" t="str">
        <f>IF(COUNTIFS(monthly!X:X,"",monthly!$A:$A,"&gt;="&amp;$A49,monthly!$B:$B,"&lt;="&amp;$B49)&gt;0,"NA",AVERAGEIFS(monthly!X:X,monthly!$A:$A,"&gt;="&amp;$A49,monthly!$B:$B,"&lt;="&amp;$B49))</f>
        <v>NA</v>
      </c>
      <c r="AG49" t="str">
        <f>IF(COUNTIFS(monthly!Y:Y,"",monthly!$A:$A,"&gt;="&amp;$A49,monthly!$B:$B,"&lt;="&amp;$B49)&gt;0,"NA",AVERAGEIFS(monthly!Y:Y,monthly!$A:$A,"&gt;="&amp;$A49,monthly!$B:$B,"&lt;="&amp;$B49))</f>
        <v>NA</v>
      </c>
      <c r="AH49" t="str">
        <f>IF(COUNTIFS(monthly!Z:Z,"",monthly!$A:$A,"&gt;="&amp;$A49,monthly!$B:$B,"&lt;="&amp;$B49)&gt;0,"NA",AVERAGEIFS(monthly!Z:Z,monthly!$A:$A,"&gt;="&amp;$A49,monthly!$B:$B,"&lt;="&amp;$B49))</f>
        <v>NA</v>
      </c>
    </row>
    <row r="50" spans="1:34" x14ac:dyDescent="0.2">
      <c r="A50" s="1">
        <v>29952</v>
      </c>
      <c r="B50" s="1">
        <v>30040</v>
      </c>
      <c r="C50">
        <f>IF(ISBLANK(VLOOKUP($A50,quarterly_data,MATCH(C$1,quarterly!$1:$1,FALSE),FALSE)),"NA",VLOOKUP($A50,quarterly_data,MATCH(C$1,quarterly!$1:$1,FALSE),FALSE))</f>
        <v>141.04908757915408</v>
      </c>
      <c r="D50">
        <f>IF(ISBLANK(VLOOKUP($A50,quarterly_data,MATCH(D$1,quarterly!$1:$1,FALSE),FALSE)),"NA",VLOOKUP($A50,quarterly_data,MATCH(D$1,quarterly!$1:$1,FALSE),FALSE))</f>
        <v>50.8</v>
      </c>
      <c r="E50">
        <f>IF(ISBLANK(VLOOKUP($A50,quarterly_data,MATCH(E$1,quarterly!$1:$1,FALSE),FALSE)),"NA",VLOOKUP($A50,quarterly_data,MATCH(E$1,quarterly!$1:$1,FALSE),FALSE))</f>
        <v>0</v>
      </c>
      <c r="F50">
        <f>IF(ISBLANK(VLOOKUP($A50,quarterly_data,MATCH(F$1,quarterly!$1:$1,FALSE),FALSE)),"NA",VLOOKUP($A50,quarterly_data,MATCH(F$1,quarterly!$1:$1,FALSE),FALSE))</f>
        <v>1.3958699999999999E-2</v>
      </c>
      <c r="G50">
        <f>IF(ISBLANK(VLOOKUP($A50,quarterly_data,MATCH(G$1,quarterly!$1:$1,FALSE),FALSE)),"NA",VLOOKUP($A50,quarterly_data,MATCH(G$1,quarterly!$1:$1,FALSE),FALSE))</f>
        <v>7295.6310000000003</v>
      </c>
      <c r="H50">
        <f>IF(ISBLANK(VLOOKUP($A50,quarterly_data,MATCH(H$1,quarterly!$1:$1,FALSE),FALSE)),"NA",VLOOKUP($A50,quarterly_data,MATCH(H$1,quarterly!$1:$1,FALSE),FALSE))</f>
        <v>192212</v>
      </c>
      <c r="I50" t="str">
        <f>IF(ISBLANK(VLOOKUP($A50,quarterly_data,MATCH(I$1,quarterly!$1:$1,FALSE),FALSE)),"NA",VLOOKUP($A50,quarterly_data,MATCH(I$1,quarterly!$1:$1,FALSE),FALSE))</f>
        <v>NA</v>
      </c>
      <c r="J50">
        <f>IF(ISBLANK(VLOOKUP($A50,quarterly_data,MATCH(J$1,quarterly!$1:$1,FALSE),FALSE)),"NA",VLOOKUP($A50,quarterly_data,MATCH(J$1,quarterly!$1:$1,FALSE),FALSE))</f>
        <v>21.38</v>
      </c>
      <c r="K50">
        <f>IF(COUNTIFS(monthly!C:C,"",monthly!$A:$A,"&gt;="&amp;$A50,monthly!$B:$B,"&lt;="&amp;$B50)&gt;0,"NA",AVERAGEIFS(monthly!C:C,monthly!$A:$A,"&gt;="&amp;$A50,monthly!$B:$B,"&lt;="&amp;$B50))</f>
        <v>89.65</v>
      </c>
      <c r="L50">
        <f>IF(COUNTIFS(monthly!D:D,"",monthly!$A:$A,"&gt;="&amp;$A50,monthly!$B:$B,"&lt;="&amp;$B50)&gt;0,"NA",AVERAGEIFS(monthly!D:D,monthly!$A:$A,"&gt;="&amp;$A50,monthly!$B:$B,"&lt;="&amp;$B50))</f>
        <v>1.0867</v>
      </c>
      <c r="M50" t="str">
        <f>IF(COUNTIFS(monthly!E:E,"",monthly!$A:$A,"&gt;="&amp;$A50,monthly!$B:$B,"&lt;="&amp;$B50)&gt;0,"NA",AVERAGEIFS(monthly!E:E,monthly!$A:$A,"&gt;="&amp;$A50,monthly!$B:$B,"&lt;="&amp;$B50))</f>
        <v>NA</v>
      </c>
      <c r="N50" t="str">
        <f>IF(COUNTIFS(monthly!F:F,"",monthly!$A:$A,"&gt;="&amp;$A50,monthly!$B:$B,"&lt;="&amp;$B50)&gt;0,"NA",AVERAGEIFS(monthly!F:F,monthly!$A:$A,"&gt;="&amp;$A50,monthly!$B:$B,"&lt;="&amp;$B50))</f>
        <v>NA</v>
      </c>
      <c r="O50">
        <f>IF(COUNTIFS(monthly!G:G,"",monthly!$A:$A,"&gt;="&amp;$A50,monthly!$B:$B,"&lt;="&amp;$B50)&gt;0,"NA",AVERAGEIFS(monthly!G:G,monthly!$A:$A,"&gt;="&amp;$A50,monthly!$B:$B,"&lt;="&amp;$B50))</f>
        <v>32.5</v>
      </c>
      <c r="P50">
        <f>IF(COUNTIFS(monthly!H:H,"",monthly!$A:$A,"&gt;="&amp;$A50,monthly!$B:$B,"&lt;="&amp;$B50)&gt;0,"NA",AVERAGEIFS(monthly!H:H,monthly!$A:$A,"&gt;="&amp;$A50,monthly!$B:$B,"&lt;="&amp;$B50))</f>
        <v>55.6</v>
      </c>
      <c r="Q50">
        <f>IF(COUNTIFS(monthly!I:I,"",monthly!$A:$A,"&gt;="&amp;$A50,monthly!$B:$B,"&lt;="&amp;$B50)&gt;0,"NA",AVERAGEIFS(monthly!I:I,monthly!$A:$A,"&gt;="&amp;$A50,monthly!$B:$B,"&lt;="&amp;$B50))</f>
        <v>33.700000000000003</v>
      </c>
      <c r="R50">
        <f>IF(COUNTIFS(monthly!J:J,"",monthly!$A:$A,"&gt;="&amp;$A50,monthly!$B:$B,"&lt;="&amp;$B50)&gt;0,"NA",AVERAGEIFS(monthly!J:J,monthly!$A:$A,"&gt;="&amp;$A50,monthly!$B:$B,"&lt;="&amp;$B50))</f>
        <v>6.05</v>
      </c>
      <c r="S50">
        <f>IF(COUNTIFS(monthly!K:K,"",monthly!$A:$A,"&gt;="&amp;$A50,monthly!$B:$B,"&lt;="&amp;$B50)&gt;0,"NA",AVERAGEIFS(monthly!K:K,monthly!$A:$A,"&gt;="&amp;$A50,monthly!$B:$B,"&lt;="&amp;$B50))</f>
        <v>13.217618421052631</v>
      </c>
      <c r="T50">
        <f>IF(COUNTIFS(monthly!L:L,"",monthly!$A:$A,"&gt;="&amp;$A50,monthly!$B:$B,"&lt;="&amp;$B50)&gt;0,"NA",AVERAGEIFS(monthly!L:L,monthly!$A:$A,"&gt;="&amp;$A50,monthly!$B:$B,"&lt;="&amp;$B50))</f>
        <v>13.999965437788017</v>
      </c>
      <c r="U50">
        <f>IF(COUNTIFS(monthly!M:M,"",monthly!$A:$A,"&gt;="&amp;$A50,monthly!$B:$B,"&lt;="&amp;$B50)&gt;0,"NA",AVERAGEIFS(monthly!M:M,monthly!$A:$A,"&gt;="&amp;$A50,monthly!$B:$B,"&lt;="&amp;$B50))</f>
        <v>-0.78234701673538609</v>
      </c>
      <c r="V50" t="str">
        <f>IF(COUNTIFS(monthly!N:N,"",monthly!$A:$A,"&gt;="&amp;$A50,monthly!$B:$B,"&lt;="&amp;$B50)&gt;0,"NA",AVERAGEIFS(monthly!N:N,monthly!$A:$A,"&gt;="&amp;$A50,monthly!$B:$B,"&lt;="&amp;$B50))</f>
        <v>NA</v>
      </c>
      <c r="W50">
        <f>IF(COUNTIFS(monthly!O:O,"",monthly!$A:$A,"&gt;="&amp;$A50,monthly!$B:$B,"&lt;="&amp;$B50)&gt;0,"NA",AVERAGEIFS(monthly!O:O,monthly!$A:$A,"&gt;="&amp;$A50,monthly!$B:$B,"&lt;="&amp;$B50))</f>
        <v>14.695666666666668</v>
      </c>
      <c r="X50" t="str">
        <f>IF(COUNTIFS(monthly!P:P,"",monthly!$A:$A,"&gt;="&amp;$A50,monthly!$B:$B,"&lt;="&amp;$B50)&gt;0,"NA",AVERAGEIFS(monthly!P:P,monthly!$A:$A,"&gt;="&amp;$A50,monthly!$B:$B,"&lt;="&amp;$B50))</f>
        <v>NA</v>
      </c>
      <c r="Y50">
        <f>IF(COUNTIFS(monthly!Q:Q,"",monthly!$A:$A,"&gt;="&amp;$A50,monthly!$B:$B,"&lt;="&amp;$B50)&gt;0,"NA",AVERAGEIFS(monthly!Q:Q,monthly!$A:$A,"&gt;="&amp;$A50,monthly!$B:$B,"&lt;="&amp;$B50))</f>
        <v>15.05</v>
      </c>
      <c r="Z50">
        <f>IF(COUNTIFS(monthly!R:R,"",monthly!$A:$A,"&gt;="&amp;$A50,monthly!$B:$B,"&lt;="&amp;$B50)&gt;0,"NA",AVERAGEIFS(monthly!R:R,monthly!$A:$A,"&gt;="&amp;$A50,monthly!$B:$B,"&lt;="&amp;$B50))</f>
        <v>14.509777777777778</v>
      </c>
      <c r="AA50">
        <f>IF(COUNTIFS(monthly!S:S,"",monthly!$A:$A,"&gt;="&amp;$A50,monthly!$B:$B,"&lt;="&amp;$B50)&gt;0,"NA",AVERAGEIFS(monthly!S:S,monthly!$A:$A,"&gt;="&amp;$A50,monthly!$B:$B,"&lt;="&amp;$B50))</f>
        <v>0.54022222222222194</v>
      </c>
      <c r="AB50" t="str">
        <f>IF(COUNTIFS(monthly!T:T,"",monthly!$A:$A,"&gt;="&amp;$A50,monthly!$B:$B,"&lt;="&amp;$B50)&gt;0,"NA",AVERAGEIFS(monthly!T:T,monthly!$A:$A,"&gt;="&amp;$A50,monthly!$B:$B,"&lt;="&amp;$B50))</f>
        <v>NA</v>
      </c>
      <c r="AC50" t="str">
        <f>IF(COUNTIFS(monthly!U:U,"",monthly!$A:$A,"&gt;="&amp;$A50,monthly!$B:$B,"&lt;="&amp;$B50)&gt;0,"NA",AVERAGEIFS(monthly!U:U,monthly!$A:$A,"&gt;="&amp;$A50,monthly!$B:$B,"&lt;="&amp;$B50))</f>
        <v>NA</v>
      </c>
      <c r="AD50" t="str">
        <f>IF(COUNTIFS(monthly!V:V,"",monthly!$A:$A,"&gt;="&amp;$A50,monthly!$B:$B,"&lt;="&amp;$B50)&gt;0,"NA",AVERAGEIFS(monthly!V:V,monthly!$A:$A,"&gt;="&amp;$A50,monthly!$B:$B,"&lt;="&amp;$B50))</f>
        <v>NA</v>
      </c>
      <c r="AE50" t="str">
        <f>IF(COUNTIFS(monthly!W:W,"",monthly!$A:$A,"&gt;="&amp;$A50,monthly!$B:$B,"&lt;="&amp;$B50)&gt;0,"NA",AVERAGEIFS(monthly!W:W,monthly!$A:$A,"&gt;="&amp;$A50,monthly!$B:$B,"&lt;="&amp;$B50))</f>
        <v>NA</v>
      </c>
      <c r="AF50" t="str">
        <f>IF(COUNTIFS(monthly!X:X,"",monthly!$A:$A,"&gt;="&amp;$A50,monthly!$B:$B,"&lt;="&amp;$B50)&gt;0,"NA",AVERAGEIFS(monthly!X:X,monthly!$A:$A,"&gt;="&amp;$A50,monthly!$B:$B,"&lt;="&amp;$B50))</f>
        <v>NA</v>
      </c>
      <c r="AG50" t="str">
        <f>IF(COUNTIFS(monthly!Y:Y,"",monthly!$A:$A,"&gt;="&amp;$A50,monthly!$B:$B,"&lt;="&amp;$B50)&gt;0,"NA",AVERAGEIFS(monthly!Y:Y,monthly!$A:$A,"&gt;="&amp;$A50,monthly!$B:$B,"&lt;="&amp;$B50))</f>
        <v>NA</v>
      </c>
      <c r="AH50" t="str">
        <f>IF(COUNTIFS(monthly!Z:Z,"",monthly!$A:$A,"&gt;="&amp;$A50,monthly!$B:$B,"&lt;="&amp;$B50)&gt;0,"NA",AVERAGEIFS(monthly!Z:Z,monthly!$A:$A,"&gt;="&amp;$A50,monthly!$B:$B,"&lt;="&amp;$B50))</f>
        <v>NA</v>
      </c>
    </row>
    <row r="51" spans="1:34" x14ac:dyDescent="0.2">
      <c r="A51" s="1">
        <v>30042</v>
      </c>
      <c r="B51" s="1">
        <v>30132</v>
      </c>
      <c r="C51">
        <f>IF(ISBLANK(VLOOKUP($A51,quarterly_data,MATCH(C$1,quarterly!$1:$1,FALSE),FALSE)),"NA",VLOOKUP($A51,quarterly_data,MATCH(C$1,quarterly!$1:$1,FALSE),FALSE))</f>
        <v>140.22065640120806</v>
      </c>
      <c r="D51">
        <f>IF(ISBLANK(VLOOKUP($A51,quarterly_data,MATCH(D$1,quarterly!$1:$1,FALSE),FALSE)),"NA",VLOOKUP($A51,quarterly_data,MATCH(D$1,quarterly!$1:$1,FALSE),FALSE))</f>
        <v>52.1</v>
      </c>
      <c r="E51">
        <f>IF(ISBLANK(VLOOKUP($A51,quarterly_data,MATCH(E$1,quarterly!$1:$1,FALSE),FALSE)),"NA",VLOOKUP($A51,quarterly_data,MATCH(E$1,quarterly!$1:$1,FALSE),FALSE))</f>
        <v>0.39925470000000002</v>
      </c>
      <c r="F51">
        <f>IF(ISBLANK(VLOOKUP($A51,quarterly_data,MATCH(F$1,quarterly!$1:$1,FALSE),FALSE)),"NA",VLOOKUP($A51,quarterly_data,MATCH(F$1,quarterly!$1:$1,FALSE),FALSE))</f>
        <v>8.4503800000000004E-2</v>
      </c>
      <c r="G51">
        <f>IF(ISBLANK(VLOOKUP($A51,quarterly_data,MATCH(G$1,quarterly!$1:$1,FALSE),FALSE)),"NA",VLOOKUP($A51,quarterly_data,MATCH(G$1,quarterly!$1:$1,FALSE),FALSE))</f>
        <v>7328.9120000000003</v>
      </c>
      <c r="H51">
        <f>IF(ISBLANK(VLOOKUP($A51,quarterly_data,MATCH(H$1,quarterly!$1:$1,FALSE),FALSE)),"NA",VLOOKUP($A51,quarterly_data,MATCH(H$1,quarterly!$1:$1,FALSE),FALSE))</f>
        <v>193911</v>
      </c>
      <c r="I51">
        <f>IF(ISBLANK(VLOOKUP($A51,quarterly_data,MATCH(I$1,quarterly!$1:$1,FALSE),FALSE)),"NA",VLOOKUP($A51,quarterly_data,MATCH(I$1,quarterly!$1:$1,FALSE),FALSE))</f>
        <v>2.5</v>
      </c>
      <c r="J51">
        <f>IF(ISBLANK(VLOOKUP($A51,quarterly_data,MATCH(J$1,quarterly!$1:$1,FALSE),FALSE)),"NA",VLOOKUP($A51,quarterly_data,MATCH(J$1,quarterly!$1:$1,FALSE),FALSE))</f>
        <v>21.88</v>
      </c>
      <c r="K51">
        <f>IF(COUNTIFS(monthly!C:C,"",monthly!$A:$A,"&gt;="&amp;$A51,monthly!$B:$B,"&lt;="&amp;$B51)&gt;0,"NA",AVERAGEIFS(monthly!C:C,monthly!$A:$A,"&gt;="&amp;$A51,monthly!$B:$B,"&lt;="&amp;$B51))</f>
        <v>88.133333333333326</v>
      </c>
      <c r="L51">
        <f>IF(COUNTIFS(monthly!D:D,"",monthly!$A:$A,"&gt;="&amp;$A51,monthly!$B:$B,"&lt;="&amp;$B51)&gt;0,"NA",AVERAGEIFS(monthly!D:D,monthly!$A:$A,"&gt;="&amp;$A51,monthly!$B:$B,"&lt;="&amp;$B51))</f>
        <v>1.0437666666666667</v>
      </c>
      <c r="M51" t="str">
        <f>IF(COUNTIFS(monthly!E:E,"",monthly!$A:$A,"&gt;="&amp;$A51,monthly!$B:$B,"&lt;="&amp;$B51)&gt;0,"NA",AVERAGEIFS(monthly!E:E,monthly!$A:$A,"&gt;="&amp;$A51,monthly!$B:$B,"&lt;="&amp;$B51))</f>
        <v>NA</v>
      </c>
      <c r="N51" t="str">
        <f>IF(COUNTIFS(monthly!F:F,"",monthly!$A:$A,"&gt;="&amp;$A51,monthly!$B:$B,"&lt;="&amp;$B51)&gt;0,"NA",AVERAGEIFS(monthly!F:F,monthly!$A:$A,"&gt;="&amp;$A51,monthly!$B:$B,"&lt;="&amp;$B51))</f>
        <v>NA</v>
      </c>
      <c r="O51">
        <f>IF(COUNTIFS(monthly!G:G,"",monthly!$A:$A,"&gt;="&amp;$A51,monthly!$B:$B,"&lt;="&amp;$B51)&gt;0,"NA",AVERAGEIFS(monthly!G:G,monthly!$A:$A,"&gt;="&amp;$A51,monthly!$B:$B,"&lt;="&amp;$B51))</f>
        <v>32.5</v>
      </c>
      <c r="P51">
        <f>IF(COUNTIFS(monthly!H:H,"",monthly!$A:$A,"&gt;="&amp;$A51,monthly!$B:$B,"&lt;="&amp;$B51)&gt;0,"NA",AVERAGEIFS(monthly!H:H,monthly!$A:$A,"&gt;="&amp;$A51,monthly!$B:$B,"&lt;="&amp;$B51))</f>
        <v>55.6</v>
      </c>
      <c r="Q51">
        <f>IF(COUNTIFS(monthly!I:I,"",monthly!$A:$A,"&gt;="&amp;$A51,monthly!$B:$B,"&lt;="&amp;$B51)&gt;0,"NA",AVERAGEIFS(monthly!I:I,monthly!$A:$A,"&gt;="&amp;$A51,monthly!$B:$B,"&lt;="&amp;$B51))</f>
        <v>34.300000000000004</v>
      </c>
      <c r="R51">
        <f>IF(COUNTIFS(monthly!J:J,"",monthly!$A:$A,"&gt;="&amp;$A51,monthly!$B:$B,"&lt;="&amp;$B51)&gt;0,"NA",AVERAGEIFS(monthly!J:J,monthly!$A:$A,"&gt;="&amp;$A51,monthly!$B:$B,"&lt;="&amp;$B51))</f>
        <v>6.05</v>
      </c>
      <c r="S51">
        <f>IF(COUNTIFS(monthly!K:K,"",monthly!$A:$A,"&gt;="&amp;$A51,monthly!$B:$B,"&lt;="&amp;$B51)&gt;0,"NA",AVERAGEIFS(monthly!K:K,monthly!$A:$A,"&gt;="&amp;$A51,monthly!$B:$B,"&lt;="&amp;$B51))</f>
        <v>15.827555555555554</v>
      </c>
      <c r="T51">
        <f>IF(COUNTIFS(monthly!L:L,"",monthly!$A:$A,"&gt;="&amp;$A51,monthly!$B:$B,"&lt;="&amp;$B51)&gt;0,"NA",AVERAGEIFS(monthly!L:L,monthly!$A:$A,"&gt;="&amp;$A51,monthly!$B:$B,"&lt;="&amp;$B51))</f>
        <v>14.514835125448029</v>
      </c>
      <c r="U51">
        <f>IF(COUNTIFS(monthly!M:M,"",monthly!$A:$A,"&gt;="&amp;$A51,monthly!$B:$B,"&lt;="&amp;$B51)&gt;0,"NA",AVERAGEIFS(monthly!M:M,monthly!$A:$A,"&gt;="&amp;$A51,monthly!$B:$B,"&lt;="&amp;$B51))</f>
        <v>1.3127204301075253</v>
      </c>
      <c r="V51" t="str">
        <f>IF(COUNTIFS(monthly!N:N,"",monthly!$A:$A,"&gt;="&amp;$A51,monthly!$B:$B,"&lt;="&amp;$B51)&gt;0,"NA",AVERAGEIFS(monthly!N:N,monthly!$A:$A,"&gt;="&amp;$A51,monthly!$B:$B,"&lt;="&amp;$B51))</f>
        <v>NA</v>
      </c>
      <c r="W51">
        <f>IF(COUNTIFS(monthly!O:O,"",monthly!$A:$A,"&gt;="&amp;$A51,monthly!$B:$B,"&lt;="&amp;$B51)&gt;0,"NA",AVERAGEIFS(monthly!O:O,monthly!$A:$A,"&gt;="&amp;$A51,monthly!$B:$B,"&lt;="&amp;$B51))</f>
        <v>14.148278499278502</v>
      </c>
      <c r="X51" t="str">
        <f>IF(COUNTIFS(monthly!P:P,"",monthly!$A:$A,"&gt;="&amp;$A51,monthly!$B:$B,"&lt;="&amp;$B51)&gt;0,"NA",AVERAGEIFS(monthly!P:P,monthly!$A:$A,"&gt;="&amp;$A51,monthly!$B:$B,"&lt;="&amp;$B51))</f>
        <v>NA</v>
      </c>
      <c r="Y51">
        <f>IF(COUNTIFS(monthly!Q:Q,"",monthly!$A:$A,"&gt;="&amp;$A51,monthly!$B:$B,"&lt;="&amp;$B51)&gt;0,"NA",AVERAGEIFS(monthly!Q:Q,monthly!$A:$A,"&gt;="&amp;$A51,monthly!$B:$B,"&lt;="&amp;$B51))</f>
        <v>16</v>
      </c>
      <c r="Z51">
        <f>IF(COUNTIFS(monthly!R:R,"",monthly!$A:$A,"&gt;="&amp;$A51,monthly!$B:$B,"&lt;="&amp;$B51)&gt;0,"NA",AVERAGEIFS(monthly!R:R,monthly!$A:$A,"&gt;="&amp;$A51,monthly!$B:$B,"&lt;="&amp;$B51))</f>
        <v>13.931316738816738</v>
      </c>
      <c r="AA51">
        <f>IF(COUNTIFS(monthly!S:S,"",monthly!$A:$A,"&gt;="&amp;$A51,monthly!$B:$B,"&lt;="&amp;$B51)&gt;0,"NA",AVERAGEIFS(monthly!S:S,monthly!$A:$A,"&gt;="&amp;$A51,monthly!$B:$B,"&lt;="&amp;$B51))</f>
        <v>2.06868326118326</v>
      </c>
      <c r="AB51" t="str">
        <f>IF(COUNTIFS(monthly!T:T,"",monthly!$A:$A,"&gt;="&amp;$A51,monthly!$B:$B,"&lt;="&amp;$B51)&gt;0,"NA",AVERAGEIFS(monthly!T:T,monthly!$A:$A,"&gt;="&amp;$A51,monthly!$B:$B,"&lt;="&amp;$B51))</f>
        <v>NA</v>
      </c>
      <c r="AC51" t="str">
        <f>IF(COUNTIFS(monthly!U:U,"",monthly!$A:$A,"&gt;="&amp;$A51,monthly!$B:$B,"&lt;="&amp;$B51)&gt;0,"NA",AVERAGEIFS(monthly!U:U,monthly!$A:$A,"&gt;="&amp;$A51,monthly!$B:$B,"&lt;="&amp;$B51))</f>
        <v>NA</v>
      </c>
      <c r="AD51" t="str">
        <f>IF(COUNTIFS(monthly!V:V,"",monthly!$A:$A,"&gt;="&amp;$A51,monthly!$B:$B,"&lt;="&amp;$B51)&gt;0,"NA",AVERAGEIFS(monthly!V:V,monthly!$A:$A,"&gt;="&amp;$A51,monthly!$B:$B,"&lt;="&amp;$B51))</f>
        <v>NA</v>
      </c>
      <c r="AE51" t="str">
        <f>IF(COUNTIFS(monthly!W:W,"",monthly!$A:$A,"&gt;="&amp;$A51,monthly!$B:$B,"&lt;="&amp;$B51)&gt;0,"NA",AVERAGEIFS(monthly!W:W,monthly!$A:$A,"&gt;="&amp;$A51,monthly!$B:$B,"&lt;="&amp;$B51))</f>
        <v>NA</v>
      </c>
      <c r="AF51" t="str">
        <f>IF(COUNTIFS(monthly!X:X,"",monthly!$A:$A,"&gt;="&amp;$A51,monthly!$B:$B,"&lt;="&amp;$B51)&gt;0,"NA",AVERAGEIFS(monthly!X:X,monthly!$A:$A,"&gt;="&amp;$A51,monthly!$B:$B,"&lt;="&amp;$B51))</f>
        <v>NA</v>
      </c>
      <c r="AG51" t="str">
        <f>IF(COUNTIFS(monthly!Y:Y,"",monthly!$A:$A,"&gt;="&amp;$A51,monthly!$B:$B,"&lt;="&amp;$B51)&gt;0,"NA",AVERAGEIFS(monthly!Y:Y,monthly!$A:$A,"&gt;="&amp;$A51,monthly!$B:$B,"&lt;="&amp;$B51))</f>
        <v>NA</v>
      </c>
      <c r="AH51" t="str">
        <f>IF(COUNTIFS(monthly!Z:Z,"",monthly!$A:$A,"&gt;="&amp;$A51,monthly!$B:$B,"&lt;="&amp;$B51)&gt;0,"NA",AVERAGEIFS(monthly!Z:Z,monthly!$A:$A,"&gt;="&amp;$A51,monthly!$B:$B,"&lt;="&amp;$B51))</f>
        <v>NA</v>
      </c>
    </row>
    <row r="52" spans="1:34" x14ac:dyDescent="0.2">
      <c r="A52" s="1">
        <v>30133</v>
      </c>
      <c r="B52" s="1">
        <v>30224</v>
      </c>
      <c r="C52">
        <f>IF(ISBLANK(VLOOKUP($A52,quarterly_data,MATCH(C$1,quarterly!$1:$1,FALSE),FALSE)),"NA",VLOOKUP($A52,quarterly_data,MATCH(C$1,quarterly!$1:$1,FALSE),FALSE))</f>
        <v>137.00849212150123</v>
      </c>
      <c r="D52">
        <f>IF(ISBLANK(VLOOKUP($A52,quarterly_data,MATCH(D$1,quarterly!$1:$1,FALSE),FALSE)),"NA",VLOOKUP($A52,quarterly_data,MATCH(D$1,quarterly!$1:$1,FALSE),FALSE))</f>
        <v>51.8</v>
      </c>
      <c r="E52">
        <f>IF(ISBLANK(VLOOKUP($A52,quarterly_data,MATCH(E$1,quarterly!$1:$1,FALSE),FALSE)),"NA",VLOOKUP($A52,quarterly_data,MATCH(E$1,quarterly!$1:$1,FALSE),FALSE))</f>
        <v>0</v>
      </c>
      <c r="F52">
        <f>IF(ISBLANK(VLOOKUP($A52,quarterly_data,MATCH(F$1,quarterly!$1:$1,FALSE),FALSE)),"NA",VLOOKUP($A52,quarterly_data,MATCH(F$1,quarterly!$1:$1,FALSE),FALSE))</f>
        <v>3.9925500000000003E-2</v>
      </c>
      <c r="G52">
        <f>IF(ISBLANK(VLOOKUP($A52,quarterly_data,MATCH(G$1,quarterly!$1:$1,FALSE),FALSE)),"NA",VLOOKUP($A52,quarterly_data,MATCH(G$1,quarterly!$1:$1,FALSE),FALSE))</f>
        <v>7300.8959999999997</v>
      </c>
      <c r="H52">
        <f>IF(ISBLANK(VLOOKUP($A52,quarterly_data,MATCH(H$1,quarterly!$1:$1,FALSE),FALSE)),"NA",VLOOKUP($A52,quarterly_data,MATCH(H$1,quarterly!$1:$1,FALSE),FALSE))</f>
        <v>192628</v>
      </c>
      <c r="I52">
        <f>IF(ISBLANK(VLOOKUP($A52,quarterly_data,MATCH(I$1,quarterly!$1:$1,FALSE),FALSE)),"NA",VLOOKUP($A52,quarterly_data,MATCH(I$1,quarterly!$1:$1,FALSE),FALSE))</f>
        <v>2.9</v>
      </c>
      <c r="J52">
        <f>IF(ISBLANK(VLOOKUP($A52,quarterly_data,MATCH(J$1,quarterly!$1:$1,FALSE),FALSE)),"NA",VLOOKUP($A52,quarterly_data,MATCH(J$1,quarterly!$1:$1,FALSE),FALSE))</f>
        <v>22.65</v>
      </c>
      <c r="K52">
        <f>IF(COUNTIFS(monthly!C:C,"",monthly!$A:$A,"&gt;="&amp;$A52,monthly!$B:$B,"&lt;="&amp;$B52)&gt;0,"NA",AVERAGEIFS(monthly!C:C,monthly!$A:$A,"&gt;="&amp;$A52,monthly!$B:$B,"&lt;="&amp;$B52))</f>
        <v>84.666666666666671</v>
      </c>
      <c r="L52">
        <f>IF(COUNTIFS(monthly!D:D,"",monthly!$A:$A,"&gt;="&amp;$A52,monthly!$B:$B,"&lt;="&amp;$B52)&gt;0,"NA",AVERAGEIFS(monthly!D:D,monthly!$A:$A,"&gt;="&amp;$A52,monthly!$B:$B,"&lt;="&amp;$B52))</f>
        <v>0.96980000000000011</v>
      </c>
      <c r="M52">
        <f>IF(COUNTIFS(monthly!E:E,"",monthly!$A:$A,"&gt;="&amp;$A52,monthly!$B:$B,"&lt;="&amp;$B52)&gt;0,"NA",AVERAGEIFS(monthly!E:E,monthly!$A:$A,"&gt;="&amp;$A52,monthly!$B:$B,"&lt;="&amp;$B52))</f>
        <v>41.679378068876737</v>
      </c>
      <c r="N52" t="str">
        <f>IF(COUNTIFS(monthly!F:F,"",monthly!$A:$A,"&gt;="&amp;$A52,monthly!$B:$B,"&lt;="&amp;$B52)&gt;0,"NA",AVERAGEIFS(monthly!F:F,monthly!$A:$A,"&gt;="&amp;$A52,monthly!$B:$B,"&lt;="&amp;$B52))</f>
        <v>NA</v>
      </c>
      <c r="O52">
        <f>IF(COUNTIFS(monthly!G:G,"",monthly!$A:$A,"&gt;="&amp;$A52,monthly!$B:$B,"&lt;="&amp;$B52)&gt;0,"NA",AVERAGEIFS(monthly!G:G,monthly!$A:$A,"&gt;="&amp;$A52,monthly!$B:$B,"&lt;="&amp;$B52))</f>
        <v>32.5</v>
      </c>
      <c r="P52">
        <f>IF(COUNTIFS(monthly!H:H,"",monthly!$A:$A,"&gt;="&amp;$A52,monthly!$B:$B,"&lt;="&amp;$B52)&gt;0,"NA",AVERAGEIFS(monthly!H:H,monthly!$A:$A,"&gt;="&amp;$A52,monthly!$B:$B,"&lt;="&amp;$B52))</f>
        <v>55.6</v>
      </c>
      <c r="Q52">
        <f>IF(COUNTIFS(monthly!I:I,"",monthly!$A:$A,"&gt;="&amp;$A52,monthly!$B:$B,"&lt;="&amp;$B52)&gt;0,"NA",AVERAGEIFS(monthly!I:I,monthly!$A:$A,"&gt;="&amp;$A52,monthly!$B:$B,"&lt;="&amp;$B52))</f>
        <v>33.6</v>
      </c>
      <c r="R52">
        <f>IF(COUNTIFS(monthly!J:J,"",monthly!$A:$A,"&gt;="&amp;$A52,monthly!$B:$B,"&lt;="&amp;$B52)&gt;0,"NA",AVERAGEIFS(monthly!J:J,monthly!$A:$A,"&gt;="&amp;$A52,monthly!$B:$B,"&lt;="&amp;$B52))</f>
        <v>6.05</v>
      </c>
      <c r="S52">
        <f>IF(COUNTIFS(monthly!K:K,"",monthly!$A:$A,"&gt;="&amp;$A52,monthly!$B:$B,"&lt;="&amp;$B52)&gt;0,"NA",AVERAGEIFS(monthly!K:K,monthly!$A:$A,"&gt;="&amp;$A52,monthly!$B:$B,"&lt;="&amp;$B52))</f>
        <v>14.237727272727275</v>
      </c>
      <c r="T52">
        <f>IF(COUNTIFS(monthly!L:L,"",monthly!$A:$A,"&gt;="&amp;$A52,monthly!$B:$B,"&lt;="&amp;$B52)&gt;0,"NA",AVERAGEIFS(monthly!L:L,monthly!$A:$A,"&gt;="&amp;$A52,monthly!$B:$B,"&lt;="&amp;$B52))</f>
        <v>11.005157706093188</v>
      </c>
      <c r="U52">
        <f>IF(COUNTIFS(monthly!M:M,"",monthly!$A:$A,"&gt;="&amp;$A52,monthly!$B:$B,"&lt;="&amp;$B52)&gt;0,"NA",AVERAGEIFS(monthly!M:M,monthly!$A:$A,"&gt;="&amp;$A52,monthly!$B:$B,"&lt;="&amp;$B52))</f>
        <v>3.2325695666340839</v>
      </c>
      <c r="V52" t="str">
        <f>IF(COUNTIFS(monthly!N:N,"",monthly!$A:$A,"&gt;="&amp;$A52,monthly!$B:$B,"&lt;="&amp;$B52)&gt;0,"NA",AVERAGEIFS(monthly!N:N,monthly!$A:$A,"&gt;="&amp;$A52,monthly!$B:$B,"&lt;="&amp;$B52))</f>
        <v>NA</v>
      </c>
      <c r="W52">
        <f>IF(COUNTIFS(monthly!O:O,"",monthly!$A:$A,"&gt;="&amp;$A52,monthly!$B:$B,"&lt;="&amp;$B52)&gt;0,"NA",AVERAGEIFS(monthly!O:O,monthly!$A:$A,"&gt;="&amp;$A52,monthly!$B:$B,"&lt;="&amp;$B52))</f>
        <v>12.634704184704184</v>
      </c>
      <c r="X52" t="str">
        <f>IF(COUNTIFS(monthly!P:P,"",monthly!$A:$A,"&gt;="&amp;$A52,monthly!$B:$B,"&lt;="&amp;$B52)&gt;0,"NA",AVERAGEIFS(monthly!P:P,monthly!$A:$A,"&gt;="&amp;$A52,monthly!$B:$B,"&lt;="&amp;$B52))</f>
        <v>NA</v>
      </c>
      <c r="Y52">
        <f>IF(COUNTIFS(monthly!Q:Q,"",monthly!$A:$A,"&gt;="&amp;$A52,monthly!$B:$B,"&lt;="&amp;$B52)&gt;0,"NA",AVERAGEIFS(monthly!Q:Q,monthly!$A:$A,"&gt;="&amp;$A52,monthly!$B:$B,"&lt;="&amp;$B52))</f>
        <v>16.033333333333331</v>
      </c>
      <c r="Z52">
        <f>IF(COUNTIFS(monthly!R:R,"",monthly!$A:$A,"&gt;="&amp;$A52,monthly!$B:$B,"&lt;="&amp;$B52)&gt;0,"NA",AVERAGEIFS(monthly!R:R,monthly!$A:$A,"&gt;="&amp;$A52,monthly!$B:$B,"&lt;="&amp;$B52))</f>
        <v>13.1134126984127</v>
      </c>
      <c r="AA52">
        <f>IF(COUNTIFS(monthly!S:S,"",monthly!$A:$A,"&gt;="&amp;$A52,monthly!$B:$B,"&lt;="&amp;$B52)&gt;0,"NA",AVERAGEIFS(monthly!S:S,monthly!$A:$A,"&gt;="&amp;$A52,monthly!$B:$B,"&lt;="&amp;$B52))</f>
        <v>2.9199206349206333</v>
      </c>
      <c r="AB52" t="str">
        <f>IF(COUNTIFS(monthly!T:T,"",monthly!$A:$A,"&gt;="&amp;$A52,monthly!$B:$B,"&lt;="&amp;$B52)&gt;0,"NA",AVERAGEIFS(monthly!T:T,monthly!$A:$A,"&gt;="&amp;$A52,monthly!$B:$B,"&lt;="&amp;$B52))</f>
        <v>NA</v>
      </c>
      <c r="AC52" t="str">
        <f>IF(COUNTIFS(monthly!U:U,"",monthly!$A:$A,"&gt;="&amp;$A52,monthly!$B:$B,"&lt;="&amp;$B52)&gt;0,"NA",AVERAGEIFS(monthly!U:U,monthly!$A:$A,"&gt;="&amp;$A52,monthly!$B:$B,"&lt;="&amp;$B52))</f>
        <v>NA</v>
      </c>
      <c r="AD52" t="str">
        <f>IF(COUNTIFS(monthly!V:V,"",monthly!$A:$A,"&gt;="&amp;$A52,monthly!$B:$B,"&lt;="&amp;$B52)&gt;0,"NA",AVERAGEIFS(monthly!V:V,monthly!$A:$A,"&gt;="&amp;$A52,monthly!$B:$B,"&lt;="&amp;$B52))</f>
        <v>NA</v>
      </c>
      <c r="AE52" t="str">
        <f>IF(COUNTIFS(monthly!W:W,"",monthly!$A:$A,"&gt;="&amp;$A52,monthly!$B:$B,"&lt;="&amp;$B52)&gt;0,"NA",AVERAGEIFS(monthly!W:W,monthly!$A:$A,"&gt;="&amp;$A52,monthly!$B:$B,"&lt;="&amp;$B52))</f>
        <v>NA</v>
      </c>
      <c r="AF52" t="str">
        <f>IF(COUNTIFS(monthly!X:X,"",monthly!$A:$A,"&gt;="&amp;$A52,monthly!$B:$B,"&lt;="&amp;$B52)&gt;0,"NA",AVERAGEIFS(monthly!X:X,monthly!$A:$A,"&gt;="&amp;$A52,monthly!$B:$B,"&lt;="&amp;$B52))</f>
        <v>NA</v>
      </c>
      <c r="AG52" t="str">
        <f>IF(COUNTIFS(monthly!Y:Y,"",monthly!$A:$A,"&gt;="&amp;$A52,monthly!$B:$B,"&lt;="&amp;$B52)&gt;0,"NA",AVERAGEIFS(monthly!Y:Y,monthly!$A:$A,"&gt;="&amp;$A52,monthly!$B:$B,"&lt;="&amp;$B52))</f>
        <v>NA</v>
      </c>
      <c r="AH52" t="str">
        <f>IF(COUNTIFS(monthly!Z:Z,"",monthly!$A:$A,"&gt;="&amp;$A52,monthly!$B:$B,"&lt;="&amp;$B52)&gt;0,"NA",AVERAGEIFS(monthly!Z:Z,monthly!$A:$A,"&gt;="&amp;$A52,monthly!$B:$B,"&lt;="&amp;$B52))</f>
        <v>NA</v>
      </c>
    </row>
    <row r="53" spans="1:34" x14ac:dyDescent="0.2">
      <c r="A53" s="1">
        <v>30225</v>
      </c>
      <c r="B53" s="1">
        <v>30315</v>
      </c>
      <c r="C53">
        <f>IF(ISBLANK(VLOOKUP($A53,quarterly_data,MATCH(C$1,quarterly!$1:$1,FALSE),FALSE)),"NA",VLOOKUP($A53,quarterly_data,MATCH(C$1,quarterly!$1:$1,FALSE),FALSE))</f>
        <v>136.02814996415643</v>
      </c>
      <c r="D53">
        <f>IF(ISBLANK(VLOOKUP($A53,quarterly_data,MATCH(D$1,quarterly!$1:$1,FALSE),FALSE)),"NA",VLOOKUP($A53,quarterly_data,MATCH(D$1,quarterly!$1:$1,FALSE),FALSE))</f>
        <v>51.3</v>
      </c>
      <c r="E53">
        <f>IF(ISBLANK(VLOOKUP($A53,quarterly_data,MATCH(E$1,quarterly!$1:$1,FALSE),FALSE)),"NA",VLOOKUP($A53,quarterly_data,MATCH(E$1,quarterly!$1:$1,FALSE),FALSE))</f>
        <v>0.18653239999999999</v>
      </c>
      <c r="F53">
        <f>IF(ISBLANK(VLOOKUP($A53,quarterly_data,MATCH(F$1,quarterly!$1:$1,FALSE),FALSE)),"NA",VLOOKUP($A53,quarterly_data,MATCH(F$1,quarterly!$1:$1,FALSE),FALSE))</f>
        <v>5.0615E-2</v>
      </c>
      <c r="G53">
        <f>IF(ISBLANK(VLOOKUP($A53,quarterly_data,MATCH(G$1,quarterly!$1:$1,FALSE),FALSE)),"NA",VLOOKUP($A53,quarterly_data,MATCH(G$1,quarterly!$1:$1,FALSE),FALSE))</f>
        <v>7303.817</v>
      </c>
      <c r="H53">
        <f>IF(ISBLANK(VLOOKUP($A53,quarterly_data,MATCH(H$1,quarterly!$1:$1,FALSE),FALSE)),"NA",VLOOKUP($A53,quarterly_data,MATCH(H$1,quarterly!$1:$1,FALSE),FALSE))</f>
        <v>189523</v>
      </c>
      <c r="I53">
        <f>IF(ISBLANK(VLOOKUP($A53,quarterly_data,MATCH(I$1,quarterly!$1:$1,FALSE),FALSE)),"NA",VLOOKUP($A53,quarterly_data,MATCH(I$1,quarterly!$1:$1,FALSE),FALSE))</f>
        <v>2.6</v>
      </c>
      <c r="J53">
        <f>IF(ISBLANK(VLOOKUP($A53,quarterly_data,MATCH(J$1,quarterly!$1:$1,FALSE),FALSE)),"NA",VLOOKUP($A53,quarterly_data,MATCH(J$1,quarterly!$1:$1,FALSE),FALSE))</f>
        <v>23.31</v>
      </c>
      <c r="K53">
        <f>IF(COUNTIFS(monthly!C:C,"",monthly!$A:$A,"&gt;="&amp;$A53,monthly!$B:$B,"&lt;="&amp;$B53)&gt;0,"NA",AVERAGEIFS(monthly!C:C,monthly!$A:$A,"&gt;="&amp;$A53,monthly!$B:$B,"&lt;="&amp;$B53))</f>
        <v>83.7</v>
      </c>
      <c r="L53">
        <f>IF(COUNTIFS(monthly!D:D,"",monthly!$A:$A,"&gt;="&amp;$A53,monthly!$B:$B,"&lt;="&amp;$B53)&gt;0,"NA",AVERAGEIFS(monthly!D:D,monthly!$A:$A,"&gt;="&amp;$A53,monthly!$B:$B,"&lt;="&amp;$B53))</f>
        <v>0.94574999999999998</v>
      </c>
      <c r="M53">
        <f>IF(COUNTIFS(monthly!E:E,"",monthly!$A:$A,"&gt;="&amp;$A53,monthly!$B:$B,"&lt;="&amp;$B53)&gt;0,"NA",AVERAGEIFS(monthly!E:E,monthly!$A:$A,"&gt;="&amp;$A53,monthly!$B:$B,"&lt;="&amp;$B53))</f>
        <v>42.469467026880054</v>
      </c>
      <c r="N53" t="str">
        <f>IF(COUNTIFS(monthly!F:F,"",monthly!$A:$A,"&gt;="&amp;$A53,monthly!$B:$B,"&lt;="&amp;$B53)&gt;0,"NA",AVERAGEIFS(monthly!F:F,monthly!$A:$A,"&gt;="&amp;$A53,monthly!$B:$B,"&lt;="&amp;$B53))</f>
        <v>NA</v>
      </c>
      <c r="O53">
        <f>IF(COUNTIFS(monthly!G:G,"",monthly!$A:$A,"&gt;="&amp;$A53,monthly!$B:$B,"&lt;="&amp;$B53)&gt;0,"NA",AVERAGEIFS(monthly!G:G,monthly!$A:$A,"&gt;="&amp;$A53,monthly!$B:$B,"&lt;="&amp;$B53))</f>
        <v>32.5</v>
      </c>
      <c r="P53">
        <f>IF(COUNTIFS(monthly!H:H,"",monthly!$A:$A,"&gt;="&amp;$A53,monthly!$B:$B,"&lt;="&amp;$B53)&gt;0,"NA",AVERAGEIFS(monthly!H:H,monthly!$A:$A,"&gt;="&amp;$A53,monthly!$B:$B,"&lt;="&amp;$B53))</f>
        <v>55.6</v>
      </c>
      <c r="Q53">
        <f>IF(COUNTIFS(monthly!I:I,"",monthly!$A:$A,"&gt;="&amp;$A53,monthly!$B:$B,"&lt;="&amp;$B53)&gt;0,"NA",AVERAGEIFS(monthly!I:I,monthly!$A:$A,"&gt;="&amp;$A53,monthly!$B:$B,"&lt;="&amp;$B53))</f>
        <v>34.4</v>
      </c>
      <c r="R53">
        <f>IF(COUNTIFS(monthly!J:J,"",monthly!$A:$A,"&gt;="&amp;$A53,monthly!$B:$B,"&lt;="&amp;$B53)&gt;0,"NA",AVERAGEIFS(monthly!J:J,monthly!$A:$A,"&gt;="&amp;$A53,monthly!$B:$B,"&lt;="&amp;$B53))</f>
        <v>6.05</v>
      </c>
      <c r="S53">
        <f>IF(COUNTIFS(monthly!K:K,"",monthly!$A:$A,"&gt;="&amp;$A53,monthly!$B:$B,"&lt;="&amp;$B53)&gt;0,"NA",AVERAGEIFS(monthly!K:K,monthly!$A:$A,"&gt;="&amp;$A53,monthly!$B:$B,"&lt;="&amp;$B53))</f>
        <v>12.838690476190479</v>
      </c>
      <c r="T53">
        <f>IF(COUNTIFS(monthly!L:L,"",monthly!$A:$A,"&gt;="&amp;$A53,monthly!$B:$B,"&lt;="&amp;$B53)&gt;0,"NA",AVERAGEIFS(monthly!L:L,monthly!$A:$A,"&gt;="&amp;$A53,monthly!$B:$B,"&lt;="&amp;$B53))</f>
        <v>9.4517150537634418</v>
      </c>
      <c r="U53">
        <f>IF(COUNTIFS(monthly!M:M,"",monthly!$A:$A,"&gt;="&amp;$A53,monthly!$B:$B,"&lt;="&amp;$B53)&gt;0,"NA",AVERAGEIFS(monthly!M:M,monthly!$A:$A,"&gt;="&amp;$A53,monthly!$B:$B,"&lt;="&amp;$B53))</f>
        <v>3.3869754224270361</v>
      </c>
      <c r="V53" t="str">
        <f>IF(COUNTIFS(monthly!N:N,"",monthly!$A:$A,"&gt;="&amp;$A53,monthly!$B:$B,"&lt;="&amp;$B53)&gt;0,"NA",AVERAGEIFS(monthly!N:N,monthly!$A:$A,"&gt;="&amp;$A53,monthly!$B:$B,"&lt;="&amp;$B53))</f>
        <v>NA</v>
      </c>
      <c r="W53">
        <f>IF(COUNTIFS(monthly!O:O,"",monthly!$A:$A,"&gt;="&amp;$A53,monthly!$B:$B,"&lt;="&amp;$B53)&gt;0,"NA",AVERAGEIFS(monthly!O:O,monthly!$A:$A,"&gt;="&amp;$A53,monthly!$B:$B,"&lt;="&amp;$B53))</f>
        <v>9.9916447368421046</v>
      </c>
      <c r="X53" t="str">
        <f>IF(COUNTIFS(monthly!P:P,"",monthly!$A:$A,"&gt;="&amp;$A53,monthly!$B:$B,"&lt;="&amp;$B53)&gt;0,"NA",AVERAGEIFS(monthly!P:P,monthly!$A:$A,"&gt;="&amp;$A53,monthly!$B:$B,"&lt;="&amp;$B53))</f>
        <v>NA</v>
      </c>
      <c r="Y53">
        <f>IF(COUNTIFS(monthly!Q:Q,"",monthly!$A:$A,"&gt;="&amp;$A53,monthly!$B:$B,"&lt;="&amp;$B53)&gt;0,"NA",AVERAGEIFS(monthly!Q:Q,monthly!$A:$A,"&gt;="&amp;$A53,monthly!$B:$B,"&lt;="&amp;$B53))</f>
        <v>14.574999999999999</v>
      </c>
      <c r="Z53">
        <f>IF(COUNTIFS(monthly!R:R,"",monthly!$A:$A,"&gt;="&amp;$A53,monthly!$B:$B,"&lt;="&amp;$B53)&gt;0,"NA",AVERAGEIFS(monthly!R:R,monthly!$A:$A,"&gt;="&amp;$A53,monthly!$B:$B,"&lt;="&amp;$B53))</f>
        <v>10.728513157894737</v>
      </c>
      <c r="AA53">
        <f>IF(COUNTIFS(monthly!S:S,"",monthly!$A:$A,"&gt;="&amp;$A53,monthly!$B:$B,"&lt;="&amp;$B53)&gt;0,"NA",AVERAGEIFS(monthly!S:S,monthly!$A:$A,"&gt;="&amp;$A53,monthly!$B:$B,"&lt;="&amp;$B53))</f>
        <v>3.8464868421052634</v>
      </c>
      <c r="AB53" t="str">
        <f>IF(COUNTIFS(monthly!T:T,"",monthly!$A:$A,"&gt;="&amp;$A53,monthly!$B:$B,"&lt;="&amp;$B53)&gt;0,"NA",AVERAGEIFS(monthly!T:T,monthly!$A:$A,"&gt;="&amp;$A53,monthly!$B:$B,"&lt;="&amp;$B53))</f>
        <v>NA</v>
      </c>
      <c r="AC53" t="str">
        <f>IF(COUNTIFS(monthly!U:U,"",monthly!$A:$A,"&gt;="&amp;$A53,monthly!$B:$B,"&lt;="&amp;$B53)&gt;0,"NA",AVERAGEIFS(monthly!U:U,monthly!$A:$A,"&gt;="&amp;$A53,monthly!$B:$B,"&lt;="&amp;$B53))</f>
        <v>NA</v>
      </c>
      <c r="AD53" t="str">
        <f>IF(COUNTIFS(monthly!V:V,"",monthly!$A:$A,"&gt;="&amp;$A53,monthly!$B:$B,"&lt;="&amp;$B53)&gt;0,"NA",AVERAGEIFS(monthly!V:V,monthly!$A:$A,"&gt;="&amp;$A53,monthly!$B:$B,"&lt;="&amp;$B53))</f>
        <v>NA</v>
      </c>
      <c r="AE53" t="str">
        <f>IF(COUNTIFS(monthly!W:W,"",monthly!$A:$A,"&gt;="&amp;$A53,monthly!$B:$B,"&lt;="&amp;$B53)&gt;0,"NA",AVERAGEIFS(monthly!W:W,monthly!$A:$A,"&gt;="&amp;$A53,monthly!$B:$B,"&lt;="&amp;$B53))</f>
        <v>NA</v>
      </c>
      <c r="AF53" t="str">
        <f>IF(COUNTIFS(monthly!X:X,"",monthly!$A:$A,"&gt;="&amp;$A53,monthly!$B:$B,"&lt;="&amp;$B53)&gt;0,"NA",AVERAGEIFS(monthly!X:X,monthly!$A:$A,"&gt;="&amp;$A53,monthly!$B:$B,"&lt;="&amp;$B53))</f>
        <v>NA</v>
      </c>
      <c r="AG53" t="str">
        <f>IF(COUNTIFS(monthly!Y:Y,"",monthly!$A:$A,"&gt;="&amp;$A53,monthly!$B:$B,"&lt;="&amp;$B53)&gt;0,"NA",AVERAGEIFS(monthly!Y:Y,monthly!$A:$A,"&gt;="&amp;$A53,monthly!$B:$B,"&lt;="&amp;$B53))</f>
        <v>NA</v>
      </c>
      <c r="AH53" t="str">
        <f>IF(COUNTIFS(monthly!Z:Z,"",monthly!$A:$A,"&gt;="&amp;$A53,monthly!$B:$B,"&lt;="&amp;$B53)&gt;0,"NA",AVERAGEIFS(monthly!Z:Z,monthly!$A:$A,"&gt;="&amp;$A53,monthly!$B:$B,"&lt;="&amp;$B53))</f>
        <v>NA</v>
      </c>
    </row>
    <row r="54" spans="1:34" x14ac:dyDescent="0.2">
      <c r="A54" s="1">
        <v>30317</v>
      </c>
      <c r="B54" s="1">
        <v>30405</v>
      </c>
      <c r="C54">
        <f>IF(ISBLANK(VLOOKUP($A54,quarterly_data,MATCH(C$1,quarterly!$1:$1,FALSE),FALSE)),"NA",VLOOKUP($A54,quarterly_data,MATCH(C$1,quarterly!$1:$1,FALSE),FALSE))</f>
        <v>132.65667692720012</v>
      </c>
      <c r="D54">
        <f>IF(ISBLANK(VLOOKUP($A54,quarterly_data,MATCH(D$1,quarterly!$1:$1,FALSE),FALSE)),"NA",VLOOKUP($A54,quarterly_data,MATCH(D$1,quarterly!$1:$1,FALSE),FALSE))</f>
        <v>51.6</v>
      </c>
      <c r="E54">
        <f>IF(ISBLANK(VLOOKUP($A54,quarterly_data,MATCH(E$1,quarterly!$1:$1,FALSE),FALSE)),"NA",VLOOKUP($A54,quarterly_data,MATCH(E$1,quarterly!$1:$1,FALSE),FALSE))</f>
        <v>0.15015020000000001</v>
      </c>
      <c r="F54">
        <f>IF(ISBLANK(VLOOKUP($A54,quarterly_data,MATCH(F$1,quarterly!$1:$1,FALSE),FALSE)),"NA",VLOOKUP($A54,quarterly_data,MATCH(F$1,quarterly!$1:$1,FALSE),FALSE))</f>
        <v>4.8683299999999999E-2</v>
      </c>
      <c r="G54">
        <f>IF(ISBLANK(VLOOKUP($A54,quarterly_data,MATCH(G$1,quarterly!$1:$1,FALSE),FALSE)),"NA",VLOOKUP($A54,quarterly_data,MATCH(G$1,quarterly!$1:$1,FALSE),FALSE))</f>
        <v>7400.0659999999998</v>
      </c>
      <c r="H54">
        <f>IF(ISBLANK(VLOOKUP($A54,quarterly_data,MATCH(H$1,quarterly!$1:$1,FALSE),FALSE)),"NA",VLOOKUP($A54,quarterly_data,MATCH(H$1,quarterly!$1:$1,FALSE),FALSE))</f>
        <v>187708</v>
      </c>
      <c r="I54">
        <f>IF(ISBLANK(VLOOKUP($A54,quarterly_data,MATCH(I$1,quarterly!$1:$1,FALSE),FALSE)),"NA",VLOOKUP($A54,quarterly_data,MATCH(I$1,quarterly!$1:$1,FALSE),FALSE))</f>
        <v>2.2000000000000002</v>
      </c>
      <c r="J54">
        <f>IF(ISBLANK(VLOOKUP($A54,quarterly_data,MATCH(J$1,quarterly!$1:$1,FALSE),FALSE)),"NA",VLOOKUP($A54,quarterly_data,MATCH(J$1,quarterly!$1:$1,FALSE),FALSE))</f>
        <v>23.81</v>
      </c>
      <c r="K54">
        <f>IF(COUNTIFS(monthly!C:C,"",monthly!$A:$A,"&gt;="&amp;$A54,monthly!$B:$B,"&lt;="&amp;$B54)&gt;0,"NA",AVERAGEIFS(monthly!C:C,monthly!$A:$A,"&gt;="&amp;$A54,monthly!$B:$B,"&lt;="&amp;$B54))</f>
        <v>83</v>
      </c>
      <c r="L54">
        <f>IF(COUNTIFS(monthly!D:D,"",monthly!$A:$A,"&gt;="&amp;$A54,monthly!$B:$B,"&lt;="&amp;$B54)&gt;0,"NA",AVERAGEIFS(monthly!D:D,monthly!$A:$A,"&gt;="&amp;$A54,monthly!$B:$B,"&lt;="&amp;$B54))</f>
        <v>0.96619999999999995</v>
      </c>
      <c r="M54">
        <f>IF(COUNTIFS(monthly!E:E,"",monthly!$A:$A,"&gt;="&amp;$A54,monthly!$B:$B,"&lt;="&amp;$B54)&gt;0,"NA",AVERAGEIFS(monthly!E:E,monthly!$A:$A,"&gt;="&amp;$A54,monthly!$B:$B,"&lt;="&amp;$B54))</f>
        <v>42.960006397418198</v>
      </c>
      <c r="N54" t="str">
        <f>IF(COUNTIFS(monthly!F:F,"",monthly!$A:$A,"&gt;="&amp;$A54,monthly!$B:$B,"&lt;="&amp;$B54)&gt;0,"NA",AVERAGEIFS(monthly!F:F,monthly!$A:$A,"&gt;="&amp;$A54,monthly!$B:$B,"&lt;="&amp;$B54))</f>
        <v>NA</v>
      </c>
      <c r="O54">
        <f>IF(COUNTIFS(monthly!G:G,"",monthly!$A:$A,"&gt;="&amp;$A54,monthly!$B:$B,"&lt;="&amp;$B54)&gt;0,"NA",AVERAGEIFS(monthly!G:G,monthly!$A:$A,"&gt;="&amp;$A54,monthly!$B:$B,"&lt;="&amp;$B54))</f>
        <v>29</v>
      </c>
      <c r="P54">
        <f>IF(COUNTIFS(monthly!H:H,"",monthly!$A:$A,"&gt;="&amp;$A54,monthly!$B:$B,"&lt;="&amp;$B54)&gt;0,"NA",AVERAGEIFS(monthly!H:H,monthly!$A:$A,"&gt;="&amp;$A54,monthly!$B:$B,"&lt;="&amp;$B54))</f>
        <v>43</v>
      </c>
      <c r="Q54">
        <f>IF(COUNTIFS(monthly!I:I,"",monthly!$A:$A,"&gt;="&amp;$A54,monthly!$B:$B,"&lt;="&amp;$B54)&gt;0,"NA",AVERAGEIFS(monthly!I:I,monthly!$A:$A,"&gt;="&amp;$A54,monthly!$B:$B,"&lt;="&amp;$B54))</f>
        <v>30</v>
      </c>
      <c r="R54">
        <f>IF(COUNTIFS(monthly!J:J,"",monthly!$A:$A,"&gt;="&amp;$A54,monthly!$B:$B,"&lt;="&amp;$B54)&gt;0,"NA",AVERAGEIFS(monthly!J:J,monthly!$A:$A,"&gt;="&amp;$A54,monthly!$B:$B,"&lt;="&amp;$B54))</f>
        <v>5.55</v>
      </c>
      <c r="S54">
        <f>IF(COUNTIFS(monthly!K:K,"",monthly!$A:$A,"&gt;="&amp;$A54,monthly!$B:$B,"&lt;="&amp;$B54)&gt;0,"NA",AVERAGEIFS(monthly!K:K,monthly!$A:$A,"&gt;="&amp;$A54,monthly!$B:$B,"&lt;="&amp;$B54))</f>
        <v>10.620763157894736</v>
      </c>
      <c r="T54">
        <f>IF(COUNTIFS(monthly!L:L,"",monthly!$A:$A,"&gt;="&amp;$A54,monthly!$B:$B,"&lt;="&amp;$B54)&gt;0,"NA",AVERAGEIFS(monthly!L:L,monthly!$A:$A,"&gt;="&amp;$A54,monthly!$B:$B,"&lt;="&amp;$B54))</f>
        <v>8.5960771889400895</v>
      </c>
      <c r="U54">
        <f>IF(COUNTIFS(monthly!M:M,"",monthly!$A:$A,"&gt;="&amp;$A54,monthly!$B:$B,"&lt;="&amp;$B54)&gt;0,"NA",AVERAGEIFS(monthly!M:M,monthly!$A:$A,"&gt;="&amp;$A54,monthly!$B:$B,"&lt;="&amp;$B54))</f>
        <v>2.0246859689546461</v>
      </c>
      <c r="V54" t="str">
        <f>IF(COUNTIFS(monthly!N:N,"",monthly!$A:$A,"&gt;="&amp;$A54,monthly!$B:$B,"&lt;="&amp;$B54)&gt;0,"NA",AVERAGEIFS(monthly!N:N,monthly!$A:$A,"&gt;="&amp;$A54,monthly!$B:$B,"&lt;="&amp;$B54))</f>
        <v>NA</v>
      </c>
      <c r="W54">
        <f>IF(COUNTIFS(monthly!O:O,"",monthly!$A:$A,"&gt;="&amp;$A54,monthly!$B:$B,"&lt;="&amp;$B54)&gt;0,"NA",AVERAGEIFS(monthly!O:O,monthly!$A:$A,"&gt;="&amp;$A54,monthly!$B:$B,"&lt;="&amp;$B54))</f>
        <v>9.4819674185463665</v>
      </c>
      <c r="X54" t="str">
        <f>IF(COUNTIFS(monthly!P:P,"",monthly!$A:$A,"&gt;="&amp;$A54,monthly!$B:$B,"&lt;="&amp;$B54)&gt;0,"NA",AVERAGEIFS(monthly!P:P,monthly!$A:$A,"&gt;="&amp;$A54,monthly!$B:$B,"&lt;="&amp;$B54))</f>
        <v>NA</v>
      </c>
      <c r="Y54">
        <f>IF(COUNTIFS(monthly!Q:Q,"",monthly!$A:$A,"&gt;="&amp;$A54,monthly!$B:$B,"&lt;="&amp;$B54)&gt;0,"NA",AVERAGEIFS(monthly!Q:Q,monthly!$A:$A,"&gt;="&amp;$A54,monthly!$B:$B,"&lt;="&amp;$B54))</f>
        <v>13.3</v>
      </c>
      <c r="Z54">
        <f>IF(COUNTIFS(monthly!R:R,"",monthly!$A:$A,"&gt;="&amp;$A54,monthly!$B:$B,"&lt;="&amp;$B54)&gt;0,"NA",AVERAGEIFS(monthly!R:R,monthly!$A:$A,"&gt;="&amp;$A54,monthly!$B:$B,"&lt;="&amp;$B54))</f>
        <v>10.590939849624061</v>
      </c>
      <c r="AA54">
        <f>IF(COUNTIFS(monthly!S:S,"",monthly!$A:$A,"&gt;="&amp;$A54,monthly!$B:$B,"&lt;="&amp;$B54)&gt;0,"NA",AVERAGEIFS(monthly!S:S,monthly!$A:$A,"&gt;="&amp;$A54,monthly!$B:$B,"&lt;="&amp;$B54))</f>
        <v>2.7090601503759393</v>
      </c>
      <c r="AB54" t="str">
        <f>IF(COUNTIFS(monthly!T:T,"",monthly!$A:$A,"&gt;="&amp;$A54,monthly!$B:$B,"&lt;="&amp;$B54)&gt;0,"NA",AVERAGEIFS(monthly!T:T,monthly!$A:$A,"&gt;="&amp;$A54,monthly!$B:$B,"&lt;="&amp;$B54))</f>
        <v>NA</v>
      </c>
      <c r="AC54" t="str">
        <f>IF(COUNTIFS(monthly!U:U,"",monthly!$A:$A,"&gt;="&amp;$A54,monthly!$B:$B,"&lt;="&amp;$B54)&gt;0,"NA",AVERAGEIFS(monthly!U:U,monthly!$A:$A,"&gt;="&amp;$A54,monthly!$B:$B,"&lt;="&amp;$B54))</f>
        <v>NA</v>
      </c>
      <c r="AD54" t="str">
        <f>IF(COUNTIFS(monthly!V:V,"",monthly!$A:$A,"&gt;="&amp;$A54,monthly!$B:$B,"&lt;="&amp;$B54)&gt;0,"NA",AVERAGEIFS(monthly!V:V,monthly!$A:$A,"&gt;="&amp;$A54,monthly!$B:$B,"&lt;="&amp;$B54))</f>
        <v>NA</v>
      </c>
      <c r="AE54" t="str">
        <f>IF(COUNTIFS(monthly!W:W,"",monthly!$A:$A,"&gt;="&amp;$A54,monthly!$B:$B,"&lt;="&amp;$B54)&gt;0,"NA",AVERAGEIFS(monthly!W:W,monthly!$A:$A,"&gt;="&amp;$A54,monthly!$B:$B,"&lt;="&amp;$B54))</f>
        <v>NA</v>
      </c>
      <c r="AF54" t="str">
        <f>IF(COUNTIFS(monthly!X:X,"",monthly!$A:$A,"&gt;="&amp;$A54,monthly!$B:$B,"&lt;="&amp;$B54)&gt;0,"NA",AVERAGEIFS(monthly!X:X,monthly!$A:$A,"&gt;="&amp;$A54,monthly!$B:$B,"&lt;="&amp;$B54))</f>
        <v>NA</v>
      </c>
      <c r="AG54" t="str">
        <f>IF(COUNTIFS(monthly!Y:Y,"",monthly!$A:$A,"&gt;="&amp;$A54,monthly!$B:$B,"&lt;="&amp;$B54)&gt;0,"NA",AVERAGEIFS(monthly!Y:Y,monthly!$A:$A,"&gt;="&amp;$A54,monthly!$B:$B,"&lt;="&amp;$B54))</f>
        <v>NA</v>
      </c>
      <c r="AH54" t="str">
        <f>IF(COUNTIFS(monthly!Z:Z,"",monthly!$A:$A,"&gt;="&amp;$A54,monthly!$B:$B,"&lt;="&amp;$B54)&gt;0,"NA",AVERAGEIFS(monthly!Z:Z,monthly!$A:$A,"&gt;="&amp;$A54,monthly!$B:$B,"&lt;="&amp;$B54))</f>
        <v>NA</v>
      </c>
    </row>
    <row r="55" spans="1:34" x14ac:dyDescent="0.2">
      <c r="A55" s="1">
        <v>30407</v>
      </c>
      <c r="B55" s="1">
        <v>30497</v>
      </c>
      <c r="C55">
        <f>IF(ISBLANK(VLOOKUP($A55,quarterly_data,MATCH(C$1,quarterly!$1:$1,FALSE),FALSE)),"NA",VLOOKUP($A55,quarterly_data,MATCH(C$1,quarterly!$1:$1,FALSE),FALSE))</f>
        <v>125.80649170312562</v>
      </c>
      <c r="D55">
        <f>IF(ISBLANK(VLOOKUP($A55,quarterly_data,MATCH(D$1,quarterly!$1:$1,FALSE),FALSE)),"NA",VLOOKUP($A55,quarterly_data,MATCH(D$1,quarterly!$1:$1,FALSE),FALSE))</f>
        <v>52.2</v>
      </c>
      <c r="E55">
        <f>IF(ISBLANK(VLOOKUP($A55,quarterly_data,MATCH(E$1,quarterly!$1:$1,FALSE),FALSE)),"NA",VLOOKUP($A55,quarterly_data,MATCH(E$1,quarterly!$1:$1,FALSE),FALSE))</f>
        <v>0</v>
      </c>
      <c r="F55">
        <f>IF(ISBLANK(VLOOKUP($A55,quarterly_data,MATCH(F$1,quarterly!$1:$1,FALSE),FALSE)),"NA",VLOOKUP($A55,quarterly_data,MATCH(F$1,quarterly!$1:$1,FALSE),FALSE))</f>
        <v>2.12328E-2</v>
      </c>
      <c r="G55">
        <f>IF(ISBLANK(VLOOKUP($A55,quarterly_data,MATCH(G$1,quarterly!$1:$1,FALSE),FALSE)),"NA",VLOOKUP($A55,quarterly_data,MATCH(G$1,quarterly!$1:$1,FALSE),FALSE))</f>
        <v>7568.4560000000001</v>
      </c>
      <c r="H55">
        <f>IF(ISBLANK(VLOOKUP($A55,quarterly_data,MATCH(H$1,quarterly!$1:$1,FALSE),FALSE)),"NA",VLOOKUP($A55,quarterly_data,MATCH(H$1,quarterly!$1:$1,FALSE),FALSE))</f>
        <v>187314</v>
      </c>
      <c r="I55">
        <f>IF(ISBLANK(VLOOKUP($A55,quarterly_data,MATCH(I$1,quarterly!$1:$1,FALSE),FALSE)),"NA",VLOOKUP($A55,quarterly_data,MATCH(I$1,quarterly!$1:$1,FALSE),FALSE))</f>
        <v>1.8</v>
      </c>
      <c r="J55">
        <f>IF(ISBLANK(VLOOKUP($A55,quarterly_data,MATCH(J$1,quarterly!$1:$1,FALSE),FALSE)),"NA",VLOOKUP($A55,quarterly_data,MATCH(J$1,quarterly!$1:$1,FALSE),FALSE))</f>
        <v>24.32</v>
      </c>
      <c r="K55">
        <f>IF(COUNTIFS(monthly!C:C,"",monthly!$A:$A,"&gt;="&amp;$A55,monthly!$B:$B,"&lt;="&amp;$B55)&gt;0,"NA",AVERAGEIFS(monthly!C:C,monthly!$A:$A,"&gt;="&amp;$A55,monthly!$B:$B,"&lt;="&amp;$B55))</f>
        <v>77.166666666666671</v>
      </c>
      <c r="L55">
        <f>IF(COUNTIFS(monthly!D:D,"",monthly!$A:$A,"&gt;="&amp;$A55,monthly!$B:$B,"&lt;="&amp;$B55)&gt;0,"NA",AVERAGEIFS(monthly!D:D,monthly!$A:$A,"&gt;="&amp;$A55,monthly!$B:$B,"&lt;="&amp;$B55))</f>
        <v>0.87483333333333346</v>
      </c>
      <c r="M55">
        <f>IF(COUNTIFS(monthly!E:E,"",monthly!$A:$A,"&gt;="&amp;$A55,monthly!$B:$B,"&lt;="&amp;$B55)&gt;0,"NA",AVERAGEIFS(monthly!E:E,monthly!$A:$A,"&gt;="&amp;$A55,monthly!$B:$B,"&lt;="&amp;$B55))</f>
        <v>42.513671479402767</v>
      </c>
      <c r="N55" t="str">
        <f>IF(COUNTIFS(monthly!F:F,"",monthly!$A:$A,"&gt;="&amp;$A55,monthly!$B:$B,"&lt;="&amp;$B55)&gt;0,"NA",AVERAGEIFS(monthly!F:F,monthly!$A:$A,"&gt;="&amp;$A55,monthly!$B:$B,"&lt;="&amp;$B55))</f>
        <v>NA</v>
      </c>
      <c r="O55">
        <f>IF(COUNTIFS(monthly!G:G,"",monthly!$A:$A,"&gt;="&amp;$A55,monthly!$B:$B,"&lt;="&amp;$B55)&gt;0,"NA",AVERAGEIFS(monthly!G:G,monthly!$A:$A,"&gt;="&amp;$A55,monthly!$B:$B,"&lt;="&amp;$B55))</f>
        <v>29</v>
      </c>
      <c r="P55">
        <f>IF(COUNTIFS(monthly!H:H,"",monthly!$A:$A,"&gt;="&amp;$A55,monthly!$B:$B,"&lt;="&amp;$B55)&gt;0,"NA",AVERAGEIFS(monthly!H:H,monthly!$A:$A,"&gt;="&amp;$A55,monthly!$B:$B,"&lt;="&amp;$B55))</f>
        <v>43</v>
      </c>
      <c r="Q55">
        <f>IF(COUNTIFS(monthly!I:I,"",monthly!$A:$A,"&gt;="&amp;$A55,monthly!$B:$B,"&lt;="&amp;$B55)&gt;0,"NA",AVERAGEIFS(monthly!I:I,monthly!$A:$A,"&gt;="&amp;$A55,monthly!$B:$B,"&lt;="&amp;$B55))</f>
        <v>29.866666666666671</v>
      </c>
      <c r="R55">
        <f>IF(COUNTIFS(monthly!J:J,"",monthly!$A:$A,"&gt;="&amp;$A55,monthly!$B:$B,"&lt;="&amp;$B55)&gt;0,"NA",AVERAGEIFS(monthly!J:J,monthly!$A:$A,"&gt;="&amp;$A55,monthly!$B:$B,"&lt;="&amp;$B55))</f>
        <v>5.55</v>
      </c>
      <c r="S55">
        <f>IF(COUNTIFS(monthly!K:K,"",monthly!$A:$A,"&gt;="&amp;$A55,monthly!$B:$B,"&lt;="&amp;$B55)&gt;0,"NA",AVERAGEIFS(monthly!K:K,monthly!$A:$A,"&gt;="&amp;$A55,monthly!$B:$B,"&lt;="&amp;$B55))</f>
        <v>10.856430976430977</v>
      </c>
      <c r="T55">
        <f>IF(COUNTIFS(monthly!L:L,"",monthly!$A:$A,"&gt;="&amp;$A55,monthly!$B:$B,"&lt;="&amp;$B55)&gt;0,"NA",AVERAGEIFS(monthly!L:L,monthly!$A:$A,"&gt;="&amp;$A55,monthly!$B:$B,"&lt;="&amp;$B55))</f>
        <v>8.8046666666666678</v>
      </c>
      <c r="U55">
        <f>IF(COUNTIFS(monthly!M:M,"",monthly!$A:$A,"&gt;="&amp;$A55,monthly!$B:$B,"&lt;="&amp;$B55)&gt;0,"NA",AVERAGEIFS(monthly!M:M,monthly!$A:$A,"&gt;="&amp;$A55,monthly!$B:$B,"&lt;="&amp;$B55))</f>
        <v>2.0517643097643088</v>
      </c>
      <c r="V55" t="str">
        <f>IF(COUNTIFS(monthly!N:N,"",monthly!$A:$A,"&gt;="&amp;$A55,monthly!$B:$B,"&lt;="&amp;$B55)&gt;0,"NA",AVERAGEIFS(monthly!N:N,monthly!$A:$A,"&gt;="&amp;$A55,monthly!$B:$B,"&lt;="&amp;$B55))</f>
        <v>NA</v>
      </c>
      <c r="W55">
        <f>IF(COUNTIFS(monthly!O:O,"",monthly!$A:$A,"&gt;="&amp;$A55,monthly!$B:$B,"&lt;="&amp;$B55)&gt;0,"NA",AVERAGEIFS(monthly!O:O,monthly!$A:$A,"&gt;="&amp;$A55,monthly!$B:$B,"&lt;="&amp;$B55))</f>
        <v>9.7462886002885991</v>
      </c>
      <c r="X55" t="str">
        <f>IF(COUNTIFS(monthly!P:P,"",monthly!$A:$A,"&gt;="&amp;$A55,monthly!$B:$B,"&lt;="&amp;$B55)&gt;0,"NA",AVERAGEIFS(monthly!P:P,monthly!$A:$A,"&gt;="&amp;$A55,monthly!$B:$B,"&lt;="&amp;$B55))</f>
        <v>NA</v>
      </c>
      <c r="Y55">
        <f>IF(COUNTIFS(monthly!Q:Q,"",monthly!$A:$A,"&gt;="&amp;$A55,monthly!$B:$B,"&lt;="&amp;$B55)&gt;0,"NA",AVERAGEIFS(monthly!Q:Q,monthly!$A:$A,"&gt;="&amp;$A55,monthly!$B:$B,"&lt;="&amp;$B55))</f>
        <v>13.966666666666667</v>
      </c>
      <c r="Z55">
        <f>IF(COUNTIFS(monthly!R:R,"",monthly!$A:$A,"&gt;="&amp;$A55,monthly!$B:$B,"&lt;="&amp;$B55)&gt;0,"NA",AVERAGEIFS(monthly!R:R,monthly!$A:$A,"&gt;="&amp;$A55,monthly!$B:$B,"&lt;="&amp;$B55))</f>
        <v>10.54287878787879</v>
      </c>
      <c r="AA55">
        <f>IF(COUNTIFS(monthly!S:S,"",monthly!$A:$A,"&gt;="&amp;$A55,monthly!$B:$B,"&lt;="&amp;$B55)&gt;0,"NA",AVERAGEIFS(monthly!S:S,monthly!$A:$A,"&gt;="&amp;$A55,monthly!$B:$B,"&lt;="&amp;$B55))</f>
        <v>3.4237878787878775</v>
      </c>
      <c r="AB55" t="str">
        <f>IF(COUNTIFS(monthly!T:T,"",monthly!$A:$A,"&gt;="&amp;$A55,monthly!$B:$B,"&lt;="&amp;$B55)&gt;0,"NA",AVERAGEIFS(monthly!T:T,monthly!$A:$A,"&gt;="&amp;$A55,monthly!$B:$B,"&lt;="&amp;$B55))</f>
        <v>NA</v>
      </c>
      <c r="AC55" t="str">
        <f>IF(COUNTIFS(monthly!U:U,"",monthly!$A:$A,"&gt;="&amp;$A55,monthly!$B:$B,"&lt;="&amp;$B55)&gt;0,"NA",AVERAGEIFS(monthly!U:U,monthly!$A:$A,"&gt;="&amp;$A55,monthly!$B:$B,"&lt;="&amp;$B55))</f>
        <v>NA</v>
      </c>
      <c r="AD55" t="str">
        <f>IF(COUNTIFS(monthly!V:V,"",monthly!$A:$A,"&gt;="&amp;$A55,monthly!$B:$B,"&lt;="&amp;$B55)&gt;0,"NA",AVERAGEIFS(monthly!V:V,monthly!$A:$A,"&gt;="&amp;$A55,monthly!$B:$B,"&lt;="&amp;$B55))</f>
        <v>NA</v>
      </c>
      <c r="AE55" t="str">
        <f>IF(COUNTIFS(monthly!W:W,"",monthly!$A:$A,"&gt;="&amp;$A55,monthly!$B:$B,"&lt;="&amp;$B55)&gt;0,"NA",AVERAGEIFS(monthly!W:W,monthly!$A:$A,"&gt;="&amp;$A55,monthly!$B:$B,"&lt;="&amp;$B55))</f>
        <v>NA</v>
      </c>
      <c r="AF55" t="str">
        <f>IF(COUNTIFS(monthly!X:X,"",monthly!$A:$A,"&gt;="&amp;$A55,monthly!$B:$B,"&lt;="&amp;$B55)&gt;0,"NA",AVERAGEIFS(monthly!X:X,monthly!$A:$A,"&gt;="&amp;$A55,monthly!$B:$B,"&lt;="&amp;$B55))</f>
        <v>NA</v>
      </c>
      <c r="AG55" t="str">
        <f>IF(COUNTIFS(monthly!Y:Y,"",monthly!$A:$A,"&gt;="&amp;$A55,monthly!$B:$B,"&lt;="&amp;$B55)&gt;0,"NA",AVERAGEIFS(monthly!Y:Y,monthly!$A:$A,"&gt;="&amp;$A55,monthly!$B:$B,"&lt;="&amp;$B55))</f>
        <v>NA</v>
      </c>
      <c r="AH55" t="str">
        <f>IF(COUNTIFS(monthly!Z:Z,"",monthly!$A:$A,"&gt;="&amp;$A55,monthly!$B:$B,"&lt;="&amp;$B55)&gt;0,"NA",AVERAGEIFS(monthly!Z:Z,monthly!$A:$A,"&gt;="&amp;$A55,monthly!$B:$B,"&lt;="&amp;$B55))</f>
        <v>NA</v>
      </c>
    </row>
    <row r="56" spans="1:34" x14ac:dyDescent="0.2">
      <c r="A56" s="1">
        <v>30498</v>
      </c>
      <c r="B56" s="1">
        <v>30589</v>
      </c>
      <c r="C56">
        <f>IF(ISBLANK(VLOOKUP($A56,quarterly_data,MATCH(C$1,quarterly!$1:$1,FALSE),FALSE)),"NA",VLOOKUP($A56,quarterly_data,MATCH(C$1,quarterly!$1:$1,FALSE),FALSE))</f>
        <v>129.78266507848656</v>
      </c>
      <c r="D56">
        <f>IF(ISBLANK(VLOOKUP($A56,quarterly_data,MATCH(D$1,quarterly!$1:$1,FALSE),FALSE)),"NA",VLOOKUP($A56,quarterly_data,MATCH(D$1,quarterly!$1:$1,FALSE),FALSE))</f>
        <v>52.1</v>
      </c>
      <c r="E56">
        <f>IF(ISBLANK(VLOOKUP($A56,quarterly_data,MATCH(E$1,quarterly!$1:$1,FALSE),FALSE)),"NA",VLOOKUP($A56,quarterly_data,MATCH(E$1,quarterly!$1:$1,FALSE),FALSE))</f>
        <v>0</v>
      </c>
      <c r="F56">
        <f>IF(ISBLANK(VLOOKUP($A56,quarterly_data,MATCH(F$1,quarterly!$1:$1,FALSE),FALSE)),"NA",VLOOKUP($A56,quarterly_data,MATCH(F$1,quarterly!$1:$1,FALSE),FALSE))</f>
        <v>5.0049999999999999E-3</v>
      </c>
      <c r="G56">
        <f>IF(ISBLANK(VLOOKUP($A56,quarterly_data,MATCH(G$1,quarterly!$1:$1,FALSE),FALSE)),"NA",VLOOKUP($A56,quarterly_data,MATCH(G$1,quarterly!$1:$1,FALSE),FALSE))</f>
        <v>7719.7460000000001</v>
      </c>
      <c r="H56">
        <f>IF(ISBLANK(VLOOKUP($A56,quarterly_data,MATCH(H$1,quarterly!$1:$1,FALSE),FALSE)),"NA",VLOOKUP($A56,quarterly_data,MATCH(H$1,quarterly!$1:$1,FALSE),FALSE))</f>
        <v>192527</v>
      </c>
      <c r="I56">
        <f>IF(ISBLANK(VLOOKUP($A56,quarterly_data,MATCH(I$1,quarterly!$1:$1,FALSE),FALSE)),"NA",VLOOKUP($A56,quarterly_data,MATCH(I$1,quarterly!$1:$1,FALSE),FALSE))</f>
        <v>1.5</v>
      </c>
      <c r="J56">
        <f>IF(ISBLANK(VLOOKUP($A56,quarterly_data,MATCH(J$1,quarterly!$1:$1,FALSE),FALSE)),"NA",VLOOKUP($A56,quarterly_data,MATCH(J$1,quarterly!$1:$1,FALSE),FALSE))</f>
        <v>24.74</v>
      </c>
      <c r="K56">
        <f>IF(COUNTIFS(monthly!C:C,"",monthly!$A:$A,"&gt;="&amp;$A56,monthly!$B:$B,"&lt;="&amp;$B56)&gt;0,"NA",AVERAGEIFS(monthly!C:C,monthly!$A:$A,"&gt;="&amp;$A56,monthly!$B:$B,"&lt;="&amp;$B56))</f>
        <v>79.599999999999994</v>
      </c>
      <c r="L56">
        <f>IF(COUNTIFS(monthly!D:D,"",monthly!$A:$A,"&gt;="&amp;$A56,monthly!$B:$B,"&lt;="&amp;$B56)&gt;0,"NA",AVERAGEIFS(monthly!D:D,monthly!$A:$A,"&gt;="&amp;$A56,monthly!$B:$B,"&lt;="&amp;$B56))</f>
        <v>0.88533333333333342</v>
      </c>
      <c r="M56">
        <f>IF(COUNTIFS(monthly!E:E,"",monthly!$A:$A,"&gt;="&amp;$A56,monthly!$B:$B,"&lt;="&amp;$B56)&gt;0,"NA",AVERAGEIFS(monthly!E:E,monthly!$A:$A,"&gt;="&amp;$A56,monthly!$B:$B,"&lt;="&amp;$B56))</f>
        <v>43.124485072697404</v>
      </c>
      <c r="N56" t="str">
        <f>IF(COUNTIFS(monthly!F:F,"",monthly!$A:$A,"&gt;="&amp;$A56,monthly!$B:$B,"&lt;="&amp;$B56)&gt;0,"NA",AVERAGEIFS(monthly!F:F,monthly!$A:$A,"&gt;="&amp;$A56,monthly!$B:$B,"&lt;="&amp;$B56))</f>
        <v>NA</v>
      </c>
      <c r="O56">
        <f>IF(COUNTIFS(monthly!G:G,"",monthly!$A:$A,"&gt;="&amp;$A56,monthly!$B:$B,"&lt;="&amp;$B56)&gt;0,"NA",AVERAGEIFS(monthly!G:G,monthly!$A:$A,"&gt;="&amp;$A56,monthly!$B:$B,"&lt;="&amp;$B56))</f>
        <v>29</v>
      </c>
      <c r="P56">
        <f>IF(COUNTIFS(monthly!H:H,"",monthly!$A:$A,"&gt;="&amp;$A56,monthly!$B:$B,"&lt;="&amp;$B56)&gt;0,"NA",AVERAGEIFS(monthly!H:H,monthly!$A:$A,"&gt;="&amp;$A56,monthly!$B:$B,"&lt;="&amp;$B56))</f>
        <v>34.799999999999997</v>
      </c>
      <c r="Q56">
        <f>IF(COUNTIFS(monthly!I:I,"",monthly!$A:$A,"&gt;="&amp;$A56,monthly!$B:$B,"&lt;="&amp;$B56)&gt;0,"NA",AVERAGEIFS(monthly!I:I,monthly!$A:$A,"&gt;="&amp;$A56,monthly!$B:$B,"&lt;="&amp;$B56))</f>
        <v>30.766666666666669</v>
      </c>
      <c r="R56">
        <f>IF(COUNTIFS(monthly!J:J,"",monthly!$A:$A,"&gt;="&amp;$A56,monthly!$B:$B,"&lt;="&amp;$B56)&gt;0,"NA",AVERAGEIFS(monthly!J:J,monthly!$A:$A,"&gt;="&amp;$A56,monthly!$B:$B,"&lt;="&amp;$B56))</f>
        <v>5.55</v>
      </c>
      <c r="S56">
        <f>IF(COUNTIFS(monthly!K:K,"",monthly!$A:$A,"&gt;="&amp;$A56,monthly!$B:$B,"&lt;="&amp;$B56)&gt;0,"NA",AVERAGEIFS(monthly!K:K,monthly!$A:$A,"&gt;="&amp;$A56,monthly!$B:$B,"&lt;="&amp;$B56))</f>
        <v>9.7396295250643075</v>
      </c>
      <c r="T56">
        <f>IF(COUNTIFS(monthly!L:L,"",monthly!$A:$A,"&gt;="&amp;$A56,monthly!$B:$B,"&lt;="&amp;$B56)&gt;0,"NA",AVERAGEIFS(monthly!L:L,monthly!$A:$A,"&gt;="&amp;$A56,monthly!$B:$B,"&lt;="&amp;$B56))</f>
        <v>9.4580430107526876</v>
      </c>
      <c r="U56">
        <f>IF(COUNTIFS(monthly!M:M,"",monthly!$A:$A,"&gt;="&amp;$A56,monthly!$B:$B,"&lt;="&amp;$B56)&gt;0,"NA",AVERAGEIFS(monthly!M:M,monthly!$A:$A,"&gt;="&amp;$A56,monthly!$B:$B,"&lt;="&amp;$B56))</f>
        <v>0.28158651431161869</v>
      </c>
      <c r="V56" t="str">
        <f>IF(COUNTIFS(monthly!N:N,"",monthly!$A:$A,"&gt;="&amp;$A56,monthly!$B:$B,"&lt;="&amp;$B56)&gt;0,"NA",AVERAGEIFS(monthly!N:N,monthly!$A:$A,"&gt;="&amp;$A56,monthly!$B:$B,"&lt;="&amp;$B56))</f>
        <v>NA</v>
      </c>
      <c r="W56">
        <f>IF(COUNTIFS(monthly!O:O,"",monthly!$A:$A,"&gt;="&amp;$A56,monthly!$B:$B,"&lt;="&amp;$B56)&gt;0,"NA",AVERAGEIFS(monthly!O:O,monthly!$A:$A,"&gt;="&amp;$A56,monthly!$B:$B,"&lt;="&amp;$B56))</f>
        <v>10.848478260869564</v>
      </c>
      <c r="X56" t="str">
        <f>IF(COUNTIFS(monthly!P:P,"",monthly!$A:$A,"&gt;="&amp;$A56,monthly!$B:$B,"&lt;="&amp;$B56)&gt;0,"NA",AVERAGEIFS(monthly!P:P,monthly!$A:$A,"&gt;="&amp;$A56,monthly!$B:$B,"&lt;="&amp;$B56))</f>
        <v>NA</v>
      </c>
      <c r="Y56">
        <f>IF(COUNTIFS(monthly!Q:Q,"",monthly!$A:$A,"&gt;="&amp;$A56,monthly!$B:$B,"&lt;="&amp;$B56)&gt;0,"NA",AVERAGEIFS(monthly!Q:Q,monthly!$A:$A,"&gt;="&amp;$A56,monthly!$B:$B,"&lt;="&amp;$B56))</f>
        <v>14.549999999999999</v>
      </c>
      <c r="Z56">
        <f>IF(COUNTIFS(monthly!R:R,"",monthly!$A:$A,"&gt;="&amp;$A56,monthly!$B:$B,"&lt;="&amp;$B56)&gt;0,"NA",AVERAGEIFS(monthly!R:R,monthly!$A:$A,"&gt;="&amp;$A56,monthly!$B:$B,"&lt;="&amp;$B56))</f>
        <v>11.62563216011042</v>
      </c>
      <c r="AA56">
        <f>IF(COUNTIFS(monthly!S:S,"",monthly!$A:$A,"&gt;="&amp;$A56,monthly!$B:$B,"&lt;="&amp;$B56)&gt;0,"NA",AVERAGEIFS(monthly!S:S,monthly!$A:$A,"&gt;="&amp;$A56,monthly!$B:$B,"&lt;="&amp;$B56))</f>
        <v>2.9243678398895798</v>
      </c>
      <c r="AB56" t="str">
        <f>IF(COUNTIFS(monthly!T:T,"",monthly!$A:$A,"&gt;="&amp;$A56,monthly!$B:$B,"&lt;="&amp;$B56)&gt;0,"NA",AVERAGEIFS(monthly!T:T,monthly!$A:$A,"&gt;="&amp;$A56,monthly!$B:$B,"&lt;="&amp;$B56))</f>
        <v>NA</v>
      </c>
      <c r="AC56" t="str">
        <f>IF(COUNTIFS(monthly!U:U,"",monthly!$A:$A,"&gt;="&amp;$A56,monthly!$B:$B,"&lt;="&amp;$B56)&gt;0,"NA",AVERAGEIFS(monthly!U:U,monthly!$A:$A,"&gt;="&amp;$A56,monthly!$B:$B,"&lt;="&amp;$B56))</f>
        <v>NA</v>
      </c>
      <c r="AD56" t="str">
        <f>IF(COUNTIFS(monthly!V:V,"",monthly!$A:$A,"&gt;="&amp;$A56,monthly!$B:$B,"&lt;="&amp;$B56)&gt;0,"NA",AVERAGEIFS(monthly!V:V,monthly!$A:$A,"&gt;="&amp;$A56,monthly!$B:$B,"&lt;="&amp;$B56))</f>
        <v>NA</v>
      </c>
      <c r="AE56" t="str">
        <f>IF(COUNTIFS(monthly!W:W,"",monthly!$A:$A,"&gt;="&amp;$A56,monthly!$B:$B,"&lt;="&amp;$B56)&gt;0,"NA",AVERAGEIFS(monthly!W:W,monthly!$A:$A,"&gt;="&amp;$A56,monthly!$B:$B,"&lt;="&amp;$B56))</f>
        <v>NA</v>
      </c>
      <c r="AF56" t="str">
        <f>IF(COUNTIFS(monthly!X:X,"",monthly!$A:$A,"&gt;="&amp;$A56,monthly!$B:$B,"&lt;="&amp;$B56)&gt;0,"NA",AVERAGEIFS(monthly!X:X,monthly!$A:$A,"&gt;="&amp;$A56,monthly!$B:$B,"&lt;="&amp;$B56))</f>
        <v>NA</v>
      </c>
      <c r="AG56" t="str">
        <f>IF(COUNTIFS(monthly!Y:Y,"",monthly!$A:$A,"&gt;="&amp;$A56,monthly!$B:$B,"&lt;="&amp;$B56)&gt;0,"NA",AVERAGEIFS(monthly!Y:Y,monthly!$A:$A,"&gt;="&amp;$A56,monthly!$B:$B,"&lt;="&amp;$B56))</f>
        <v>NA</v>
      </c>
      <c r="AH56" t="str">
        <f>IF(COUNTIFS(monthly!Z:Z,"",monthly!$A:$A,"&gt;="&amp;$A56,monthly!$B:$B,"&lt;="&amp;$B56)&gt;0,"NA",AVERAGEIFS(monthly!Z:Z,monthly!$A:$A,"&gt;="&amp;$A56,monthly!$B:$B,"&lt;="&amp;$B56))</f>
        <v>NA</v>
      </c>
    </row>
    <row r="57" spans="1:34" x14ac:dyDescent="0.2">
      <c r="A57" s="1">
        <v>30590</v>
      </c>
      <c r="B57" s="1">
        <v>30680</v>
      </c>
      <c r="C57">
        <f>IF(ISBLANK(VLOOKUP($A57,quarterly_data,MATCH(C$1,quarterly!$1:$1,FALSE),FALSE)),"NA",VLOOKUP($A57,quarterly_data,MATCH(C$1,quarterly!$1:$1,FALSE),FALSE))</f>
        <v>134.39723302247083</v>
      </c>
      <c r="D57">
        <f>IF(ISBLANK(VLOOKUP($A57,quarterly_data,MATCH(D$1,quarterly!$1:$1,FALSE),FALSE)),"NA",VLOOKUP($A57,quarterly_data,MATCH(D$1,quarterly!$1:$1,FALSE),FALSE))</f>
        <v>52.8</v>
      </c>
      <c r="E57">
        <f>IF(ISBLANK(VLOOKUP($A57,quarterly_data,MATCH(E$1,quarterly!$1:$1,FALSE),FALSE)),"NA",VLOOKUP($A57,quarterly_data,MATCH(E$1,quarterly!$1:$1,FALSE),FALSE))</f>
        <v>0.18594269999999999</v>
      </c>
      <c r="F57">
        <f>IF(ISBLANK(VLOOKUP($A57,quarterly_data,MATCH(F$1,quarterly!$1:$1,FALSE),FALSE)),"NA",VLOOKUP($A57,quarterly_data,MATCH(F$1,quarterly!$1:$1,FALSE),FALSE))</f>
        <v>3.7188499999999999E-2</v>
      </c>
      <c r="G57">
        <f>IF(ISBLANK(VLOOKUP($A57,quarterly_data,MATCH(G$1,quarterly!$1:$1,FALSE),FALSE)),"NA",VLOOKUP($A57,quarterly_data,MATCH(G$1,quarterly!$1:$1,FALSE),FALSE))</f>
        <v>7880.7939999999999</v>
      </c>
      <c r="H57">
        <f>IF(ISBLANK(VLOOKUP($A57,quarterly_data,MATCH(H$1,quarterly!$1:$1,FALSE),FALSE)),"NA",VLOOKUP($A57,quarterly_data,MATCH(H$1,quarterly!$1:$1,FALSE),FALSE))</f>
        <v>195759</v>
      </c>
      <c r="I57">
        <f>IF(ISBLANK(VLOOKUP($A57,quarterly_data,MATCH(I$1,quarterly!$1:$1,FALSE),FALSE)),"NA",VLOOKUP($A57,quarterly_data,MATCH(I$1,quarterly!$1:$1,FALSE),FALSE))</f>
        <v>2.1</v>
      </c>
      <c r="J57">
        <f>IF(ISBLANK(VLOOKUP($A57,quarterly_data,MATCH(J$1,quarterly!$1:$1,FALSE),FALSE)),"NA",VLOOKUP($A57,quarterly_data,MATCH(J$1,quarterly!$1:$1,FALSE),FALSE))</f>
        <v>25.32</v>
      </c>
      <c r="K57">
        <f>IF(COUNTIFS(monthly!C:C,"",monthly!$A:$A,"&gt;="&amp;$A57,monthly!$B:$B,"&lt;="&amp;$B57)&gt;0,"NA",AVERAGEIFS(monthly!C:C,monthly!$A:$A,"&gt;="&amp;$A57,monthly!$B:$B,"&lt;="&amp;$B57))</f>
        <v>81.849999999999994</v>
      </c>
      <c r="L57">
        <f>IF(COUNTIFS(monthly!D:D,"",monthly!$A:$A,"&gt;="&amp;$A57,monthly!$B:$B,"&lt;="&amp;$B57)&gt;0,"NA",AVERAGEIFS(monthly!D:D,monthly!$A:$A,"&gt;="&amp;$A57,monthly!$B:$B,"&lt;="&amp;$B57))</f>
        <v>0.91439999999999999</v>
      </c>
      <c r="M57">
        <f>IF(COUNTIFS(monthly!E:E,"",monthly!$A:$A,"&gt;="&amp;$A57,monthly!$B:$B,"&lt;="&amp;$B57)&gt;0,"NA",AVERAGEIFS(monthly!E:E,monthly!$A:$A,"&gt;="&amp;$A57,monthly!$B:$B,"&lt;="&amp;$B57))</f>
        <v>42.510585617846345</v>
      </c>
      <c r="N57" t="str">
        <f>IF(COUNTIFS(monthly!F:F,"",monthly!$A:$A,"&gt;="&amp;$A57,monthly!$B:$B,"&lt;="&amp;$B57)&gt;0,"NA",AVERAGEIFS(monthly!F:F,monthly!$A:$A,"&gt;="&amp;$A57,monthly!$B:$B,"&lt;="&amp;$B57))</f>
        <v>NA</v>
      </c>
      <c r="O57">
        <f>IF(COUNTIFS(monthly!G:G,"",monthly!$A:$A,"&gt;="&amp;$A57,monthly!$B:$B,"&lt;="&amp;$B57)&gt;0,"NA",AVERAGEIFS(monthly!G:G,monthly!$A:$A,"&gt;="&amp;$A57,monthly!$B:$B,"&lt;="&amp;$B57))</f>
        <v>29</v>
      </c>
      <c r="P57">
        <f>IF(COUNTIFS(monthly!H:H,"",monthly!$A:$A,"&gt;="&amp;$A57,monthly!$B:$B,"&lt;="&amp;$B57)&gt;0,"NA",AVERAGEIFS(monthly!H:H,monthly!$A:$A,"&gt;="&amp;$A57,monthly!$B:$B,"&lt;="&amp;$B57))</f>
        <v>33.4</v>
      </c>
      <c r="Q57">
        <f>IF(COUNTIFS(monthly!I:I,"",monthly!$A:$A,"&gt;="&amp;$A57,monthly!$B:$B,"&lt;="&amp;$B57)&gt;0,"NA",AVERAGEIFS(monthly!I:I,monthly!$A:$A,"&gt;="&amp;$A57,monthly!$B:$B,"&lt;="&amp;$B57))</f>
        <v>29.549999999999997</v>
      </c>
      <c r="R57">
        <f>IF(COUNTIFS(monthly!J:J,"",monthly!$A:$A,"&gt;="&amp;$A57,monthly!$B:$B,"&lt;="&amp;$B57)&gt;0,"NA",AVERAGEIFS(monthly!J:J,monthly!$A:$A,"&gt;="&amp;$A57,monthly!$B:$B,"&lt;="&amp;$B57))</f>
        <v>5.55</v>
      </c>
      <c r="S57">
        <f>IF(COUNTIFS(monthly!K:K,"",monthly!$A:$A,"&gt;="&amp;$A57,monthly!$B:$B,"&lt;="&amp;$B57)&gt;0,"NA",AVERAGEIFS(monthly!K:K,monthly!$A:$A,"&gt;="&amp;$A57,monthly!$B:$B,"&lt;="&amp;$B57))</f>
        <v>8.7051406926406933</v>
      </c>
      <c r="T57">
        <f>IF(COUNTIFS(monthly!L:L,"",monthly!$A:$A,"&gt;="&amp;$A57,monthly!$B:$B,"&lt;="&amp;$B57)&gt;0,"NA",AVERAGEIFS(monthly!L:L,monthly!$A:$A,"&gt;="&amp;$A57,monthly!$B:$B,"&lt;="&amp;$B57))</f>
        <v>9.4080645161290306</v>
      </c>
      <c r="U57">
        <f>IF(COUNTIFS(monthly!M:M,"",monthly!$A:$A,"&gt;="&amp;$A57,monthly!$B:$B,"&lt;="&amp;$B57)&gt;0,"NA",AVERAGEIFS(monthly!M:M,monthly!$A:$A,"&gt;="&amp;$A57,monthly!$B:$B,"&lt;="&amp;$B57))</f>
        <v>-0.70292382348833904</v>
      </c>
      <c r="V57" t="str">
        <f>IF(COUNTIFS(monthly!N:N,"",monthly!$A:$A,"&gt;="&amp;$A57,monthly!$B:$B,"&lt;="&amp;$B57)&gt;0,"NA",AVERAGEIFS(monthly!N:N,monthly!$A:$A,"&gt;="&amp;$A57,monthly!$B:$B,"&lt;="&amp;$B57))</f>
        <v>NA</v>
      </c>
      <c r="W57">
        <f>IF(COUNTIFS(monthly!O:O,"",monthly!$A:$A,"&gt;="&amp;$A57,monthly!$B:$B,"&lt;="&amp;$B57)&gt;0,"NA",AVERAGEIFS(monthly!O:O,monthly!$A:$A,"&gt;="&amp;$A57,monthly!$B:$B,"&lt;="&amp;$B57))</f>
        <v>10.617605263157895</v>
      </c>
      <c r="X57" t="str">
        <f>IF(COUNTIFS(monthly!P:P,"",monthly!$A:$A,"&gt;="&amp;$A57,monthly!$B:$B,"&lt;="&amp;$B57)&gt;0,"NA",AVERAGEIFS(monthly!P:P,monthly!$A:$A,"&gt;="&amp;$A57,monthly!$B:$B,"&lt;="&amp;$B57))</f>
        <v>NA</v>
      </c>
      <c r="Y57">
        <f>IF(COUNTIFS(monthly!Q:Q,"",monthly!$A:$A,"&gt;="&amp;$A57,monthly!$B:$B,"&lt;="&amp;$B57)&gt;0,"NA",AVERAGEIFS(monthly!Q:Q,monthly!$A:$A,"&gt;="&amp;$A57,monthly!$B:$B,"&lt;="&amp;$B57))</f>
        <v>13.3</v>
      </c>
      <c r="Z57">
        <f>IF(COUNTIFS(monthly!R:R,"",monthly!$A:$A,"&gt;="&amp;$A57,monthly!$B:$B,"&lt;="&amp;$B57)&gt;0,"NA",AVERAGEIFS(monthly!R:R,monthly!$A:$A,"&gt;="&amp;$A57,monthly!$B:$B,"&lt;="&amp;$B57))</f>
        <v>11.615500000000001</v>
      </c>
      <c r="AA57">
        <f>IF(COUNTIFS(monthly!S:S,"",monthly!$A:$A,"&gt;="&amp;$A57,monthly!$B:$B,"&lt;="&amp;$B57)&gt;0,"NA",AVERAGEIFS(monthly!S:S,monthly!$A:$A,"&gt;="&amp;$A57,monthly!$B:$B,"&lt;="&amp;$B57))</f>
        <v>1.6844999999999981</v>
      </c>
      <c r="AB57" t="str">
        <f>IF(COUNTIFS(monthly!T:T,"",monthly!$A:$A,"&gt;="&amp;$A57,monthly!$B:$B,"&lt;="&amp;$B57)&gt;0,"NA",AVERAGEIFS(monthly!T:T,monthly!$A:$A,"&gt;="&amp;$A57,monthly!$B:$B,"&lt;="&amp;$B57))</f>
        <v>NA</v>
      </c>
      <c r="AC57" t="str">
        <f>IF(COUNTIFS(monthly!U:U,"",monthly!$A:$A,"&gt;="&amp;$A57,monthly!$B:$B,"&lt;="&amp;$B57)&gt;0,"NA",AVERAGEIFS(monthly!U:U,monthly!$A:$A,"&gt;="&amp;$A57,monthly!$B:$B,"&lt;="&amp;$B57))</f>
        <v>NA</v>
      </c>
      <c r="AD57" t="str">
        <f>IF(COUNTIFS(monthly!V:V,"",monthly!$A:$A,"&gt;="&amp;$A57,monthly!$B:$B,"&lt;="&amp;$B57)&gt;0,"NA",AVERAGEIFS(monthly!V:V,monthly!$A:$A,"&gt;="&amp;$A57,monthly!$B:$B,"&lt;="&amp;$B57))</f>
        <v>NA</v>
      </c>
      <c r="AE57" t="str">
        <f>IF(COUNTIFS(monthly!W:W,"",monthly!$A:$A,"&gt;="&amp;$A57,monthly!$B:$B,"&lt;="&amp;$B57)&gt;0,"NA",AVERAGEIFS(monthly!W:W,monthly!$A:$A,"&gt;="&amp;$A57,monthly!$B:$B,"&lt;="&amp;$B57))</f>
        <v>NA</v>
      </c>
      <c r="AF57" t="str">
        <f>IF(COUNTIFS(monthly!X:X,"",monthly!$A:$A,"&gt;="&amp;$A57,monthly!$B:$B,"&lt;="&amp;$B57)&gt;0,"NA",AVERAGEIFS(monthly!X:X,monthly!$A:$A,"&gt;="&amp;$A57,monthly!$B:$B,"&lt;="&amp;$B57))</f>
        <v>NA</v>
      </c>
      <c r="AG57" t="str">
        <f>IF(COUNTIFS(monthly!Y:Y,"",monthly!$A:$A,"&gt;="&amp;$A57,monthly!$B:$B,"&lt;="&amp;$B57)&gt;0,"NA",AVERAGEIFS(monthly!Y:Y,monthly!$A:$A,"&gt;="&amp;$A57,monthly!$B:$B,"&lt;="&amp;$B57))</f>
        <v>NA</v>
      </c>
      <c r="AH57" t="str">
        <f>IF(COUNTIFS(monthly!Z:Z,"",monthly!$A:$A,"&gt;="&amp;$A57,monthly!$B:$B,"&lt;="&amp;$B57)&gt;0,"NA",AVERAGEIFS(monthly!Z:Z,monthly!$A:$A,"&gt;="&amp;$A57,monthly!$B:$B,"&lt;="&amp;$B57))</f>
        <v>NA</v>
      </c>
    </row>
    <row r="58" spans="1:34" x14ac:dyDescent="0.2">
      <c r="A58" s="1">
        <v>30682</v>
      </c>
      <c r="B58" s="1">
        <v>30771</v>
      </c>
      <c r="C58">
        <f>IF(ISBLANK(VLOOKUP($A58,quarterly_data,MATCH(C$1,quarterly!$1:$1,FALSE),FALSE)),"NA",VLOOKUP($A58,quarterly_data,MATCH(C$1,quarterly!$1:$1,FALSE),FALSE))</f>
        <v>137.65303468438367</v>
      </c>
      <c r="D58">
        <f>IF(ISBLANK(VLOOKUP($A58,quarterly_data,MATCH(D$1,quarterly!$1:$1,FALSE),FALSE)),"NA",VLOOKUP($A58,quarterly_data,MATCH(D$1,quarterly!$1:$1,FALSE),FALSE))</f>
        <v>52.6</v>
      </c>
      <c r="E58">
        <f>IF(ISBLANK(VLOOKUP($A58,quarterly_data,MATCH(E$1,quarterly!$1:$1,FALSE),FALSE)),"NA",VLOOKUP($A58,quarterly_data,MATCH(E$1,quarterly!$1:$1,FALSE),FALSE))</f>
        <v>0.18818219999999999</v>
      </c>
      <c r="F58">
        <f>IF(ISBLANK(VLOOKUP($A58,quarterly_data,MATCH(F$1,quarterly!$1:$1,FALSE),FALSE)),"NA",VLOOKUP($A58,quarterly_data,MATCH(F$1,quarterly!$1:$1,FALSE),FALSE))</f>
        <v>5.6230700000000002E-2</v>
      </c>
      <c r="G58">
        <f>IF(ISBLANK(VLOOKUP($A58,quarterly_data,MATCH(G$1,quarterly!$1:$1,FALSE),FALSE)),"NA",VLOOKUP($A58,quarterly_data,MATCH(G$1,quarterly!$1:$1,FALSE),FALSE))</f>
        <v>8034.8469999999998</v>
      </c>
      <c r="H58">
        <f>IF(ISBLANK(VLOOKUP($A58,quarterly_data,MATCH(H$1,quarterly!$1:$1,FALSE),FALSE)),"NA",VLOOKUP($A58,quarterly_data,MATCH(H$1,quarterly!$1:$1,FALSE),FALSE))</f>
        <v>200558</v>
      </c>
      <c r="I58">
        <f>IF(ISBLANK(VLOOKUP($A58,quarterly_data,MATCH(I$1,quarterly!$1:$1,FALSE),FALSE)),"NA",VLOOKUP($A58,quarterly_data,MATCH(I$1,quarterly!$1:$1,FALSE),FALSE))</f>
        <v>1.4</v>
      </c>
      <c r="J58">
        <f>IF(ISBLANK(VLOOKUP($A58,quarterly_data,MATCH(J$1,quarterly!$1:$1,FALSE),FALSE)),"NA",VLOOKUP($A58,quarterly_data,MATCH(J$1,quarterly!$1:$1,FALSE),FALSE))</f>
        <v>25.21</v>
      </c>
      <c r="K58">
        <f>IF(COUNTIFS(monthly!C:C,"",monthly!$A:$A,"&gt;="&amp;$A58,monthly!$B:$B,"&lt;="&amp;$B58)&gt;0,"NA",AVERAGEIFS(monthly!C:C,monthly!$A:$A,"&gt;="&amp;$A58,monthly!$B:$B,"&lt;="&amp;$B58))</f>
        <v>83.85</v>
      </c>
      <c r="L58">
        <f>IF(COUNTIFS(monthly!D:D,"",monthly!$A:$A,"&gt;="&amp;$A58,monthly!$B:$B,"&lt;="&amp;$B58)&gt;0,"NA",AVERAGEIFS(monthly!D:D,monthly!$A:$A,"&gt;="&amp;$A58,monthly!$B:$B,"&lt;="&amp;$B58))</f>
        <v>0.93035000000000001</v>
      </c>
      <c r="M58">
        <f>IF(COUNTIFS(monthly!E:E,"",monthly!$A:$A,"&gt;="&amp;$A58,monthly!$B:$B,"&lt;="&amp;$B58)&gt;0,"NA",AVERAGEIFS(monthly!E:E,monthly!$A:$A,"&gt;="&amp;$A58,monthly!$B:$B,"&lt;="&amp;$B58))</f>
        <v>42.321074253383799</v>
      </c>
      <c r="N58" t="str">
        <f>IF(COUNTIFS(monthly!F:F,"",monthly!$A:$A,"&gt;="&amp;$A58,monthly!$B:$B,"&lt;="&amp;$B58)&gt;0,"NA",AVERAGEIFS(monthly!F:F,monthly!$A:$A,"&gt;="&amp;$A58,monthly!$B:$B,"&lt;="&amp;$B58))</f>
        <v>NA</v>
      </c>
      <c r="O58">
        <f>IF(COUNTIFS(monthly!G:G,"",monthly!$A:$A,"&gt;="&amp;$A58,monthly!$B:$B,"&lt;="&amp;$B58)&gt;0,"NA",AVERAGEIFS(monthly!G:G,monthly!$A:$A,"&gt;="&amp;$A58,monthly!$B:$B,"&lt;="&amp;$B58))</f>
        <v>26.2</v>
      </c>
      <c r="P58">
        <f>IF(COUNTIFS(monthly!H:H,"",monthly!$A:$A,"&gt;="&amp;$A58,monthly!$B:$B,"&lt;="&amp;$B58)&gt;0,"NA",AVERAGEIFS(monthly!H:H,monthly!$A:$A,"&gt;="&amp;$A58,monthly!$B:$B,"&lt;="&amp;$B58))</f>
        <v>29.3</v>
      </c>
      <c r="Q58">
        <f>IF(COUNTIFS(monthly!I:I,"",monthly!$A:$A,"&gt;="&amp;$A58,monthly!$B:$B,"&lt;="&amp;$B58)&gt;0,"NA",AVERAGEIFS(monthly!I:I,monthly!$A:$A,"&gt;="&amp;$A58,monthly!$B:$B,"&lt;="&amp;$B58))</f>
        <v>29.75</v>
      </c>
      <c r="R58">
        <f>IF(COUNTIFS(monthly!J:J,"",monthly!$A:$A,"&gt;="&amp;$A58,monthly!$B:$B,"&lt;="&amp;$B58)&gt;0,"NA",AVERAGEIFS(monthly!J:J,monthly!$A:$A,"&gt;="&amp;$A58,monthly!$B:$B,"&lt;="&amp;$B58))</f>
        <v>5.24</v>
      </c>
      <c r="S58">
        <f>IF(COUNTIFS(monthly!K:K,"",monthly!$A:$A,"&gt;="&amp;$A58,monthly!$B:$B,"&lt;="&amp;$B58)&gt;0,"NA",AVERAGEIFS(monthly!K:K,monthly!$A:$A,"&gt;="&amp;$A58,monthly!$B:$B,"&lt;="&amp;$B58))</f>
        <v>8.4451309523809517</v>
      </c>
      <c r="T58">
        <f>IF(COUNTIFS(monthly!L:L,"",monthly!$A:$A,"&gt;="&amp;$A58,monthly!$B:$B,"&lt;="&amp;$B58)&gt;0,"NA",AVERAGEIFS(monthly!L:L,monthly!$A:$A,"&gt;="&amp;$A58,monthly!$B:$B,"&lt;="&amp;$B58))</f>
        <v>9.5729866518353717</v>
      </c>
      <c r="U58">
        <f>IF(COUNTIFS(monthly!M:M,"",monthly!$A:$A,"&gt;="&amp;$A58,monthly!$B:$B,"&lt;="&amp;$B58)&gt;0,"NA",AVERAGEIFS(monthly!M:M,monthly!$A:$A,"&gt;="&amp;$A58,monthly!$B:$B,"&lt;="&amp;$B58))</f>
        <v>-1.1278556994544191</v>
      </c>
      <c r="V58" t="str">
        <f>IF(COUNTIFS(monthly!N:N,"",monthly!$A:$A,"&gt;="&amp;$A58,monthly!$B:$B,"&lt;="&amp;$B58)&gt;0,"NA",AVERAGEIFS(monthly!N:N,monthly!$A:$A,"&gt;="&amp;$A58,monthly!$B:$B,"&lt;="&amp;$B58))</f>
        <v>NA</v>
      </c>
      <c r="W58">
        <f>IF(COUNTIFS(monthly!O:O,"",monthly!$A:$A,"&gt;="&amp;$A58,monthly!$B:$B,"&lt;="&amp;$B58)&gt;0,"NA",AVERAGEIFS(monthly!O:O,monthly!$A:$A,"&gt;="&amp;$A58,monthly!$B:$B,"&lt;="&amp;$B58))</f>
        <v>10.713822055137845</v>
      </c>
      <c r="X58" t="str">
        <f>IF(COUNTIFS(monthly!P:P,"",monthly!$A:$A,"&gt;="&amp;$A58,monthly!$B:$B,"&lt;="&amp;$B58)&gt;0,"NA",AVERAGEIFS(monthly!P:P,monthly!$A:$A,"&gt;="&amp;$A58,monthly!$B:$B,"&lt;="&amp;$B58))</f>
        <v>NA</v>
      </c>
      <c r="Y58">
        <f>IF(COUNTIFS(monthly!Q:Q,"",monthly!$A:$A,"&gt;="&amp;$A58,monthly!$B:$B,"&lt;="&amp;$B58)&gt;0,"NA",AVERAGEIFS(monthly!Q:Q,monthly!$A:$A,"&gt;="&amp;$A58,monthly!$B:$B,"&lt;="&amp;$B58))</f>
        <v>13.75</v>
      </c>
      <c r="Z58">
        <f>IF(COUNTIFS(monthly!R:R,"",monthly!$A:$A,"&gt;="&amp;$A58,monthly!$B:$B,"&lt;="&amp;$B58)&gt;0,"NA",AVERAGEIFS(monthly!R:R,monthly!$A:$A,"&gt;="&amp;$A58,monthly!$B:$B,"&lt;="&amp;$B58))</f>
        <v>11.758195488721803</v>
      </c>
      <c r="AA58">
        <f>IF(COUNTIFS(monthly!S:S,"",monthly!$A:$A,"&gt;="&amp;$A58,monthly!$B:$B,"&lt;="&amp;$B58)&gt;0,"NA",AVERAGEIFS(monthly!S:S,monthly!$A:$A,"&gt;="&amp;$A58,monthly!$B:$B,"&lt;="&amp;$B58))</f>
        <v>1.9918045112781959</v>
      </c>
      <c r="AB58" t="str">
        <f>IF(COUNTIFS(monthly!T:T,"",monthly!$A:$A,"&gt;="&amp;$A58,monthly!$B:$B,"&lt;="&amp;$B58)&gt;0,"NA",AVERAGEIFS(monthly!T:T,monthly!$A:$A,"&gt;="&amp;$A58,monthly!$B:$B,"&lt;="&amp;$B58))</f>
        <v>NA</v>
      </c>
      <c r="AC58" t="str">
        <f>IF(COUNTIFS(monthly!U:U,"",monthly!$A:$A,"&gt;="&amp;$A58,monthly!$B:$B,"&lt;="&amp;$B58)&gt;0,"NA",AVERAGEIFS(monthly!U:U,monthly!$A:$A,"&gt;="&amp;$A58,monthly!$B:$B,"&lt;="&amp;$B58))</f>
        <v>NA</v>
      </c>
      <c r="AD58" t="str">
        <f>IF(COUNTIFS(monthly!V:V,"",monthly!$A:$A,"&gt;="&amp;$A58,monthly!$B:$B,"&lt;="&amp;$B58)&gt;0,"NA",AVERAGEIFS(monthly!V:V,monthly!$A:$A,"&gt;="&amp;$A58,monthly!$B:$B,"&lt;="&amp;$B58))</f>
        <v>NA</v>
      </c>
      <c r="AE58" t="str">
        <f>IF(COUNTIFS(monthly!W:W,"",monthly!$A:$A,"&gt;="&amp;$A58,monthly!$B:$B,"&lt;="&amp;$B58)&gt;0,"NA",AVERAGEIFS(monthly!W:W,monthly!$A:$A,"&gt;="&amp;$A58,monthly!$B:$B,"&lt;="&amp;$B58))</f>
        <v>NA</v>
      </c>
      <c r="AF58" t="str">
        <f>IF(COUNTIFS(monthly!X:X,"",monthly!$A:$A,"&gt;="&amp;$A58,monthly!$B:$B,"&lt;="&amp;$B58)&gt;0,"NA",AVERAGEIFS(monthly!X:X,monthly!$A:$A,"&gt;="&amp;$A58,monthly!$B:$B,"&lt;="&amp;$B58))</f>
        <v>NA</v>
      </c>
      <c r="AG58" t="str">
        <f>IF(COUNTIFS(monthly!Y:Y,"",monthly!$A:$A,"&gt;="&amp;$A58,monthly!$B:$B,"&lt;="&amp;$B58)&gt;0,"NA",AVERAGEIFS(monthly!Y:Y,monthly!$A:$A,"&gt;="&amp;$A58,monthly!$B:$B,"&lt;="&amp;$B58))</f>
        <v>NA</v>
      </c>
      <c r="AH58" t="str">
        <f>IF(COUNTIFS(monthly!Z:Z,"",monthly!$A:$A,"&gt;="&amp;$A58,monthly!$B:$B,"&lt;="&amp;$B58)&gt;0,"NA",AVERAGEIFS(monthly!Z:Z,monthly!$A:$A,"&gt;="&amp;$A58,monthly!$B:$B,"&lt;="&amp;$B58))</f>
        <v>NA</v>
      </c>
    </row>
    <row r="59" spans="1:34" x14ac:dyDescent="0.2">
      <c r="A59" s="1">
        <v>30773</v>
      </c>
      <c r="B59" s="1">
        <v>30863</v>
      </c>
      <c r="C59">
        <f>IF(ISBLANK(VLOOKUP($A59,quarterly_data,MATCH(C$1,quarterly!$1:$1,FALSE),FALSE)),"NA",VLOOKUP($A59,quarterly_data,MATCH(C$1,quarterly!$1:$1,FALSE),FALSE))</f>
        <v>134.51214690608782</v>
      </c>
      <c r="D59">
        <f>IF(ISBLANK(VLOOKUP($A59,quarterly_data,MATCH(D$1,quarterly!$1:$1,FALSE),FALSE)),"NA",VLOOKUP($A59,quarterly_data,MATCH(D$1,quarterly!$1:$1,FALSE),FALSE))</f>
        <v>52.9</v>
      </c>
      <c r="E59">
        <f>IF(ISBLANK(VLOOKUP($A59,quarterly_data,MATCH(E$1,quarterly!$1:$1,FALSE),FALSE)),"NA",VLOOKUP($A59,quarterly_data,MATCH(E$1,quarterly!$1:$1,FALSE),FALSE))</f>
        <v>0</v>
      </c>
      <c r="F59">
        <f>IF(ISBLANK(VLOOKUP($A59,quarterly_data,MATCH(F$1,quarterly!$1:$1,FALSE),FALSE)),"NA",VLOOKUP($A59,quarterly_data,MATCH(F$1,quarterly!$1:$1,FALSE),FALSE))</f>
        <v>2.5016300000000002E-2</v>
      </c>
      <c r="G59">
        <f>IF(ISBLANK(VLOOKUP($A59,quarterly_data,MATCH(G$1,quarterly!$1:$1,FALSE),FALSE)),"NA",VLOOKUP($A59,quarterly_data,MATCH(G$1,quarterly!$1:$1,FALSE),FALSE))</f>
        <v>8173.67</v>
      </c>
      <c r="H59">
        <f>IF(ISBLANK(VLOOKUP($A59,quarterly_data,MATCH(H$1,quarterly!$1:$1,FALSE),FALSE)),"NA",VLOOKUP($A59,quarterly_data,MATCH(H$1,quarterly!$1:$1,FALSE),FALSE))</f>
        <v>202890</v>
      </c>
      <c r="I59">
        <f>IF(ISBLANK(VLOOKUP($A59,quarterly_data,MATCH(I$1,quarterly!$1:$1,FALSE),FALSE)),"NA",VLOOKUP($A59,quarterly_data,MATCH(I$1,quarterly!$1:$1,FALSE),FALSE))</f>
        <v>1.5</v>
      </c>
      <c r="J59">
        <f>IF(ISBLANK(VLOOKUP($A59,quarterly_data,MATCH(J$1,quarterly!$1:$1,FALSE),FALSE)),"NA",VLOOKUP($A59,quarterly_data,MATCH(J$1,quarterly!$1:$1,FALSE),FALSE))</f>
        <v>25.28</v>
      </c>
      <c r="K59">
        <f>IF(COUNTIFS(monthly!C:C,"",monthly!$A:$A,"&gt;="&amp;$A59,monthly!$B:$B,"&lt;="&amp;$B59)&gt;0,"NA",AVERAGEIFS(monthly!C:C,monthly!$A:$A,"&gt;="&amp;$A59,monthly!$B:$B,"&lt;="&amp;$B59))</f>
        <v>81.133333333333326</v>
      </c>
      <c r="L59">
        <f>IF(COUNTIFS(monthly!D:D,"",monthly!$A:$A,"&gt;="&amp;$A59,monthly!$B:$B,"&lt;="&amp;$B59)&gt;0,"NA",AVERAGEIFS(monthly!D:D,monthly!$A:$A,"&gt;="&amp;$A59,monthly!$B:$B,"&lt;="&amp;$B59))</f>
        <v>0.8935333333333334</v>
      </c>
      <c r="M59">
        <f>IF(COUNTIFS(monthly!E:E,"",monthly!$A:$A,"&gt;="&amp;$A59,monthly!$B:$B,"&lt;="&amp;$B59)&gt;0,"NA",AVERAGEIFS(monthly!E:E,monthly!$A:$A,"&gt;="&amp;$A59,monthly!$B:$B,"&lt;="&amp;$B59))</f>
        <v>41.341601041815501</v>
      </c>
      <c r="N59" t="str">
        <f>IF(COUNTIFS(monthly!F:F,"",monthly!$A:$A,"&gt;="&amp;$A59,monthly!$B:$B,"&lt;="&amp;$B59)&gt;0,"NA",AVERAGEIFS(monthly!F:F,monthly!$A:$A,"&gt;="&amp;$A59,monthly!$B:$B,"&lt;="&amp;$B59))</f>
        <v>NA</v>
      </c>
      <c r="O59">
        <f>IF(COUNTIFS(monthly!G:G,"",monthly!$A:$A,"&gt;="&amp;$A59,monthly!$B:$B,"&lt;="&amp;$B59)&gt;0,"NA",AVERAGEIFS(monthly!G:G,monthly!$A:$A,"&gt;="&amp;$A59,monthly!$B:$B,"&lt;="&amp;$B59))</f>
        <v>26.2</v>
      </c>
      <c r="P59">
        <f>IF(COUNTIFS(monthly!H:H,"",monthly!$A:$A,"&gt;="&amp;$A59,monthly!$B:$B,"&lt;="&amp;$B59)&gt;0,"NA",AVERAGEIFS(monthly!H:H,monthly!$A:$A,"&gt;="&amp;$A59,monthly!$B:$B,"&lt;="&amp;$B59))</f>
        <v>30.133333333333336</v>
      </c>
      <c r="Q59">
        <f>IF(COUNTIFS(monthly!I:I,"",monthly!$A:$A,"&gt;="&amp;$A59,monthly!$B:$B,"&lt;="&amp;$B59)&gt;0,"NA",AVERAGEIFS(monthly!I:I,monthly!$A:$A,"&gt;="&amp;$A59,monthly!$B:$B,"&lt;="&amp;$B59))</f>
        <v>29.733333333333334</v>
      </c>
      <c r="R59">
        <f>IF(COUNTIFS(monthly!J:J,"",monthly!$A:$A,"&gt;="&amp;$A59,monthly!$B:$B,"&lt;="&amp;$B59)&gt;0,"NA",AVERAGEIFS(monthly!J:J,monthly!$A:$A,"&gt;="&amp;$A59,monthly!$B:$B,"&lt;="&amp;$B59))</f>
        <v>5.24</v>
      </c>
      <c r="S59">
        <f>IF(COUNTIFS(monthly!K:K,"",monthly!$A:$A,"&gt;="&amp;$A59,monthly!$B:$B,"&lt;="&amp;$B59)&gt;0,"NA",AVERAGEIFS(monthly!K:K,monthly!$A:$A,"&gt;="&amp;$A59,monthly!$B:$B,"&lt;="&amp;$B59))</f>
        <v>12.756974925235795</v>
      </c>
      <c r="T59">
        <f>IF(COUNTIFS(monthly!L:L,"",monthly!$A:$A,"&gt;="&amp;$A59,monthly!$B:$B,"&lt;="&amp;$B59)&gt;0,"NA",AVERAGEIFS(monthly!L:L,monthly!$A:$A,"&gt;="&amp;$A59,monthly!$B:$B,"&lt;="&amp;$B59))</f>
        <v>10.557340501792117</v>
      </c>
      <c r="U59">
        <f>IF(COUNTIFS(monthly!M:M,"",monthly!$A:$A,"&gt;="&amp;$A59,monthly!$B:$B,"&lt;="&amp;$B59)&gt;0,"NA",AVERAGEIFS(monthly!M:M,monthly!$A:$A,"&gt;="&amp;$A59,monthly!$B:$B,"&lt;="&amp;$B59))</f>
        <v>2.199634423443678</v>
      </c>
      <c r="V59" t="str">
        <f>IF(COUNTIFS(monthly!N:N,"",monthly!$A:$A,"&gt;="&amp;$A59,monthly!$B:$B,"&lt;="&amp;$B59)&gt;0,"NA",AVERAGEIFS(monthly!N:N,monthly!$A:$A,"&gt;="&amp;$A59,monthly!$B:$B,"&lt;="&amp;$B59))</f>
        <v>NA</v>
      </c>
      <c r="W59">
        <f>IF(COUNTIFS(monthly!O:O,"",monthly!$A:$A,"&gt;="&amp;$A59,monthly!$B:$B,"&lt;="&amp;$B59)&gt;0,"NA",AVERAGEIFS(monthly!O:O,monthly!$A:$A,"&gt;="&amp;$A59,monthly!$B:$B,"&lt;="&amp;$B59))</f>
        <v>12.354222222222221</v>
      </c>
      <c r="X59" t="str">
        <f>IF(COUNTIFS(monthly!P:P,"",monthly!$A:$A,"&gt;="&amp;$A59,monthly!$B:$B,"&lt;="&amp;$B59)&gt;0,"NA",AVERAGEIFS(monthly!P:P,monthly!$A:$A,"&gt;="&amp;$A59,monthly!$B:$B,"&lt;="&amp;$B59))</f>
        <v>NA</v>
      </c>
      <c r="Y59">
        <f>IF(COUNTIFS(monthly!Q:Q,"",monthly!$A:$A,"&gt;="&amp;$A59,monthly!$B:$B,"&lt;="&amp;$B59)&gt;0,"NA",AVERAGEIFS(monthly!Q:Q,monthly!$A:$A,"&gt;="&amp;$A59,monthly!$B:$B,"&lt;="&amp;$B59))</f>
        <v>13.933333333333332</v>
      </c>
      <c r="Z59">
        <f>IF(COUNTIFS(monthly!R:R,"",monthly!$A:$A,"&gt;="&amp;$A59,monthly!$B:$B,"&lt;="&amp;$B59)&gt;0,"NA",AVERAGEIFS(monthly!R:R,monthly!$A:$A,"&gt;="&amp;$A59,monthly!$B:$B,"&lt;="&amp;$B59))</f>
        <v>13.201664502164503</v>
      </c>
      <c r="AA59">
        <f>IF(COUNTIFS(monthly!S:S,"",monthly!$A:$A,"&gt;="&amp;$A59,monthly!$B:$B,"&lt;="&amp;$B59)&gt;0,"NA",AVERAGEIFS(monthly!S:S,monthly!$A:$A,"&gt;="&amp;$A59,monthly!$B:$B,"&lt;="&amp;$B59))</f>
        <v>0.73166883116883064</v>
      </c>
      <c r="AB59" t="str">
        <f>IF(COUNTIFS(monthly!T:T,"",monthly!$A:$A,"&gt;="&amp;$A59,monthly!$B:$B,"&lt;="&amp;$B59)&gt;0,"NA",AVERAGEIFS(monthly!T:T,monthly!$A:$A,"&gt;="&amp;$A59,monthly!$B:$B,"&lt;="&amp;$B59))</f>
        <v>NA</v>
      </c>
      <c r="AC59" t="str">
        <f>IF(COUNTIFS(monthly!U:U,"",monthly!$A:$A,"&gt;="&amp;$A59,monthly!$B:$B,"&lt;="&amp;$B59)&gt;0,"NA",AVERAGEIFS(monthly!U:U,monthly!$A:$A,"&gt;="&amp;$A59,monthly!$B:$B,"&lt;="&amp;$B59))</f>
        <v>NA</v>
      </c>
      <c r="AD59" t="str">
        <f>IF(COUNTIFS(monthly!V:V,"",monthly!$A:$A,"&gt;="&amp;$A59,monthly!$B:$B,"&lt;="&amp;$B59)&gt;0,"NA",AVERAGEIFS(monthly!V:V,monthly!$A:$A,"&gt;="&amp;$A59,monthly!$B:$B,"&lt;="&amp;$B59))</f>
        <v>NA</v>
      </c>
      <c r="AE59" t="str">
        <f>IF(COUNTIFS(monthly!W:W,"",monthly!$A:$A,"&gt;="&amp;$A59,monthly!$B:$B,"&lt;="&amp;$B59)&gt;0,"NA",AVERAGEIFS(monthly!W:W,monthly!$A:$A,"&gt;="&amp;$A59,monthly!$B:$B,"&lt;="&amp;$B59))</f>
        <v>NA</v>
      </c>
      <c r="AF59" t="str">
        <f>IF(COUNTIFS(monthly!X:X,"",monthly!$A:$A,"&gt;="&amp;$A59,monthly!$B:$B,"&lt;="&amp;$B59)&gt;0,"NA",AVERAGEIFS(monthly!X:X,monthly!$A:$A,"&gt;="&amp;$A59,monthly!$B:$B,"&lt;="&amp;$B59))</f>
        <v>NA</v>
      </c>
      <c r="AG59" t="str">
        <f>IF(COUNTIFS(monthly!Y:Y,"",monthly!$A:$A,"&gt;="&amp;$A59,monthly!$B:$B,"&lt;="&amp;$B59)&gt;0,"NA",AVERAGEIFS(monthly!Y:Y,monthly!$A:$A,"&gt;="&amp;$A59,monthly!$B:$B,"&lt;="&amp;$B59))</f>
        <v>NA</v>
      </c>
      <c r="AH59" t="str">
        <f>IF(COUNTIFS(monthly!Z:Z,"",monthly!$A:$A,"&gt;="&amp;$A59,monthly!$B:$B,"&lt;="&amp;$B59)&gt;0,"NA",AVERAGEIFS(monthly!Z:Z,monthly!$A:$A,"&gt;="&amp;$A59,monthly!$B:$B,"&lt;="&amp;$B59))</f>
        <v>NA</v>
      </c>
    </row>
    <row r="60" spans="1:34" x14ac:dyDescent="0.2">
      <c r="A60" s="1">
        <v>30864</v>
      </c>
      <c r="B60" s="1">
        <v>30955</v>
      </c>
      <c r="C60">
        <f>IF(ISBLANK(VLOOKUP($A60,quarterly_data,MATCH(C$1,quarterly!$1:$1,FALSE),FALSE)),"NA",VLOOKUP($A60,quarterly_data,MATCH(C$1,quarterly!$1:$1,FALSE),FALSE))</f>
        <v>130.43882184298306</v>
      </c>
      <c r="D60">
        <f>IF(ISBLANK(VLOOKUP($A60,quarterly_data,MATCH(D$1,quarterly!$1:$1,FALSE),FALSE)),"NA",VLOOKUP($A60,quarterly_data,MATCH(D$1,quarterly!$1:$1,FALSE),FALSE))</f>
        <v>53.2</v>
      </c>
      <c r="E60">
        <f>IF(ISBLANK(VLOOKUP($A60,quarterly_data,MATCH(E$1,quarterly!$1:$1,FALSE),FALSE)),"NA",VLOOKUP($A60,quarterly_data,MATCH(E$1,quarterly!$1:$1,FALSE),FALSE))</f>
        <v>0</v>
      </c>
      <c r="F60">
        <f>IF(ISBLANK(VLOOKUP($A60,quarterly_data,MATCH(F$1,quarterly!$1:$1,FALSE),FALSE)),"NA",VLOOKUP($A60,quarterly_data,MATCH(F$1,quarterly!$1:$1,FALSE),FALSE))</f>
        <v>6.2727E-3</v>
      </c>
      <c r="G60">
        <f>IF(ISBLANK(VLOOKUP($A60,quarterly_data,MATCH(G$1,quarterly!$1:$1,FALSE),FALSE)),"NA",VLOOKUP($A60,quarterly_data,MATCH(G$1,quarterly!$1:$1,FALSE),FALSE))</f>
        <v>8252.4650000000001</v>
      </c>
      <c r="H60">
        <f>IF(ISBLANK(VLOOKUP($A60,quarterly_data,MATCH(H$1,quarterly!$1:$1,FALSE),FALSE)),"NA",VLOOKUP($A60,quarterly_data,MATCH(H$1,quarterly!$1:$1,FALSE),FALSE))</f>
        <v>204763</v>
      </c>
      <c r="I60">
        <f>IF(ISBLANK(VLOOKUP($A60,quarterly_data,MATCH(I$1,quarterly!$1:$1,FALSE),FALSE)),"NA",VLOOKUP($A60,quarterly_data,MATCH(I$1,quarterly!$1:$1,FALSE),FALSE))</f>
        <v>1.2</v>
      </c>
      <c r="J60">
        <f>IF(ISBLANK(VLOOKUP($A60,quarterly_data,MATCH(J$1,quarterly!$1:$1,FALSE),FALSE)),"NA",VLOOKUP($A60,quarterly_data,MATCH(J$1,quarterly!$1:$1,FALSE),FALSE))</f>
        <v>25.59</v>
      </c>
      <c r="K60">
        <f>IF(COUNTIFS(monthly!C:C,"",monthly!$A:$A,"&gt;="&amp;$A60,monthly!$B:$B,"&lt;="&amp;$B60)&gt;0,"NA",AVERAGEIFS(monthly!C:C,monthly!$A:$A,"&gt;="&amp;$A60,monthly!$B:$B,"&lt;="&amp;$B60))</f>
        <v>79.7</v>
      </c>
      <c r="L60">
        <f>IF(COUNTIFS(monthly!D:D,"",monthly!$A:$A,"&gt;="&amp;$A60,monthly!$B:$B,"&lt;="&amp;$B60)&gt;0,"NA",AVERAGEIFS(monthly!D:D,monthly!$A:$A,"&gt;="&amp;$A60,monthly!$B:$B,"&lt;="&amp;$B60))</f>
        <v>0.83726666666666671</v>
      </c>
      <c r="M60">
        <f>IF(COUNTIFS(monthly!E:E,"",monthly!$A:$A,"&gt;="&amp;$A60,monthly!$B:$B,"&lt;="&amp;$B60)&gt;0,"NA",AVERAGEIFS(monthly!E:E,monthly!$A:$A,"&gt;="&amp;$A60,monthly!$B:$B,"&lt;="&amp;$B60))</f>
        <v>40.281786274514566</v>
      </c>
      <c r="N60" t="str">
        <f>IF(COUNTIFS(monthly!F:F,"",monthly!$A:$A,"&gt;="&amp;$A60,monthly!$B:$B,"&lt;="&amp;$B60)&gt;0,"NA",AVERAGEIFS(monthly!F:F,monthly!$A:$A,"&gt;="&amp;$A60,monthly!$B:$B,"&lt;="&amp;$B60))</f>
        <v>NA</v>
      </c>
      <c r="O60">
        <f>IF(COUNTIFS(monthly!G:G,"",monthly!$A:$A,"&gt;="&amp;$A60,monthly!$B:$B,"&lt;="&amp;$B60)&gt;0,"NA",AVERAGEIFS(monthly!G:G,monthly!$A:$A,"&gt;="&amp;$A60,monthly!$B:$B,"&lt;="&amp;$B60))</f>
        <v>26.2</v>
      </c>
      <c r="P60">
        <f>IF(COUNTIFS(monthly!H:H,"",monthly!$A:$A,"&gt;="&amp;$A60,monthly!$B:$B,"&lt;="&amp;$B60)&gt;0,"NA",AVERAGEIFS(monthly!H:H,monthly!$A:$A,"&gt;="&amp;$A60,monthly!$B:$B,"&lt;="&amp;$B60))</f>
        <v>31.8</v>
      </c>
      <c r="Q60">
        <f>IF(COUNTIFS(monthly!I:I,"",monthly!$A:$A,"&gt;="&amp;$A60,monthly!$B:$B,"&lt;="&amp;$B60)&gt;0,"NA",AVERAGEIFS(monthly!I:I,monthly!$A:$A,"&gt;="&amp;$A60,monthly!$B:$B,"&lt;="&amp;$B60))</f>
        <v>28.133333333333336</v>
      </c>
      <c r="R60">
        <f>IF(COUNTIFS(monthly!J:J,"",monthly!$A:$A,"&gt;="&amp;$A60,monthly!$B:$B,"&lt;="&amp;$B60)&gt;0,"NA",AVERAGEIFS(monthly!J:J,monthly!$A:$A,"&gt;="&amp;$A60,monthly!$B:$B,"&lt;="&amp;$B60))</f>
        <v>5.24</v>
      </c>
      <c r="S60">
        <f>IF(COUNTIFS(monthly!K:K,"",monthly!$A:$A,"&gt;="&amp;$A60,monthly!$B:$B,"&lt;="&amp;$B60)&gt;0,"NA",AVERAGEIFS(monthly!K:K,monthly!$A:$A,"&gt;="&amp;$A60,monthly!$B:$B,"&lt;="&amp;$B60))</f>
        <v>10.918918972332014</v>
      </c>
      <c r="T60">
        <f>IF(COUNTIFS(monthly!L:L,"",monthly!$A:$A,"&gt;="&amp;$A60,monthly!$B:$B,"&lt;="&amp;$B60)&gt;0,"NA",AVERAGEIFS(monthly!L:L,monthly!$A:$A,"&gt;="&amp;$A60,monthly!$B:$B,"&lt;="&amp;$B60))</f>
        <v>11.39131899641577</v>
      </c>
      <c r="U60">
        <f>IF(COUNTIFS(monthly!M:M,"",monthly!$A:$A,"&gt;="&amp;$A60,monthly!$B:$B,"&lt;="&amp;$B60)&gt;0,"NA",AVERAGEIFS(monthly!M:M,monthly!$A:$A,"&gt;="&amp;$A60,monthly!$B:$B,"&lt;="&amp;$B60))</f>
        <v>-0.47240002408375342</v>
      </c>
      <c r="V60" t="str">
        <f>IF(COUNTIFS(monthly!N:N,"",monthly!$A:$A,"&gt;="&amp;$A60,monthly!$B:$B,"&lt;="&amp;$B60)&gt;0,"NA",AVERAGEIFS(monthly!N:N,monthly!$A:$A,"&gt;="&amp;$A60,monthly!$B:$B,"&lt;="&amp;$B60))</f>
        <v>NA</v>
      </c>
      <c r="W60">
        <f>IF(COUNTIFS(monthly!O:O,"",monthly!$A:$A,"&gt;="&amp;$A60,monthly!$B:$B,"&lt;="&amp;$B60)&gt;0,"NA",AVERAGEIFS(monthly!O:O,monthly!$A:$A,"&gt;="&amp;$A60,monthly!$B:$B,"&lt;="&amp;$B60))</f>
        <v>12.50556790527042</v>
      </c>
      <c r="X60" t="str">
        <f>IF(COUNTIFS(monthly!P:P,"",monthly!$A:$A,"&gt;="&amp;$A60,monthly!$B:$B,"&lt;="&amp;$B60)&gt;0,"NA",AVERAGEIFS(monthly!P:P,monthly!$A:$A,"&gt;="&amp;$A60,monthly!$B:$B,"&lt;="&amp;$B60))</f>
        <v>NA</v>
      </c>
      <c r="Y60">
        <f>IF(COUNTIFS(monthly!Q:Q,"",monthly!$A:$A,"&gt;="&amp;$A60,monthly!$B:$B,"&lt;="&amp;$B60)&gt;0,"NA",AVERAGEIFS(monthly!Q:Q,monthly!$A:$A,"&gt;="&amp;$A60,monthly!$B:$B,"&lt;="&amp;$B60))</f>
        <v>13.016666666666667</v>
      </c>
      <c r="Z60">
        <f>IF(COUNTIFS(monthly!R:R,"",monthly!$A:$A,"&gt;="&amp;$A60,monthly!$B:$B,"&lt;="&amp;$B60)&gt;0,"NA",AVERAGEIFS(monthly!R:R,monthly!$A:$A,"&gt;="&amp;$A60,monthly!$B:$B,"&lt;="&amp;$B60))</f>
        <v>12.867033162616686</v>
      </c>
      <c r="AA60">
        <f>IF(COUNTIFS(monthly!S:S,"",monthly!$A:$A,"&gt;="&amp;$A60,monthly!$B:$B,"&lt;="&amp;$B60)&gt;0,"NA",AVERAGEIFS(monthly!S:S,monthly!$A:$A,"&gt;="&amp;$A60,monthly!$B:$B,"&lt;="&amp;$B60))</f>
        <v>0.14963350404998069</v>
      </c>
      <c r="AB60" t="str">
        <f>IF(COUNTIFS(monthly!T:T,"",monthly!$A:$A,"&gt;="&amp;$A60,monthly!$B:$B,"&lt;="&amp;$B60)&gt;0,"NA",AVERAGEIFS(monthly!T:T,monthly!$A:$A,"&gt;="&amp;$A60,monthly!$B:$B,"&lt;="&amp;$B60))</f>
        <v>NA</v>
      </c>
      <c r="AC60" t="str">
        <f>IF(COUNTIFS(monthly!U:U,"",monthly!$A:$A,"&gt;="&amp;$A60,monthly!$B:$B,"&lt;="&amp;$B60)&gt;0,"NA",AVERAGEIFS(monthly!U:U,monthly!$A:$A,"&gt;="&amp;$A60,monthly!$B:$B,"&lt;="&amp;$B60))</f>
        <v>NA</v>
      </c>
      <c r="AD60" t="str">
        <f>IF(COUNTIFS(monthly!V:V,"",monthly!$A:$A,"&gt;="&amp;$A60,monthly!$B:$B,"&lt;="&amp;$B60)&gt;0,"NA",AVERAGEIFS(monthly!V:V,monthly!$A:$A,"&gt;="&amp;$A60,monthly!$B:$B,"&lt;="&amp;$B60))</f>
        <v>NA</v>
      </c>
      <c r="AE60" t="str">
        <f>IF(COUNTIFS(monthly!W:W,"",monthly!$A:$A,"&gt;="&amp;$A60,monthly!$B:$B,"&lt;="&amp;$B60)&gt;0,"NA",AVERAGEIFS(monthly!W:W,monthly!$A:$A,"&gt;="&amp;$A60,monthly!$B:$B,"&lt;="&amp;$B60))</f>
        <v>NA</v>
      </c>
      <c r="AF60" t="str">
        <f>IF(COUNTIFS(monthly!X:X,"",monthly!$A:$A,"&gt;="&amp;$A60,monthly!$B:$B,"&lt;="&amp;$B60)&gt;0,"NA",AVERAGEIFS(monthly!X:X,monthly!$A:$A,"&gt;="&amp;$A60,monthly!$B:$B,"&lt;="&amp;$B60))</f>
        <v>NA</v>
      </c>
      <c r="AG60" t="str">
        <f>IF(COUNTIFS(monthly!Y:Y,"",monthly!$A:$A,"&gt;="&amp;$A60,monthly!$B:$B,"&lt;="&amp;$B60)&gt;0,"NA",AVERAGEIFS(monthly!Y:Y,monthly!$A:$A,"&gt;="&amp;$A60,monthly!$B:$B,"&lt;="&amp;$B60))</f>
        <v>NA</v>
      </c>
      <c r="AH60" t="str">
        <f>IF(COUNTIFS(monthly!Z:Z,"",monthly!$A:$A,"&gt;="&amp;$A60,monthly!$B:$B,"&lt;="&amp;$B60)&gt;0,"NA",AVERAGEIFS(monthly!Z:Z,monthly!$A:$A,"&gt;="&amp;$A60,monthly!$B:$B,"&lt;="&amp;$B60))</f>
        <v>NA</v>
      </c>
    </row>
    <row r="61" spans="1:34" x14ac:dyDescent="0.2">
      <c r="A61" s="1">
        <v>30956</v>
      </c>
      <c r="B61" s="1">
        <v>31046</v>
      </c>
      <c r="C61">
        <f>IF(ISBLANK(VLOOKUP($A61,quarterly_data,MATCH(C$1,quarterly!$1:$1,FALSE),FALSE)),"NA",VLOOKUP($A61,quarterly_data,MATCH(C$1,quarterly!$1:$1,FALSE),FALSE))</f>
        <v>133.82938379864439</v>
      </c>
      <c r="D61">
        <f>IF(ISBLANK(VLOOKUP($A61,quarterly_data,MATCH(D$1,quarterly!$1:$1,FALSE),FALSE)),"NA",VLOOKUP($A61,quarterly_data,MATCH(D$1,quarterly!$1:$1,FALSE),FALSE))</f>
        <v>53</v>
      </c>
      <c r="E61">
        <f>IF(ISBLANK(VLOOKUP($A61,quarterly_data,MATCH(E$1,quarterly!$1:$1,FALSE),FALSE)),"NA",VLOOKUP($A61,quarterly_data,MATCH(E$1,quarterly!$1:$1,FALSE),FALSE))</f>
        <v>0</v>
      </c>
      <c r="F61">
        <f>IF(ISBLANK(VLOOKUP($A61,quarterly_data,MATCH(F$1,quarterly!$1:$1,FALSE),FALSE)),"NA",VLOOKUP($A61,quarterly_data,MATCH(F$1,quarterly!$1:$1,FALSE),FALSE))</f>
        <v>0</v>
      </c>
      <c r="G61">
        <f>IF(ISBLANK(VLOOKUP($A61,quarterly_data,MATCH(G$1,quarterly!$1:$1,FALSE),FALSE)),"NA",VLOOKUP($A61,quarterly_data,MATCH(G$1,quarterly!$1:$1,FALSE),FALSE))</f>
        <v>8320.1990000000005</v>
      </c>
      <c r="H61">
        <f>IF(ISBLANK(VLOOKUP($A61,quarterly_data,MATCH(H$1,quarterly!$1:$1,FALSE),FALSE)),"NA",VLOOKUP($A61,quarterly_data,MATCH(H$1,quarterly!$1:$1,FALSE),FALSE))</f>
        <v>205998</v>
      </c>
      <c r="I61">
        <f>IF(ISBLANK(VLOOKUP($A61,quarterly_data,MATCH(I$1,quarterly!$1:$1,FALSE),FALSE)),"NA",VLOOKUP($A61,quarterly_data,MATCH(I$1,quarterly!$1:$1,FALSE),FALSE))</f>
        <v>1.4</v>
      </c>
      <c r="J61">
        <f>IF(ISBLANK(VLOOKUP($A61,quarterly_data,MATCH(J$1,quarterly!$1:$1,FALSE),FALSE)),"NA",VLOOKUP($A61,quarterly_data,MATCH(J$1,quarterly!$1:$1,FALSE),FALSE))</f>
        <v>25.98</v>
      </c>
      <c r="K61">
        <f>IF(COUNTIFS(monthly!C:C,"",monthly!$A:$A,"&gt;="&amp;$A61,monthly!$B:$B,"&lt;="&amp;$B61)&gt;0,"NA",AVERAGEIFS(monthly!C:C,monthly!$A:$A,"&gt;="&amp;$A61,monthly!$B:$B,"&lt;="&amp;$B61))</f>
        <v>82.75</v>
      </c>
      <c r="L61">
        <f>IF(COUNTIFS(monthly!D:D,"",monthly!$A:$A,"&gt;="&amp;$A61,monthly!$B:$B,"&lt;="&amp;$B61)&gt;0,"NA",AVERAGEIFS(monthly!D:D,monthly!$A:$A,"&gt;="&amp;$A61,monthly!$B:$B,"&lt;="&amp;$B61))</f>
        <v>0.85414999999999996</v>
      </c>
      <c r="M61">
        <f>IF(COUNTIFS(monthly!E:E,"",monthly!$A:$A,"&gt;="&amp;$A61,monthly!$B:$B,"&lt;="&amp;$B61)&gt;0,"NA",AVERAGEIFS(monthly!E:E,monthly!$A:$A,"&gt;="&amp;$A61,monthly!$B:$B,"&lt;="&amp;$B61))</f>
        <v>40.961878530590056</v>
      </c>
      <c r="N61" t="str">
        <f>IF(COUNTIFS(monthly!F:F,"",monthly!$A:$A,"&gt;="&amp;$A61,monthly!$B:$B,"&lt;="&amp;$B61)&gt;0,"NA",AVERAGEIFS(monthly!F:F,monthly!$A:$A,"&gt;="&amp;$A61,monthly!$B:$B,"&lt;="&amp;$B61))</f>
        <v>NA</v>
      </c>
      <c r="O61">
        <f>IF(COUNTIFS(monthly!G:G,"",monthly!$A:$A,"&gt;="&amp;$A61,monthly!$B:$B,"&lt;="&amp;$B61)&gt;0,"NA",AVERAGEIFS(monthly!G:G,monthly!$A:$A,"&gt;="&amp;$A61,monthly!$B:$B,"&lt;="&amp;$B61))</f>
        <v>26.2</v>
      </c>
      <c r="P61">
        <f>IF(COUNTIFS(monthly!H:H,"",monthly!$A:$A,"&gt;="&amp;$A61,monthly!$B:$B,"&lt;="&amp;$B61)&gt;0,"NA",AVERAGEIFS(monthly!H:H,monthly!$A:$A,"&gt;="&amp;$A61,monthly!$B:$B,"&lt;="&amp;$B61))</f>
        <v>32.299999999999997</v>
      </c>
      <c r="Q61">
        <f>IF(COUNTIFS(monthly!I:I,"",monthly!$A:$A,"&gt;="&amp;$A61,monthly!$B:$B,"&lt;="&amp;$B61)&gt;0,"NA",AVERAGEIFS(monthly!I:I,monthly!$A:$A,"&gt;="&amp;$A61,monthly!$B:$B,"&lt;="&amp;$B61))</f>
        <v>27.75</v>
      </c>
      <c r="R61">
        <f>IF(COUNTIFS(monthly!J:J,"",monthly!$A:$A,"&gt;="&amp;$A61,monthly!$B:$B,"&lt;="&amp;$B61)&gt;0,"NA",AVERAGEIFS(monthly!J:J,monthly!$A:$A,"&gt;="&amp;$A61,monthly!$B:$B,"&lt;="&amp;$B61))</f>
        <v>5.24</v>
      </c>
      <c r="S61">
        <f>IF(COUNTIFS(monthly!K:K,"",monthly!$A:$A,"&gt;="&amp;$A61,monthly!$B:$B,"&lt;="&amp;$B61)&gt;0,"NA",AVERAGEIFS(monthly!K:K,monthly!$A:$A,"&gt;="&amp;$A61,monthly!$B:$B,"&lt;="&amp;$B61))</f>
        <v>10.801116600790515</v>
      </c>
      <c r="T61">
        <f>IF(COUNTIFS(monthly!L:L,"",monthly!$A:$A,"&gt;="&amp;$A61,monthly!$B:$B,"&lt;="&amp;$B61)&gt;0,"NA",AVERAGEIFS(monthly!L:L,monthly!$A:$A,"&gt;="&amp;$A61,monthly!$B:$B,"&lt;="&amp;$B61))</f>
        <v>9.7055752688172028</v>
      </c>
      <c r="U61">
        <f>IF(COUNTIFS(monthly!M:M,"",monthly!$A:$A,"&gt;="&amp;$A61,monthly!$B:$B,"&lt;="&amp;$B61)&gt;0,"NA",AVERAGEIFS(monthly!M:M,monthly!$A:$A,"&gt;="&amp;$A61,monthly!$B:$B,"&lt;="&amp;$B61))</f>
        <v>1.0955413319733101</v>
      </c>
      <c r="V61" t="str">
        <f>IF(COUNTIFS(monthly!N:N,"",monthly!$A:$A,"&gt;="&amp;$A61,monthly!$B:$B,"&lt;="&amp;$B61)&gt;0,"NA",AVERAGEIFS(monthly!N:N,monthly!$A:$A,"&gt;="&amp;$A61,monthly!$B:$B,"&lt;="&amp;$B61))</f>
        <v>NA</v>
      </c>
      <c r="W61">
        <f>IF(COUNTIFS(monthly!O:O,"",monthly!$A:$A,"&gt;="&amp;$A61,monthly!$B:$B,"&lt;="&amp;$B61)&gt;0,"NA",AVERAGEIFS(monthly!O:O,monthly!$A:$A,"&gt;="&amp;$A61,monthly!$B:$B,"&lt;="&amp;$B61))</f>
        <v>11.124473684210525</v>
      </c>
      <c r="X61" t="str">
        <f>IF(COUNTIFS(monthly!P:P,"",monthly!$A:$A,"&gt;="&amp;$A61,monthly!$B:$B,"&lt;="&amp;$B61)&gt;0,"NA",AVERAGEIFS(monthly!P:P,monthly!$A:$A,"&gt;="&amp;$A61,monthly!$B:$B,"&lt;="&amp;$B61))</f>
        <v>NA</v>
      </c>
      <c r="Y61">
        <f>IF(COUNTIFS(monthly!Q:Q,"",monthly!$A:$A,"&gt;="&amp;$A61,monthly!$B:$B,"&lt;="&amp;$B61)&gt;0,"NA",AVERAGEIFS(monthly!Q:Q,monthly!$A:$A,"&gt;="&amp;$A61,monthly!$B:$B,"&lt;="&amp;$B61))</f>
        <v>13.225</v>
      </c>
      <c r="Z61">
        <f>IF(COUNTIFS(monthly!R:R,"",monthly!$A:$A,"&gt;="&amp;$A61,monthly!$B:$B,"&lt;="&amp;$B61)&gt;0,"NA",AVERAGEIFS(monthly!R:R,monthly!$A:$A,"&gt;="&amp;$A61,monthly!$B:$B,"&lt;="&amp;$B61))</f>
        <v>11.866543062200957</v>
      </c>
      <c r="AA61">
        <f>IF(COUNTIFS(monthly!S:S,"",monthly!$A:$A,"&gt;="&amp;$A61,monthly!$B:$B,"&lt;="&amp;$B61)&gt;0,"NA",AVERAGEIFS(monthly!S:S,monthly!$A:$A,"&gt;="&amp;$A61,monthly!$B:$B,"&lt;="&amp;$B61))</f>
        <v>1.3584569377990423</v>
      </c>
      <c r="AB61" t="str">
        <f>IF(COUNTIFS(monthly!T:T,"",monthly!$A:$A,"&gt;="&amp;$A61,monthly!$B:$B,"&lt;="&amp;$B61)&gt;0,"NA",AVERAGEIFS(monthly!T:T,monthly!$A:$A,"&gt;="&amp;$A61,monthly!$B:$B,"&lt;="&amp;$B61))</f>
        <v>NA</v>
      </c>
      <c r="AC61" t="str">
        <f>IF(COUNTIFS(monthly!U:U,"",monthly!$A:$A,"&gt;="&amp;$A61,monthly!$B:$B,"&lt;="&amp;$B61)&gt;0,"NA",AVERAGEIFS(monthly!U:U,monthly!$A:$A,"&gt;="&amp;$A61,monthly!$B:$B,"&lt;="&amp;$B61))</f>
        <v>NA</v>
      </c>
      <c r="AD61" t="str">
        <f>IF(COUNTIFS(monthly!V:V,"",monthly!$A:$A,"&gt;="&amp;$A61,monthly!$B:$B,"&lt;="&amp;$B61)&gt;0,"NA",AVERAGEIFS(monthly!V:V,monthly!$A:$A,"&gt;="&amp;$A61,monthly!$B:$B,"&lt;="&amp;$B61))</f>
        <v>NA</v>
      </c>
      <c r="AE61" t="str">
        <f>IF(COUNTIFS(monthly!W:W,"",monthly!$A:$A,"&gt;="&amp;$A61,monthly!$B:$B,"&lt;="&amp;$B61)&gt;0,"NA",AVERAGEIFS(monthly!W:W,monthly!$A:$A,"&gt;="&amp;$A61,monthly!$B:$B,"&lt;="&amp;$B61))</f>
        <v>NA</v>
      </c>
      <c r="AF61" t="str">
        <f>IF(COUNTIFS(monthly!X:X,"",monthly!$A:$A,"&gt;="&amp;$A61,monthly!$B:$B,"&lt;="&amp;$B61)&gt;0,"NA",AVERAGEIFS(monthly!X:X,monthly!$A:$A,"&gt;="&amp;$A61,monthly!$B:$B,"&lt;="&amp;$B61))</f>
        <v>NA</v>
      </c>
      <c r="AG61" t="str">
        <f>IF(COUNTIFS(monthly!Y:Y,"",monthly!$A:$A,"&gt;="&amp;$A61,monthly!$B:$B,"&lt;="&amp;$B61)&gt;0,"NA",AVERAGEIFS(monthly!Y:Y,monthly!$A:$A,"&gt;="&amp;$A61,monthly!$B:$B,"&lt;="&amp;$B61))</f>
        <v>NA</v>
      </c>
      <c r="AH61" t="str">
        <f>IF(COUNTIFS(monthly!Z:Z,"",monthly!$A:$A,"&gt;="&amp;$A61,monthly!$B:$B,"&lt;="&amp;$B61)&gt;0,"NA",AVERAGEIFS(monthly!Z:Z,monthly!$A:$A,"&gt;="&amp;$A61,monthly!$B:$B,"&lt;="&amp;$B61))</f>
        <v>NA</v>
      </c>
    </row>
    <row r="62" spans="1:34" x14ac:dyDescent="0.2">
      <c r="A62" s="1">
        <v>31048</v>
      </c>
      <c r="B62" s="1">
        <v>31136</v>
      </c>
      <c r="C62">
        <f>IF(ISBLANK(VLOOKUP($A62,quarterly_data,MATCH(C$1,quarterly!$1:$1,FALSE),FALSE)),"NA",VLOOKUP($A62,quarterly_data,MATCH(C$1,quarterly!$1:$1,FALSE),FALSE))</f>
        <v>123.55458545700601</v>
      </c>
      <c r="D62">
        <f>IF(ISBLANK(VLOOKUP($A62,quarterly_data,MATCH(D$1,quarterly!$1:$1,FALSE),FALSE)),"NA",VLOOKUP($A62,quarterly_data,MATCH(D$1,quarterly!$1:$1,FALSE),FALSE))</f>
        <v>52.8</v>
      </c>
      <c r="E62">
        <f>IF(ISBLANK(VLOOKUP($A62,quarterly_data,MATCH(E$1,quarterly!$1:$1,FALSE),FALSE)),"NA",VLOOKUP($A62,quarterly_data,MATCH(E$1,quarterly!$1:$1,FALSE),FALSE))</f>
        <v>2.9015800000000001E-2</v>
      </c>
      <c r="F62">
        <f>IF(ISBLANK(VLOOKUP($A62,quarterly_data,MATCH(F$1,quarterly!$1:$1,FALSE),FALSE)),"NA",VLOOKUP($A62,quarterly_data,MATCH(F$1,quarterly!$1:$1,FALSE),FALSE))</f>
        <v>5.8031999999999997E-3</v>
      </c>
      <c r="G62">
        <f>IF(ISBLANK(VLOOKUP($A62,quarterly_data,MATCH(G$1,quarterly!$1:$1,FALSE),FALSE)),"NA",VLOOKUP($A62,quarterly_data,MATCH(G$1,quarterly!$1:$1,FALSE),FALSE))</f>
        <v>8400.82</v>
      </c>
      <c r="H62">
        <f>IF(ISBLANK(VLOOKUP($A62,quarterly_data,MATCH(H$1,quarterly!$1:$1,FALSE),FALSE)),"NA",VLOOKUP($A62,quarterly_data,MATCH(H$1,quarterly!$1:$1,FALSE),FALSE))</f>
        <v>209056</v>
      </c>
      <c r="I62">
        <f>IF(ISBLANK(VLOOKUP($A62,quarterly_data,MATCH(I$1,quarterly!$1:$1,FALSE),FALSE)),"NA",VLOOKUP($A62,quarterly_data,MATCH(I$1,quarterly!$1:$1,FALSE),FALSE))</f>
        <v>1.6</v>
      </c>
      <c r="J62">
        <f>IF(ISBLANK(VLOOKUP($A62,quarterly_data,MATCH(J$1,quarterly!$1:$1,FALSE),FALSE)),"NA",VLOOKUP($A62,quarterly_data,MATCH(J$1,quarterly!$1:$1,FALSE),FALSE))</f>
        <v>26.33</v>
      </c>
      <c r="K62">
        <f>IF(COUNTIFS(monthly!C:C,"",monthly!$A:$A,"&gt;="&amp;$A62,monthly!$B:$B,"&lt;="&amp;$B62)&gt;0,"NA",AVERAGEIFS(monthly!C:C,monthly!$A:$A,"&gt;="&amp;$A62,monthly!$B:$B,"&lt;="&amp;$B62))</f>
        <v>76.55</v>
      </c>
      <c r="L62">
        <f>IF(COUNTIFS(monthly!D:D,"",monthly!$A:$A,"&gt;="&amp;$A62,monthly!$B:$B,"&lt;="&amp;$B62)&gt;0,"NA",AVERAGEIFS(monthly!D:D,monthly!$A:$A,"&gt;="&amp;$A62,monthly!$B:$B,"&lt;="&amp;$B62))</f>
        <v>0.76439999999999997</v>
      </c>
      <c r="M62">
        <f>IF(COUNTIFS(monthly!E:E,"",monthly!$A:$A,"&gt;="&amp;$A62,monthly!$B:$B,"&lt;="&amp;$B62)&gt;0,"NA",AVERAGEIFS(monthly!E:E,monthly!$A:$A,"&gt;="&amp;$A62,monthly!$B:$B,"&lt;="&amp;$B62))</f>
        <v>40.410464707576949</v>
      </c>
      <c r="N62" t="str">
        <f>IF(COUNTIFS(monthly!F:F,"",monthly!$A:$A,"&gt;="&amp;$A62,monthly!$B:$B,"&lt;="&amp;$B62)&gt;0,"NA",AVERAGEIFS(monthly!F:F,monthly!$A:$A,"&gt;="&amp;$A62,monthly!$B:$B,"&lt;="&amp;$B62))</f>
        <v>NA</v>
      </c>
      <c r="O62">
        <f>IF(COUNTIFS(monthly!G:G,"",monthly!$A:$A,"&gt;="&amp;$A62,monthly!$B:$B,"&lt;="&amp;$B62)&gt;0,"NA",AVERAGEIFS(monthly!G:G,monthly!$A:$A,"&gt;="&amp;$A62,monthly!$B:$B,"&lt;="&amp;$B62))</f>
        <v>26.6</v>
      </c>
      <c r="P62">
        <f>IF(COUNTIFS(monthly!H:H,"",monthly!$A:$A,"&gt;="&amp;$A62,monthly!$B:$B,"&lt;="&amp;$B62)&gt;0,"NA",AVERAGEIFS(monthly!H:H,monthly!$A:$A,"&gt;="&amp;$A62,monthly!$B:$B,"&lt;="&amp;$B62))</f>
        <v>33.799999999999997</v>
      </c>
      <c r="Q62">
        <f>IF(COUNTIFS(monthly!I:I,"",monthly!$A:$A,"&gt;="&amp;$A62,monthly!$B:$B,"&lt;="&amp;$B62)&gt;0,"NA",AVERAGEIFS(monthly!I:I,monthly!$A:$A,"&gt;="&amp;$A62,monthly!$B:$B,"&lt;="&amp;$B62))</f>
        <v>27.6</v>
      </c>
      <c r="R62">
        <f>IF(COUNTIFS(monthly!J:J,"",monthly!$A:$A,"&gt;="&amp;$A62,monthly!$B:$B,"&lt;="&amp;$B62)&gt;0,"NA",AVERAGEIFS(monthly!J:J,monthly!$A:$A,"&gt;="&amp;$A62,monthly!$B:$B,"&lt;="&amp;$B62))</f>
        <v>5.23</v>
      </c>
      <c r="S62">
        <f>IF(COUNTIFS(monthly!K:K,"",monthly!$A:$A,"&gt;="&amp;$A62,monthly!$B:$B,"&lt;="&amp;$B62)&gt;0,"NA",AVERAGEIFS(monthly!K:K,monthly!$A:$A,"&gt;="&amp;$A62,monthly!$B:$B,"&lt;="&amp;$B62))</f>
        <v>11.030583333333333</v>
      </c>
      <c r="T62">
        <f>IF(COUNTIFS(monthly!L:L,"",monthly!$A:$A,"&gt;="&amp;$A62,monthly!$B:$B,"&lt;="&amp;$B62)&gt;0,"NA",AVERAGEIFS(monthly!L:L,monthly!$A:$A,"&gt;="&amp;$A62,monthly!$B:$B,"&lt;="&amp;$B62))</f>
        <v>8.4252304147465438</v>
      </c>
      <c r="U62">
        <f>IF(COUNTIFS(monthly!M:M,"",monthly!$A:$A,"&gt;="&amp;$A62,monthly!$B:$B,"&lt;="&amp;$B62)&gt;0,"NA",AVERAGEIFS(monthly!M:M,monthly!$A:$A,"&gt;="&amp;$A62,monthly!$B:$B,"&lt;="&amp;$B62))</f>
        <v>2.6053529185867896</v>
      </c>
      <c r="V62" t="str">
        <f>IF(COUNTIFS(monthly!N:N,"",monthly!$A:$A,"&gt;="&amp;$A62,monthly!$B:$B,"&lt;="&amp;$B62)&gt;0,"NA",AVERAGEIFS(monthly!N:N,monthly!$A:$A,"&gt;="&amp;$A62,monthly!$B:$B,"&lt;="&amp;$B62))</f>
        <v>NA</v>
      </c>
      <c r="W62">
        <f>IF(COUNTIFS(monthly!O:O,"",monthly!$A:$A,"&gt;="&amp;$A62,monthly!$B:$B,"&lt;="&amp;$B62)&gt;0,"NA",AVERAGEIFS(monthly!O:O,monthly!$A:$A,"&gt;="&amp;$A62,monthly!$B:$B,"&lt;="&amp;$B62))</f>
        <v>10.04825396825397</v>
      </c>
      <c r="X62" t="str">
        <f>IF(COUNTIFS(monthly!P:P,"",monthly!$A:$A,"&gt;="&amp;$A62,monthly!$B:$B,"&lt;="&amp;$B62)&gt;0,"NA",AVERAGEIFS(monthly!P:P,monthly!$A:$A,"&gt;="&amp;$A62,monthly!$B:$B,"&lt;="&amp;$B62))</f>
        <v>NA</v>
      </c>
      <c r="Y62">
        <f>IF(COUNTIFS(monthly!Q:Q,"",monthly!$A:$A,"&gt;="&amp;$A62,monthly!$B:$B,"&lt;="&amp;$B62)&gt;0,"NA",AVERAGEIFS(monthly!Q:Q,monthly!$A:$A,"&gt;="&amp;$A62,monthly!$B:$B,"&lt;="&amp;$B62))</f>
        <v>13.399999999999999</v>
      </c>
      <c r="Z62">
        <f>IF(COUNTIFS(monthly!R:R,"",monthly!$A:$A,"&gt;="&amp;$A62,monthly!$B:$B,"&lt;="&amp;$B62)&gt;0,"NA",AVERAGEIFS(monthly!R:R,monthly!$A:$A,"&gt;="&amp;$A62,monthly!$B:$B,"&lt;="&amp;$B62))</f>
        <v>11.446587301587304</v>
      </c>
      <c r="AA62">
        <f>IF(COUNTIFS(monthly!S:S,"",monthly!$A:$A,"&gt;="&amp;$A62,monthly!$B:$B,"&lt;="&amp;$B62)&gt;0,"NA",AVERAGEIFS(monthly!S:S,monthly!$A:$A,"&gt;="&amp;$A62,monthly!$B:$B,"&lt;="&amp;$B62))</f>
        <v>1.9534126984126967</v>
      </c>
      <c r="AB62" t="str">
        <f>IF(COUNTIFS(monthly!T:T,"",monthly!$A:$A,"&gt;="&amp;$A62,monthly!$B:$B,"&lt;="&amp;$B62)&gt;0,"NA",AVERAGEIFS(monthly!T:T,monthly!$A:$A,"&gt;="&amp;$A62,monthly!$B:$B,"&lt;="&amp;$B62))</f>
        <v>NA</v>
      </c>
      <c r="AC62" t="str">
        <f>IF(COUNTIFS(monthly!U:U,"",monthly!$A:$A,"&gt;="&amp;$A62,monthly!$B:$B,"&lt;="&amp;$B62)&gt;0,"NA",AVERAGEIFS(monthly!U:U,monthly!$A:$A,"&gt;="&amp;$A62,monthly!$B:$B,"&lt;="&amp;$B62))</f>
        <v>NA</v>
      </c>
      <c r="AD62" t="str">
        <f>IF(COUNTIFS(monthly!V:V,"",monthly!$A:$A,"&gt;="&amp;$A62,monthly!$B:$B,"&lt;="&amp;$B62)&gt;0,"NA",AVERAGEIFS(monthly!V:V,monthly!$A:$A,"&gt;="&amp;$A62,monthly!$B:$B,"&lt;="&amp;$B62))</f>
        <v>NA</v>
      </c>
      <c r="AE62">
        <f>IF(COUNTIFS(monthly!W:W,"",monthly!$A:$A,"&gt;="&amp;$A62,monthly!$B:$B,"&lt;="&amp;$B62)&gt;0,"NA",AVERAGEIFS(monthly!W:W,monthly!$A:$A,"&gt;="&amp;$A62,monthly!$B:$B,"&lt;="&amp;$B62))</f>
        <v>109.63769912719727</v>
      </c>
      <c r="AF62">
        <f>IF(COUNTIFS(monthly!X:X,"",monthly!$A:$A,"&gt;="&amp;$A62,monthly!$B:$B,"&lt;="&amp;$B62)&gt;0,"NA",AVERAGEIFS(monthly!X:X,monthly!$A:$A,"&gt;="&amp;$A62,monthly!$B:$B,"&lt;="&amp;$B62))</f>
        <v>117.00844955444336</v>
      </c>
      <c r="AG62">
        <f>IF(COUNTIFS(monthly!Y:Y,"",monthly!$A:$A,"&gt;="&amp;$A62,monthly!$B:$B,"&lt;="&amp;$B62)&gt;0,"NA",AVERAGEIFS(monthly!Y:Y,monthly!$A:$A,"&gt;="&amp;$A62,monthly!$B:$B,"&lt;="&amp;$B62))</f>
        <v>93.124580383300781</v>
      </c>
      <c r="AH62">
        <f>IF(COUNTIFS(monthly!Z:Z,"",monthly!$A:$A,"&gt;="&amp;$A62,monthly!$B:$B,"&lt;="&amp;$B62)&gt;0,"NA",AVERAGEIFS(monthly!Z:Z,monthly!$A:$A,"&gt;="&amp;$A62,monthly!$B:$B,"&lt;="&amp;$B62))</f>
        <v>0.20583105273544788</v>
      </c>
    </row>
    <row r="63" spans="1:34" x14ac:dyDescent="0.2">
      <c r="A63" s="1">
        <v>31138</v>
      </c>
      <c r="B63" s="1">
        <v>31228</v>
      </c>
      <c r="C63">
        <f>IF(ISBLANK(VLOOKUP($A63,quarterly_data,MATCH(C$1,quarterly!$1:$1,FALSE),FALSE)),"NA",VLOOKUP($A63,quarterly_data,MATCH(C$1,quarterly!$1:$1,FALSE),FALSE))</f>
        <v>109.43139218409239</v>
      </c>
      <c r="D63">
        <f>IF(ISBLANK(VLOOKUP($A63,quarterly_data,MATCH(D$1,quarterly!$1:$1,FALSE),FALSE)),"NA",VLOOKUP($A63,quarterly_data,MATCH(D$1,quarterly!$1:$1,FALSE),FALSE))</f>
        <v>49.4</v>
      </c>
      <c r="E63">
        <f>IF(ISBLANK(VLOOKUP($A63,quarterly_data,MATCH(E$1,quarterly!$1:$1,FALSE),FALSE)),"NA",VLOOKUP($A63,quarterly_data,MATCH(E$1,quarterly!$1:$1,FALSE),FALSE))</f>
        <v>0</v>
      </c>
      <c r="F63">
        <f>IF(ISBLANK(VLOOKUP($A63,quarterly_data,MATCH(F$1,quarterly!$1:$1,FALSE),FALSE)),"NA",VLOOKUP($A63,quarterly_data,MATCH(F$1,quarterly!$1:$1,FALSE),FALSE))</f>
        <v>2.9015999999999998E-3</v>
      </c>
      <c r="G63">
        <f>IF(ISBLANK(VLOOKUP($A63,quarterly_data,MATCH(G$1,quarterly!$1:$1,FALSE),FALSE)),"NA",VLOOKUP($A63,quarterly_data,MATCH(G$1,quarterly!$1:$1,FALSE),FALSE))</f>
        <v>8474.7870000000003</v>
      </c>
      <c r="H63">
        <f>IF(ISBLANK(VLOOKUP($A63,quarterly_data,MATCH(H$1,quarterly!$1:$1,FALSE),FALSE)),"NA",VLOOKUP($A63,quarterly_data,MATCH(H$1,quarterly!$1:$1,FALSE),FALSE))</f>
        <v>213736</v>
      </c>
      <c r="I63">
        <f>IF(ISBLANK(VLOOKUP($A63,quarterly_data,MATCH(I$1,quarterly!$1:$1,FALSE),FALSE)),"NA",VLOOKUP($A63,quarterly_data,MATCH(I$1,quarterly!$1:$1,FALSE),FALSE))</f>
        <v>2.1</v>
      </c>
      <c r="J63">
        <f>IF(ISBLANK(VLOOKUP($A63,quarterly_data,MATCH(J$1,quarterly!$1:$1,FALSE),FALSE)),"NA",VLOOKUP($A63,quarterly_data,MATCH(J$1,quarterly!$1:$1,FALSE),FALSE))</f>
        <v>26.95</v>
      </c>
      <c r="K63">
        <f>IF(COUNTIFS(monthly!C:C,"",monthly!$A:$A,"&gt;="&amp;$A63,monthly!$B:$B,"&lt;="&amp;$B63)&gt;0,"NA",AVERAGEIFS(monthly!C:C,monthly!$A:$A,"&gt;="&amp;$A63,monthly!$B:$B,"&lt;="&amp;$B63))</f>
        <v>64.666666666666671</v>
      </c>
      <c r="L63">
        <f>IF(COUNTIFS(monthly!D:D,"",monthly!$A:$A,"&gt;="&amp;$A63,monthly!$B:$B,"&lt;="&amp;$B63)&gt;0,"NA",AVERAGEIFS(monthly!D:D,monthly!$A:$A,"&gt;="&amp;$A63,monthly!$B:$B,"&lt;="&amp;$B63))</f>
        <v>0.65859999999999996</v>
      </c>
      <c r="M63">
        <f>IF(COUNTIFS(monthly!E:E,"",monthly!$A:$A,"&gt;="&amp;$A63,monthly!$B:$B,"&lt;="&amp;$B63)&gt;0,"NA",AVERAGEIFS(monthly!E:E,monthly!$A:$A,"&gt;="&amp;$A63,monthly!$B:$B,"&lt;="&amp;$B63))</f>
        <v>38.357566910815628</v>
      </c>
      <c r="N63" t="str">
        <f>IF(COUNTIFS(monthly!F:F,"",monthly!$A:$A,"&gt;="&amp;$A63,monthly!$B:$B,"&lt;="&amp;$B63)&gt;0,"NA",AVERAGEIFS(monthly!F:F,monthly!$A:$A,"&gt;="&amp;$A63,monthly!$B:$B,"&lt;="&amp;$B63))</f>
        <v>NA</v>
      </c>
      <c r="O63">
        <f>IF(COUNTIFS(monthly!G:G,"",monthly!$A:$A,"&gt;="&amp;$A63,monthly!$B:$B,"&lt;="&amp;$B63)&gt;0,"NA",AVERAGEIFS(monthly!G:G,monthly!$A:$A,"&gt;="&amp;$A63,monthly!$B:$B,"&lt;="&amp;$B63))</f>
        <v>26.600000000000005</v>
      </c>
      <c r="P63">
        <f>IF(COUNTIFS(monthly!H:H,"",monthly!$A:$A,"&gt;="&amp;$A63,monthly!$B:$B,"&lt;="&amp;$B63)&gt;0,"NA",AVERAGEIFS(monthly!H:H,monthly!$A:$A,"&gt;="&amp;$A63,monthly!$B:$B,"&lt;="&amp;$B63))</f>
        <v>33.799999999999997</v>
      </c>
      <c r="Q63">
        <f>IF(COUNTIFS(monthly!I:I,"",monthly!$A:$A,"&gt;="&amp;$A63,monthly!$B:$B,"&lt;="&amp;$B63)&gt;0,"NA",AVERAGEIFS(monthly!I:I,monthly!$A:$A,"&gt;="&amp;$A63,monthly!$B:$B,"&lt;="&amp;$B63))</f>
        <v>27.033333333333331</v>
      </c>
      <c r="R63">
        <f>IF(COUNTIFS(monthly!J:J,"",monthly!$A:$A,"&gt;="&amp;$A63,monthly!$B:$B,"&lt;="&amp;$B63)&gt;0,"NA",AVERAGEIFS(monthly!J:J,monthly!$A:$A,"&gt;="&amp;$A63,monthly!$B:$B,"&lt;="&amp;$B63))</f>
        <v>5.23</v>
      </c>
      <c r="S63">
        <f>IF(COUNTIFS(monthly!K:K,"",monthly!$A:$A,"&gt;="&amp;$A63,monthly!$B:$B,"&lt;="&amp;$B63)&gt;0,"NA",AVERAGEIFS(monthly!K:K,monthly!$A:$A,"&gt;="&amp;$A63,monthly!$B:$B,"&lt;="&amp;$B63))</f>
        <v>14.926062929061786</v>
      </c>
      <c r="T63">
        <f>IF(COUNTIFS(monthly!L:L,"",monthly!$A:$A,"&gt;="&amp;$A63,monthly!$B:$B,"&lt;="&amp;$B63)&gt;0,"NA",AVERAGEIFS(monthly!L:L,monthly!$A:$A,"&gt;="&amp;$A63,monthly!$B:$B,"&lt;="&amp;$B63))</f>
        <v>7.9238781362007167</v>
      </c>
      <c r="U63">
        <f>IF(COUNTIFS(monthly!M:M,"",monthly!$A:$A,"&gt;="&amp;$A63,monthly!$B:$B,"&lt;="&amp;$B63)&gt;0,"NA",AVERAGEIFS(monthly!M:M,monthly!$A:$A,"&gt;="&amp;$A63,monthly!$B:$B,"&lt;="&amp;$B63))</f>
        <v>7.002184792861069</v>
      </c>
      <c r="V63" t="str">
        <f>IF(COUNTIFS(monthly!N:N,"",monthly!$A:$A,"&gt;="&amp;$A63,monthly!$B:$B,"&lt;="&amp;$B63)&gt;0,"NA",AVERAGEIFS(monthly!N:N,monthly!$A:$A,"&gt;="&amp;$A63,monthly!$B:$B,"&lt;="&amp;$B63))</f>
        <v>NA</v>
      </c>
      <c r="W63">
        <f>IF(COUNTIFS(monthly!O:O,"",monthly!$A:$A,"&gt;="&amp;$A63,monthly!$B:$B,"&lt;="&amp;$B63)&gt;0,"NA",AVERAGEIFS(monthly!O:O,monthly!$A:$A,"&gt;="&amp;$A63,monthly!$B:$B,"&lt;="&amp;$B63))</f>
        <v>9.3903795093795122</v>
      </c>
      <c r="X63" t="str">
        <f>IF(COUNTIFS(monthly!P:P,"",monthly!$A:$A,"&gt;="&amp;$A63,monthly!$B:$B,"&lt;="&amp;$B63)&gt;0,"NA",AVERAGEIFS(monthly!P:P,monthly!$A:$A,"&gt;="&amp;$A63,monthly!$B:$B,"&lt;="&amp;$B63))</f>
        <v>NA</v>
      </c>
      <c r="Y63">
        <f>IF(COUNTIFS(monthly!Q:Q,"",monthly!$A:$A,"&gt;="&amp;$A63,monthly!$B:$B,"&lt;="&amp;$B63)&gt;0,"NA",AVERAGEIFS(monthly!Q:Q,monthly!$A:$A,"&gt;="&amp;$A63,monthly!$B:$B,"&lt;="&amp;$B63))</f>
        <v>13.75</v>
      </c>
      <c r="Z63">
        <f>IF(COUNTIFS(monthly!R:R,"",monthly!$A:$A,"&gt;="&amp;$A63,monthly!$B:$B,"&lt;="&amp;$B63)&gt;0,"NA",AVERAGEIFS(monthly!R:R,monthly!$A:$A,"&gt;="&amp;$A63,monthly!$B:$B,"&lt;="&amp;$B63))</f>
        <v>10.812526695526694</v>
      </c>
      <c r="AA63">
        <f>IF(COUNTIFS(monthly!S:S,"",monthly!$A:$A,"&gt;="&amp;$A63,monthly!$B:$B,"&lt;="&amp;$B63)&gt;0,"NA",AVERAGEIFS(monthly!S:S,monthly!$A:$A,"&gt;="&amp;$A63,monthly!$B:$B,"&lt;="&amp;$B63))</f>
        <v>2.9374733044733046</v>
      </c>
      <c r="AB63" t="str">
        <f>IF(COUNTIFS(monthly!T:T,"",monthly!$A:$A,"&gt;="&amp;$A63,monthly!$B:$B,"&lt;="&amp;$B63)&gt;0,"NA",AVERAGEIFS(monthly!T:T,monthly!$A:$A,"&gt;="&amp;$A63,monthly!$B:$B,"&lt;="&amp;$B63))</f>
        <v>NA</v>
      </c>
      <c r="AC63" t="str">
        <f>IF(COUNTIFS(monthly!U:U,"",monthly!$A:$A,"&gt;="&amp;$A63,monthly!$B:$B,"&lt;="&amp;$B63)&gt;0,"NA",AVERAGEIFS(monthly!U:U,monthly!$A:$A,"&gt;="&amp;$A63,monthly!$B:$B,"&lt;="&amp;$B63))</f>
        <v>NA</v>
      </c>
      <c r="AD63" t="str">
        <f>IF(COUNTIFS(monthly!V:V,"",monthly!$A:$A,"&gt;="&amp;$A63,monthly!$B:$B,"&lt;="&amp;$B63)&gt;0,"NA",AVERAGEIFS(monthly!V:V,monthly!$A:$A,"&gt;="&amp;$A63,monthly!$B:$B,"&lt;="&amp;$B63))</f>
        <v>NA</v>
      </c>
      <c r="AE63">
        <f>IF(COUNTIFS(monthly!W:W,"",monthly!$A:$A,"&gt;="&amp;$A63,monthly!$B:$B,"&lt;="&amp;$B63)&gt;0,"NA",AVERAGEIFS(monthly!W:W,monthly!$A:$A,"&gt;="&amp;$A63,monthly!$B:$B,"&lt;="&amp;$B63))</f>
        <v>113.32489013671875</v>
      </c>
      <c r="AF63">
        <f>IF(COUNTIFS(monthly!X:X,"",monthly!$A:$A,"&gt;="&amp;$A63,monthly!$B:$B,"&lt;="&amp;$B63)&gt;0,"NA",AVERAGEIFS(monthly!X:X,monthly!$A:$A,"&gt;="&amp;$A63,monthly!$B:$B,"&lt;="&amp;$B63))</f>
        <v>113.48556264241536</v>
      </c>
      <c r="AG63">
        <f>IF(COUNTIFS(monthly!Y:Y,"",monthly!$A:$A,"&gt;="&amp;$A63,monthly!$B:$B,"&lt;="&amp;$B63)&gt;0,"NA",AVERAGEIFS(monthly!Y:Y,monthly!$A:$A,"&gt;="&amp;$A63,monthly!$B:$B,"&lt;="&amp;$B63))</f>
        <v>113.39275868733723</v>
      </c>
      <c r="AH63">
        <f>IF(COUNTIFS(monthly!Z:Z,"",monthly!$A:$A,"&gt;="&amp;$A63,monthly!$B:$B,"&lt;="&amp;$B63)&gt;0,"NA",AVERAGEIFS(monthly!Z:Z,monthly!$A:$A,"&gt;="&amp;$A63,monthly!$B:$B,"&lt;="&amp;$B63))</f>
        <v>4.8106407125790916E-2</v>
      </c>
    </row>
    <row r="64" spans="1:34" x14ac:dyDescent="0.2">
      <c r="A64" s="1">
        <v>31229</v>
      </c>
      <c r="B64" s="1">
        <v>31320</v>
      </c>
      <c r="C64">
        <f>IF(ISBLANK(VLOOKUP($A64,quarterly_data,MATCH(C$1,quarterly!$1:$1,FALSE),FALSE)),"NA",VLOOKUP($A64,quarterly_data,MATCH(C$1,quarterly!$1:$1,FALSE),FALSE))</f>
        <v>112.74262186023043</v>
      </c>
      <c r="D64">
        <f>IF(ISBLANK(VLOOKUP($A64,quarterly_data,MATCH(D$1,quarterly!$1:$1,FALSE),FALSE)),"NA",VLOOKUP($A64,quarterly_data,MATCH(D$1,quarterly!$1:$1,FALSE),FALSE))</f>
        <v>48.7</v>
      </c>
      <c r="E64">
        <f>IF(ISBLANK(VLOOKUP($A64,quarterly_data,MATCH(E$1,quarterly!$1:$1,FALSE),FALSE)),"NA",VLOOKUP($A64,quarterly_data,MATCH(E$1,quarterly!$1:$1,FALSE),FALSE))</f>
        <v>0</v>
      </c>
      <c r="F64">
        <f>IF(ISBLANK(VLOOKUP($A64,quarterly_data,MATCH(F$1,quarterly!$1:$1,FALSE),FALSE)),"NA",VLOOKUP($A64,quarterly_data,MATCH(F$1,quarterly!$1:$1,FALSE),FALSE))</f>
        <v>9.6719999999999998E-4</v>
      </c>
      <c r="G64">
        <f>IF(ISBLANK(VLOOKUP($A64,quarterly_data,MATCH(G$1,quarterly!$1:$1,FALSE),FALSE)),"NA",VLOOKUP($A64,quarterly_data,MATCH(G$1,quarterly!$1:$1,FALSE),FALSE))</f>
        <v>8604.2199999999993</v>
      </c>
      <c r="H64">
        <f>IF(ISBLANK(VLOOKUP($A64,quarterly_data,MATCH(H$1,quarterly!$1:$1,FALSE),FALSE)),"NA",VLOOKUP($A64,quarterly_data,MATCH(H$1,quarterly!$1:$1,FALSE),FALSE))</f>
        <v>216480</v>
      </c>
      <c r="I64">
        <f>IF(ISBLANK(VLOOKUP($A64,quarterly_data,MATCH(I$1,quarterly!$1:$1,FALSE),FALSE)),"NA",VLOOKUP($A64,quarterly_data,MATCH(I$1,quarterly!$1:$1,FALSE),FALSE))</f>
        <v>2.1</v>
      </c>
      <c r="J64">
        <f>IF(ISBLANK(VLOOKUP($A64,quarterly_data,MATCH(J$1,quarterly!$1:$1,FALSE),FALSE)),"NA",VLOOKUP($A64,quarterly_data,MATCH(J$1,quarterly!$1:$1,FALSE),FALSE))</f>
        <v>27.56</v>
      </c>
      <c r="K64">
        <f>IF(COUNTIFS(monthly!C:C,"",monthly!$A:$A,"&gt;="&amp;$A64,monthly!$B:$B,"&lt;="&amp;$B64)&gt;0,"NA",AVERAGEIFS(monthly!C:C,monthly!$A:$A,"&gt;="&amp;$A64,monthly!$B:$B,"&lt;="&amp;$B64))</f>
        <v>66.566666666666663</v>
      </c>
      <c r="L64">
        <f>IF(COUNTIFS(monthly!D:D,"",monthly!$A:$A,"&gt;="&amp;$A64,monthly!$B:$B,"&lt;="&amp;$B64)&gt;0,"NA",AVERAGEIFS(monthly!D:D,monthly!$A:$A,"&gt;="&amp;$A64,monthly!$B:$B,"&lt;="&amp;$B64))</f>
        <v>0.71273333333333333</v>
      </c>
      <c r="M64">
        <f>IF(COUNTIFS(monthly!E:E,"",monthly!$A:$A,"&gt;="&amp;$A64,monthly!$B:$B,"&lt;="&amp;$B64)&gt;0,"NA",AVERAGEIFS(monthly!E:E,monthly!$A:$A,"&gt;="&amp;$A64,monthly!$B:$B,"&lt;="&amp;$B64))</f>
        <v>36.7895326334815</v>
      </c>
      <c r="N64" t="str">
        <f>IF(COUNTIFS(monthly!F:F,"",monthly!$A:$A,"&gt;="&amp;$A64,monthly!$B:$B,"&lt;="&amp;$B64)&gt;0,"NA",AVERAGEIFS(monthly!F:F,monthly!$A:$A,"&gt;="&amp;$A64,monthly!$B:$B,"&lt;="&amp;$B64))</f>
        <v>NA</v>
      </c>
      <c r="O64">
        <f>IF(COUNTIFS(monthly!G:G,"",monthly!$A:$A,"&gt;="&amp;$A64,monthly!$B:$B,"&lt;="&amp;$B64)&gt;0,"NA",AVERAGEIFS(monthly!G:G,monthly!$A:$A,"&gt;="&amp;$A64,monthly!$B:$B,"&lt;="&amp;$B64))</f>
        <v>26.600000000000005</v>
      </c>
      <c r="P64">
        <f>IF(COUNTIFS(monthly!H:H,"",monthly!$A:$A,"&gt;="&amp;$A64,monthly!$B:$B,"&lt;="&amp;$B64)&gt;0,"NA",AVERAGEIFS(monthly!H:H,monthly!$A:$A,"&gt;="&amp;$A64,monthly!$B:$B,"&lt;="&amp;$B64))</f>
        <v>33.799999999999997</v>
      </c>
      <c r="Q64">
        <f>IF(COUNTIFS(monthly!I:I,"",monthly!$A:$A,"&gt;="&amp;$A64,monthly!$B:$B,"&lt;="&amp;$B64)&gt;0,"NA",AVERAGEIFS(monthly!I:I,monthly!$A:$A,"&gt;="&amp;$A64,monthly!$B:$B,"&lt;="&amp;$B64))</f>
        <v>27</v>
      </c>
      <c r="R64">
        <f>IF(COUNTIFS(monthly!J:J,"",monthly!$A:$A,"&gt;="&amp;$A64,monthly!$B:$B,"&lt;="&amp;$B64)&gt;0,"NA",AVERAGEIFS(monthly!J:J,monthly!$A:$A,"&gt;="&amp;$A64,monthly!$B:$B,"&lt;="&amp;$B64))</f>
        <v>5.23</v>
      </c>
      <c r="S64">
        <f>IF(COUNTIFS(monthly!K:K,"",monthly!$A:$A,"&gt;="&amp;$A64,monthly!$B:$B,"&lt;="&amp;$B64)&gt;0,"NA",AVERAGEIFS(monthly!K:K,monthly!$A:$A,"&gt;="&amp;$A64,monthly!$B:$B,"&lt;="&amp;$B64))</f>
        <v>15.414267833615662</v>
      </c>
      <c r="T64">
        <f>IF(COUNTIFS(monthly!L:L,"",monthly!$A:$A,"&gt;="&amp;$A64,monthly!$B:$B,"&lt;="&amp;$B64)&gt;0,"NA",AVERAGEIFS(monthly!L:L,monthly!$A:$A,"&gt;="&amp;$A64,monthly!$B:$B,"&lt;="&amp;$B64))</f>
        <v>7.9011971326164874</v>
      </c>
      <c r="U64">
        <f>IF(COUNTIFS(monthly!M:M,"",monthly!$A:$A,"&gt;="&amp;$A64,monthly!$B:$B,"&lt;="&amp;$B64)&gt;0,"NA",AVERAGEIFS(monthly!M:M,monthly!$A:$A,"&gt;="&amp;$A64,monthly!$B:$B,"&lt;="&amp;$B64))</f>
        <v>7.5130707009991733</v>
      </c>
      <c r="V64" t="str">
        <f>IF(COUNTIFS(monthly!N:N,"",monthly!$A:$A,"&gt;="&amp;$A64,monthly!$B:$B,"&lt;="&amp;$B64)&gt;0,"NA",AVERAGEIFS(monthly!N:N,monthly!$A:$A,"&gt;="&amp;$A64,monthly!$B:$B,"&lt;="&amp;$B64))</f>
        <v>NA</v>
      </c>
      <c r="W64">
        <f>IF(COUNTIFS(monthly!O:O,"",monthly!$A:$A,"&gt;="&amp;$A64,monthly!$B:$B,"&lt;="&amp;$B64)&gt;0,"NA",AVERAGEIFS(monthly!O:O,monthly!$A:$A,"&gt;="&amp;$A64,monthly!$B:$B,"&lt;="&amp;$B64))</f>
        <v>8.8999920255183422</v>
      </c>
      <c r="X64" t="str">
        <f>IF(COUNTIFS(monthly!P:P,"",monthly!$A:$A,"&gt;="&amp;$A64,monthly!$B:$B,"&lt;="&amp;$B64)&gt;0,"NA",AVERAGEIFS(monthly!P:P,monthly!$A:$A,"&gt;="&amp;$A64,monthly!$B:$B,"&lt;="&amp;$B64))</f>
        <v>NA</v>
      </c>
      <c r="Y64">
        <f>IF(COUNTIFS(monthly!Q:Q,"",monthly!$A:$A,"&gt;="&amp;$A64,monthly!$B:$B,"&lt;="&amp;$B64)&gt;0,"NA",AVERAGEIFS(monthly!Q:Q,monthly!$A:$A,"&gt;="&amp;$A64,monthly!$B:$B,"&lt;="&amp;$B64))</f>
        <v>13.716666666666669</v>
      </c>
      <c r="Z64">
        <f>IF(COUNTIFS(monthly!R:R,"",monthly!$A:$A,"&gt;="&amp;$A64,monthly!$B:$B,"&lt;="&amp;$B64)&gt;0,"NA",AVERAGEIFS(monthly!R:R,monthly!$A:$A,"&gt;="&amp;$A64,monthly!$B:$B,"&lt;="&amp;$B64))</f>
        <v>10.33726475279107</v>
      </c>
      <c r="AA64">
        <f>IF(COUNTIFS(monthly!S:S,"",monthly!$A:$A,"&gt;="&amp;$A64,monthly!$B:$B,"&lt;="&amp;$B64)&gt;0,"NA",AVERAGEIFS(monthly!S:S,monthly!$A:$A,"&gt;="&amp;$A64,monthly!$B:$B,"&lt;="&amp;$B64))</f>
        <v>3.3794019138755984</v>
      </c>
      <c r="AB64" t="str">
        <f>IF(COUNTIFS(monthly!T:T,"",monthly!$A:$A,"&gt;="&amp;$A64,monthly!$B:$B,"&lt;="&amp;$B64)&gt;0,"NA",AVERAGEIFS(monthly!T:T,monthly!$A:$A,"&gt;="&amp;$A64,monthly!$B:$B,"&lt;="&amp;$B64))</f>
        <v>NA</v>
      </c>
      <c r="AC64" t="str">
        <f>IF(COUNTIFS(monthly!U:U,"",monthly!$A:$A,"&gt;="&amp;$A64,monthly!$B:$B,"&lt;="&amp;$B64)&gt;0,"NA",AVERAGEIFS(monthly!U:U,monthly!$A:$A,"&gt;="&amp;$A64,monthly!$B:$B,"&lt;="&amp;$B64))</f>
        <v>NA</v>
      </c>
      <c r="AD64" t="str">
        <f>IF(COUNTIFS(monthly!V:V,"",monthly!$A:$A,"&gt;="&amp;$A64,monthly!$B:$B,"&lt;="&amp;$B64)&gt;0,"NA",AVERAGEIFS(monthly!V:V,monthly!$A:$A,"&gt;="&amp;$A64,monthly!$B:$B,"&lt;="&amp;$B64))</f>
        <v>NA</v>
      </c>
      <c r="AE64">
        <f>IF(COUNTIFS(monthly!W:W,"",monthly!$A:$A,"&gt;="&amp;$A64,monthly!$B:$B,"&lt;="&amp;$B64)&gt;0,"NA",AVERAGEIFS(monthly!W:W,monthly!$A:$A,"&gt;="&amp;$A64,monthly!$B:$B,"&lt;="&amp;$B64))</f>
        <v>106.37467447916667</v>
      </c>
      <c r="AF64">
        <f>IF(COUNTIFS(monthly!X:X,"",monthly!$A:$A,"&gt;="&amp;$A64,monthly!$B:$B,"&lt;="&amp;$B64)&gt;0,"NA",AVERAGEIFS(monthly!X:X,monthly!$A:$A,"&gt;="&amp;$A64,monthly!$B:$B,"&lt;="&amp;$B64))</f>
        <v>101.04480743408203</v>
      </c>
      <c r="AG64">
        <f>IF(COUNTIFS(monthly!Y:Y,"",monthly!$A:$A,"&gt;="&amp;$A64,monthly!$B:$B,"&lt;="&amp;$B64)&gt;0,"NA",AVERAGEIFS(monthly!Y:Y,monthly!$A:$A,"&gt;="&amp;$A64,monthly!$B:$B,"&lt;="&amp;$B64))</f>
        <v>108.96940104166667</v>
      </c>
      <c r="AH64">
        <f>IF(COUNTIFS(monthly!Z:Z,"",monthly!$A:$A,"&gt;="&amp;$A64,monthly!$B:$B,"&lt;="&amp;$B64)&gt;0,"NA",AVERAGEIFS(monthly!Z:Z,monthly!$A:$A,"&gt;="&amp;$A64,monthly!$B:$B,"&lt;="&amp;$B64))</f>
        <v>0.14063209791978201</v>
      </c>
    </row>
    <row r="65" spans="1:34" x14ac:dyDescent="0.2">
      <c r="A65" s="1">
        <v>31321</v>
      </c>
      <c r="B65" s="1">
        <v>31411</v>
      </c>
      <c r="C65">
        <f>IF(ISBLANK(VLOOKUP($A65,quarterly_data,MATCH(C$1,quarterly!$1:$1,FALSE),FALSE)),"NA",VLOOKUP($A65,quarterly_data,MATCH(C$1,quarterly!$1:$1,FALSE),FALSE))</f>
        <v>106.52886021775561</v>
      </c>
      <c r="D65">
        <f>IF(ISBLANK(VLOOKUP($A65,quarterly_data,MATCH(D$1,quarterly!$1:$1,FALSE),FALSE)),"NA",VLOOKUP($A65,quarterly_data,MATCH(D$1,quarterly!$1:$1,FALSE),FALSE))</f>
        <v>46.6</v>
      </c>
      <c r="E65">
        <f>IF(ISBLANK(VLOOKUP($A65,quarterly_data,MATCH(E$1,quarterly!$1:$1,FALSE),FALSE)),"NA",VLOOKUP($A65,quarterly_data,MATCH(E$1,quarterly!$1:$1,FALSE),FALSE))</f>
        <v>0</v>
      </c>
      <c r="F65">
        <f>IF(ISBLANK(VLOOKUP($A65,quarterly_data,MATCH(F$1,quarterly!$1:$1,FALSE),FALSE)),"NA",VLOOKUP($A65,quarterly_data,MATCH(F$1,quarterly!$1:$1,FALSE),FALSE))</f>
        <v>0</v>
      </c>
      <c r="G65">
        <f>IF(ISBLANK(VLOOKUP($A65,quarterly_data,MATCH(G$1,quarterly!$1:$1,FALSE),FALSE)),"NA",VLOOKUP($A65,quarterly_data,MATCH(G$1,quarterly!$1:$1,FALSE),FALSE))</f>
        <v>8668.1880000000001</v>
      </c>
      <c r="H65">
        <f>IF(ISBLANK(VLOOKUP($A65,quarterly_data,MATCH(H$1,quarterly!$1:$1,FALSE),FALSE)),"NA",VLOOKUP($A65,quarterly_data,MATCH(H$1,quarterly!$1:$1,FALSE),FALSE))</f>
        <v>215854</v>
      </c>
      <c r="I65">
        <f>IF(ISBLANK(VLOOKUP($A65,quarterly_data,MATCH(I$1,quarterly!$1:$1,FALSE),FALSE)),"NA",VLOOKUP($A65,quarterly_data,MATCH(I$1,quarterly!$1:$1,FALSE),FALSE))</f>
        <v>2.1</v>
      </c>
      <c r="J65">
        <f>IF(ISBLANK(VLOOKUP($A65,quarterly_data,MATCH(J$1,quarterly!$1:$1,FALSE),FALSE)),"NA",VLOOKUP($A65,quarterly_data,MATCH(J$1,quarterly!$1:$1,FALSE),FALSE))</f>
        <v>28.11</v>
      </c>
      <c r="K65">
        <f>IF(COUNTIFS(monthly!C:C,"",monthly!$A:$A,"&gt;="&amp;$A65,monthly!$B:$B,"&lt;="&amp;$B65)&gt;0,"NA",AVERAGEIFS(monthly!C:C,monthly!$A:$A,"&gt;="&amp;$A65,monthly!$B:$B,"&lt;="&amp;$B65))</f>
        <v>62.15</v>
      </c>
      <c r="L65">
        <f>IF(COUNTIFS(monthly!D:D,"",monthly!$A:$A,"&gt;="&amp;$A65,monthly!$B:$B,"&lt;="&amp;$B65)&gt;0,"NA",AVERAGEIFS(monthly!D:D,monthly!$A:$A,"&gt;="&amp;$A65,monthly!$B:$B,"&lt;="&amp;$B65))</f>
        <v>0.6926000000000001</v>
      </c>
      <c r="M65">
        <f>IF(COUNTIFS(monthly!E:E,"",monthly!$A:$A,"&gt;="&amp;$A65,monthly!$B:$B,"&lt;="&amp;$B65)&gt;0,"NA",AVERAGEIFS(monthly!E:E,monthly!$A:$A,"&gt;="&amp;$A65,monthly!$B:$B,"&lt;="&amp;$B65))</f>
        <v>35.419899377045496</v>
      </c>
      <c r="N65" t="str">
        <f>IF(COUNTIFS(monthly!F:F,"",monthly!$A:$A,"&gt;="&amp;$A65,monthly!$B:$B,"&lt;="&amp;$B65)&gt;0,"NA",AVERAGEIFS(monthly!F:F,monthly!$A:$A,"&gt;="&amp;$A65,monthly!$B:$B,"&lt;="&amp;$B65))</f>
        <v>NA</v>
      </c>
      <c r="O65">
        <f>IF(COUNTIFS(monthly!G:G,"",monthly!$A:$A,"&gt;="&amp;$A65,monthly!$B:$B,"&lt;="&amp;$B65)&gt;0,"NA",AVERAGEIFS(monthly!G:G,monthly!$A:$A,"&gt;="&amp;$A65,monthly!$B:$B,"&lt;="&amp;$B65))</f>
        <v>26.6</v>
      </c>
      <c r="P65">
        <f>IF(COUNTIFS(monthly!H:H,"",monthly!$A:$A,"&gt;="&amp;$A65,monthly!$B:$B,"&lt;="&amp;$B65)&gt;0,"NA",AVERAGEIFS(monthly!H:H,monthly!$A:$A,"&gt;="&amp;$A65,monthly!$B:$B,"&lt;="&amp;$B65))</f>
        <v>33.799999999999997</v>
      </c>
      <c r="Q65">
        <f>IF(COUNTIFS(monthly!I:I,"",monthly!$A:$A,"&gt;="&amp;$A65,monthly!$B:$B,"&lt;="&amp;$B65)&gt;0,"NA",AVERAGEIFS(monthly!I:I,monthly!$A:$A,"&gt;="&amp;$A65,monthly!$B:$B,"&lt;="&amp;$B65))</f>
        <v>28.5</v>
      </c>
      <c r="R65">
        <f>IF(COUNTIFS(monthly!J:J,"",monthly!$A:$A,"&gt;="&amp;$A65,monthly!$B:$B,"&lt;="&amp;$B65)&gt;0,"NA",AVERAGEIFS(monthly!J:J,monthly!$A:$A,"&gt;="&amp;$A65,monthly!$B:$B,"&lt;="&amp;$B65))</f>
        <v>5.23</v>
      </c>
      <c r="S65">
        <f>IF(COUNTIFS(monthly!K:K,"",monthly!$A:$A,"&gt;="&amp;$A65,monthly!$B:$B,"&lt;="&amp;$B65)&gt;0,"NA",AVERAGEIFS(monthly!K:K,monthly!$A:$A,"&gt;="&amp;$A65,monthly!$B:$B,"&lt;="&amp;$B65))</f>
        <v>16.621583850931671</v>
      </c>
      <c r="T65">
        <f>IF(COUNTIFS(monthly!L:L,"",monthly!$A:$A,"&gt;="&amp;$A65,monthly!$B:$B,"&lt;="&amp;$B65)&gt;0,"NA",AVERAGEIFS(monthly!L:L,monthly!$A:$A,"&gt;="&amp;$A65,monthly!$B:$B,"&lt;="&amp;$B65))</f>
        <v>8.0185591397849478</v>
      </c>
      <c r="U65">
        <f>IF(COUNTIFS(monthly!M:M,"",monthly!$A:$A,"&gt;="&amp;$A65,monthly!$B:$B,"&lt;="&amp;$B65)&gt;0,"NA",AVERAGEIFS(monthly!M:M,monthly!$A:$A,"&gt;="&amp;$A65,monthly!$B:$B,"&lt;="&amp;$B65))</f>
        <v>8.6030247111467268</v>
      </c>
      <c r="V65" t="str">
        <f>IF(COUNTIFS(monthly!N:N,"",monthly!$A:$A,"&gt;="&amp;$A65,monthly!$B:$B,"&lt;="&amp;$B65)&gt;0,"NA",AVERAGEIFS(monthly!N:N,monthly!$A:$A,"&gt;="&amp;$A65,monthly!$B:$B,"&lt;="&amp;$B65))</f>
        <v>NA</v>
      </c>
      <c r="W65">
        <f>IF(COUNTIFS(monthly!O:O,"",monthly!$A:$A,"&gt;="&amp;$A65,monthly!$B:$B,"&lt;="&amp;$B65)&gt;0,"NA",AVERAGEIFS(monthly!O:O,monthly!$A:$A,"&gt;="&amp;$A65,monthly!$B:$B,"&lt;="&amp;$B65))</f>
        <v>8.7227990430622029</v>
      </c>
      <c r="X65" t="str">
        <f>IF(COUNTIFS(monthly!P:P,"",monthly!$A:$A,"&gt;="&amp;$A65,monthly!$B:$B,"&lt;="&amp;$B65)&gt;0,"NA",AVERAGEIFS(monthly!P:P,monthly!$A:$A,"&gt;="&amp;$A65,monthly!$B:$B,"&lt;="&amp;$B65))</f>
        <v>NA</v>
      </c>
      <c r="Y65">
        <f>IF(COUNTIFS(monthly!Q:Q,"",monthly!$A:$A,"&gt;="&amp;$A65,monthly!$B:$B,"&lt;="&amp;$B65)&gt;0,"NA",AVERAGEIFS(monthly!Q:Q,monthly!$A:$A,"&gt;="&amp;$A65,monthly!$B:$B,"&lt;="&amp;$B65))</f>
        <v>14.8</v>
      </c>
      <c r="Z65">
        <f>IF(COUNTIFS(monthly!R:R,"",monthly!$A:$A,"&gt;="&amp;$A65,monthly!$B:$B,"&lt;="&amp;$B65)&gt;0,"NA",AVERAGEIFS(monthly!R:R,monthly!$A:$A,"&gt;="&amp;$A65,monthly!$B:$B,"&lt;="&amp;$B65))</f>
        <v>10.009198564593301</v>
      </c>
      <c r="AA65">
        <f>IF(COUNTIFS(monthly!S:S,"",monthly!$A:$A,"&gt;="&amp;$A65,monthly!$B:$B,"&lt;="&amp;$B65)&gt;0,"NA",AVERAGEIFS(monthly!S:S,monthly!$A:$A,"&gt;="&amp;$A65,monthly!$B:$B,"&lt;="&amp;$B65))</f>
        <v>4.7908014354066983</v>
      </c>
      <c r="AB65" t="str">
        <f>IF(COUNTIFS(monthly!T:T,"",monthly!$A:$A,"&gt;="&amp;$A65,monthly!$B:$B,"&lt;="&amp;$B65)&gt;0,"NA",AVERAGEIFS(monthly!T:T,monthly!$A:$A,"&gt;="&amp;$A65,monthly!$B:$B,"&lt;="&amp;$B65))</f>
        <v>NA</v>
      </c>
      <c r="AC65" t="str">
        <f>IF(COUNTIFS(monthly!U:U,"",monthly!$A:$A,"&gt;="&amp;$A65,monthly!$B:$B,"&lt;="&amp;$B65)&gt;0,"NA",AVERAGEIFS(monthly!U:U,monthly!$A:$A,"&gt;="&amp;$A65,monthly!$B:$B,"&lt;="&amp;$B65))</f>
        <v>NA</v>
      </c>
      <c r="AD65" t="str">
        <f>IF(COUNTIFS(monthly!V:V,"",monthly!$A:$A,"&gt;="&amp;$A65,monthly!$B:$B,"&lt;="&amp;$B65)&gt;0,"NA",AVERAGEIFS(monthly!V:V,monthly!$A:$A,"&gt;="&amp;$A65,monthly!$B:$B,"&lt;="&amp;$B65))</f>
        <v>NA</v>
      </c>
      <c r="AE65">
        <f>IF(COUNTIFS(monthly!W:W,"",monthly!$A:$A,"&gt;="&amp;$A65,monthly!$B:$B,"&lt;="&amp;$B65)&gt;0,"NA",AVERAGEIFS(monthly!W:W,monthly!$A:$A,"&gt;="&amp;$A65,monthly!$B:$B,"&lt;="&amp;$B65))</f>
        <v>100.42004776000977</v>
      </c>
      <c r="AF65">
        <f>IF(COUNTIFS(monthly!X:X,"",monthly!$A:$A,"&gt;="&amp;$A65,monthly!$B:$B,"&lt;="&amp;$B65)&gt;0,"NA",AVERAGEIFS(monthly!X:X,monthly!$A:$A,"&gt;="&amp;$A65,monthly!$B:$B,"&lt;="&amp;$B65))</f>
        <v>94.80029296875</v>
      </c>
      <c r="AG65">
        <f>IF(COUNTIFS(monthly!Y:Y,"",monthly!$A:$A,"&gt;="&amp;$A65,monthly!$B:$B,"&lt;="&amp;$B65)&gt;0,"NA",AVERAGEIFS(monthly!Y:Y,monthly!$A:$A,"&gt;="&amp;$A65,monthly!$B:$B,"&lt;="&amp;$B65))</f>
        <v>99.426715850830078</v>
      </c>
      <c r="AH65">
        <f>IF(COUNTIFS(monthly!Z:Z,"",monthly!$A:$A,"&gt;="&amp;$A65,monthly!$B:$B,"&lt;="&amp;$B65)&gt;0,"NA",AVERAGEIFS(monthly!Z:Z,monthly!$A:$A,"&gt;="&amp;$A65,monthly!$B:$B,"&lt;="&amp;$B65))</f>
        <v>8.6703065782785416E-2</v>
      </c>
    </row>
    <row r="66" spans="1:34" x14ac:dyDescent="0.2">
      <c r="A66" s="1">
        <v>31413</v>
      </c>
      <c r="B66" s="1">
        <v>31501</v>
      </c>
      <c r="C66">
        <f>IF(ISBLANK(VLOOKUP($A66,quarterly_data,MATCH(C$1,quarterly!$1:$1,FALSE),FALSE)),"NA",VLOOKUP($A66,quarterly_data,MATCH(C$1,quarterly!$1:$1,FALSE),FALSE))</f>
        <v>106.28290650652605</v>
      </c>
      <c r="D66">
        <f>IF(ISBLANK(VLOOKUP($A66,quarterly_data,MATCH(D$1,quarterly!$1:$1,FALSE),FALSE)),"NA",VLOOKUP($A66,quarterly_data,MATCH(D$1,quarterly!$1:$1,FALSE),FALSE))</f>
        <v>46.4</v>
      </c>
      <c r="E66">
        <f>IF(ISBLANK(VLOOKUP($A66,quarterly_data,MATCH(E$1,quarterly!$1:$1,FALSE),FALSE)),"NA",VLOOKUP($A66,quarterly_data,MATCH(E$1,quarterly!$1:$1,FALSE),FALSE))</f>
        <v>0</v>
      </c>
      <c r="F66">
        <f>IF(ISBLANK(VLOOKUP($A66,quarterly_data,MATCH(F$1,quarterly!$1:$1,FALSE),FALSE)),"NA",VLOOKUP($A66,quarterly_data,MATCH(F$1,quarterly!$1:$1,FALSE),FALSE))</f>
        <v>0</v>
      </c>
      <c r="G66">
        <f>IF(ISBLANK(VLOOKUP($A66,quarterly_data,MATCH(G$1,quarterly!$1:$1,FALSE),FALSE)),"NA",VLOOKUP($A66,quarterly_data,MATCH(G$1,quarterly!$1:$1,FALSE),FALSE))</f>
        <v>8749.1270000000004</v>
      </c>
      <c r="H66">
        <f>IF(ISBLANK(VLOOKUP($A66,quarterly_data,MATCH(H$1,quarterly!$1:$1,FALSE),FALSE)),"NA",VLOOKUP($A66,quarterly_data,MATCH(H$1,quarterly!$1:$1,FALSE),FALSE))</f>
        <v>217350</v>
      </c>
      <c r="I66">
        <f>IF(ISBLANK(VLOOKUP($A66,quarterly_data,MATCH(I$1,quarterly!$1:$1,FALSE),FALSE)),"NA",VLOOKUP($A66,quarterly_data,MATCH(I$1,quarterly!$1:$1,FALSE),FALSE))</f>
        <v>2.2999999999999998</v>
      </c>
      <c r="J66">
        <f>IF(ISBLANK(VLOOKUP($A66,quarterly_data,MATCH(J$1,quarterly!$1:$1,FALSE),FALSE)),"NA",VLOOKUP($A66,quarterly_data,MATCH(J$1,quarterly!$1:$1,FALSE),FALSE))</f>
        <v>28.76</v>
      </c>
      <c r="K66">
        <f>IF(COUNTIFS(monthly!C:C,"",monthly!$A:$A,"&gt;="&amp;$A66,monthly!$B:$B,"&lt;="&amp;$B66)&gt;0,"NA",AVERAGEIFS(monthly!C:C,monthly!$A:$A,"&gt;="&amp;$A66,monthly!$B:$B,"&lt;="&amp;$B66))</f>
        <v>61.25</v>
      </c>
      <c r="L66">
        <f>IF(COUNTIFS(monthly!D:D,"",monthly!$A:$A,"&gt;="&amp;$A66,monthly!$B:$B,"&lt;="&amp;$B66)&gt;0,"NA",AVERAGEIFS(monthly!D:D,monthly!$A:$A,"&gt;="&amp;$A66,monthly!$B:$B,"&lt;="&amp;$B66))</f>
        <v>0.70835000000000004</v>
      </c>
      <c r="M66">
        <f>IF(COUNTIFS(monthly!E:E,"",monthly!$A:$A,"&gt;="&amp;$A66,monthly!$B:$B,"&lt;="&amp;$B66)&gt;0,"NA",AVERAGEIFS(monthly!E:E,monthly!$A:$A,"&gt;="&amp;$A66,monthly!$B:$B,"&lt;="&amp;$B66))</f>
        <v>33.982988123847704</v>
      </c>
      <c r="N66" t="str">
        <f>IF(COUNTIFS(monthly!F:F,"",monthly!$A:$A,"&gt;="&amp;$A66,monthly!$B:$B,"&lt;="&amp;$B66)&gt;0,"NA",AVERAGEIFS(monthly!F:F,monthly!$A:$A,"&gt;="&amp;$A66,monthly!$B:$B,"&lt;="&amp;$B66))</f>
        <v>NA</v>
      </c>
      <c r="O66">
        <f>IF(COUNTIFS(monthly!G:G,"",monthly!$A:$A,"&gt;="&amp;$A66,monthly!$B:$B,"&lt;="&amp;$B66)&gt;0,"NA",AVERAGEIFS(monthly!G:G,monthly!$A:$A,"&gt;="&amp;$A66,monthly!$B:$B,"&lt;="&amp;$B66))</f>
        <v>26.3</v>
      </c>
      <c r="P66">
        <f>IF(COUNTIFS(monthly!H:H,"",monthly!$A:$A,"&gt;="&amp;$A66,monthly!$B:$B,"&lt;="&amp;$B66)&gt;0,"NA",AVERAGEIFS(monthly!H:H,monthly!$A:$A,"&gt;="&amp;$A66,monthly!$B:$B,"&lt;="&amp;$B66))</f>
        <v>33.799999999999997</v>
      </c>
      <c r="Q66">
        <f>IF(COUNTIFS(monthly!I:I,"",monthly!$A:$A,"&gt;="&amp;$A66,monthly!$B:$B,"&lt;="&amp;$B66)&gt;0,"NA",AVERAGEIFS(monthly!I:I,monthly!$A:$A,"&gt;="&amp;$A66,monthly!$B:$B,"&lt;="&amp;$B66))</f>
        <v>21.700000000000003</v>
      </c>
      <c r="R66">
        <f>IF(COUNTIFS(monthly!J:J,"",monthly!$A:$A,"&gt;="&amp;$A66,monthly!$B:$B,"&lt;="&amp;$B66)&gt;0,"NA",AVERAGEIFS(monthly!J:J,monthly!$A:$A,"&gt;="&amp;$A66,monthly!$B:$B,"&lt;="&amp;$B66))</f>
        <v>4.0999999999999996</v>
      </c>
      <c r="S66">
        <f>IF(COUNTIFS(monthly!K:K,"",monthly!$A:$A,"&gt;="&amp;$A66,monthly!$B:$B,"&lt;="&amp;$B66)&gt;0,"NA",AVERAGEIFS(monthly!K:K,monthly!$A:$A,"&gt;="&amp;$A66,monthly!$B:$B,"&lt;="&amp;$B66))</f>
        <v>18.268071428571432</v>
      </c>
      <c r="T66">
        <f>IF(COUNTIFS(monthly!L:L,"",monthly!$A:$A,"&gt;="&amp;$A66,monthly!$B:$B,"&lt;="&amp;$B66)&gt;0,"NA",AVERAGEIFS(monthly!L:L,monthly!$A:$A,"&gt;="&amp;$A66,monthly!$B:$B,"&lt;="&amp;$B66))</f>
        <v>8.0024193548387075</v>
      </c>
      <c r="U66">
        <f>IF(COUNTIFS(monthly!M:M,"",monthly!$A:$A,"&gt;="&amp;$A66,monthly!$B:$B,"&lt;="&amp;$B66)&gt;0,"NA",AVERAGEIFS(monthly!M:M,monthly!$A:$A,"&gt;="&amp;$A66,monthly!$B:$B,"&lt;="&amp;$B66))</f>
        <v>10.265652073732724</v>
      </c>
      <c r="V66" t="str">
        <f>IF(COUNTIFS(monthly!N:N,"",monthly!$A:$A,"&gt;="&amp;$A66,monthly!$B:$B,"&lt;="&amp;$B66)&gt;0,"NA",AVERAGEIFS(monthly!N:N,monthly!$A:$A,"&gt;="&amp;$A66,monthly!$B:$B,"&lt;="&amp;$B66))</f>
        <v>NA</v>
      </c>
      <c r="W66">
        <f>IF(COUNTIFS(monthly!O:O,"",monthly!$A:$A,"&gt;="&amp;$A66,monthly!$B:$B,"&lt;="&amp;$B66)&gt;0,"NA",AVERAGEIFS(monthly!O:O,monthly!$A:$A,"&gt;="&amp;$A66,monthly!$B:$B,"&lt;="&amp;$B66))</f>
        <v>8.0548746867167917</v>
      </c>
      <c r="X66" t="str">
        <f>IF(COUNTIFS(monthly!P:P,"",monthly!$A:$A,"&gt;="&amp;$A66,monthly!$B:$B,"&lt;="&amp;$B66)&gt;0,"NA",AVERAGEIFS(monthly!P:P,monthly!$A:$A,"&gt;="&amp;$A66,monthly!$B:$B,"&lt;="&amp;$B66))</f>
        <v>NA</v>
      </c>
      <c r="Y66">
        <f>IF(COUNTIFS(monthly!Q:Q,"",monthly!$A:$A,"&gt;="&amp;$A66,monthly!$B:$B,"&lt;="&amp;$B66)&gt;0,"NA",AVERAGEIFS(monthly!Q:Q,monthly!$A:$A,"&gt;="&amp;$A66,monthly!$B:$B,"&lt;="&amp;$B66))</f>
        <v>13.899999999999999</v>
      </c>
      <c r="Z66">
        <f>IF(COUNTIFS(monthly!R:R,"",monthly!$A:$A,"&gt;="&amp;$A66,monthly!$B:$B,"&lt;="&amp;$B66)&gt;0,"NA",AVERAGEIFS(monthly!R:R,monthly!$A:$A,"&gt;="&amp;$A66,monthly!$B:$B,"&lt;="&amp;$B66))</f>
        <v>8.9490100250626572</v>
      </c>
      <c r="AA66">
        <f>IF(COUNTIFS(monthly!S:S,"",monthly!$A:$A,"&gt;="&amp;$A66,monthly!$B:$B,"&lt;="&amp;$B66)&gt;0,"NA",AVERAGEIFS(monthly!S:S,monthly!$A:$A,"&gt;="&amp;$A66,monthly!$B:$B,"&lt;="&amp;$B66))</f>
        <v>4.9509899749373423</v>
      </c>
      <c r="AB66" t="str">
        <f>IF(COUNTIFS(monthly!T:T,"",monthly!$A:$A,"&gt;="&amp;$A66,monthly!$B:$B,"&lt;="&amp;$B66)&gt;0,"NA",AVERAGEIFS(monthly!T:T,monthly!$A:$A,"&gt;="&amp;$A66,monthly!$B:$B,"&lt;="&amp;$B66))</f>
        <v>NA</v>
      </c>
      <c r="AC66" t="str">
        <f>IF(COUNTIFS(monthly!U:U,"",monthly!$A:$A,"&gt;="&amp;$A66,monthly!$B:$B,"&lt;="&amp;$B66)&gt;0,"NA",AVERAGEIFS(monthly!U:U,monthly!$A:$A,"&gt;="&amp;$A66,monthly!$B:$B,"&lt;="&amp;$B66))</f>
        <v>NA</v>
      </c>
      <c r="AD66" t="str">
        <f>IF(COUNTIFS(monthly!V:V,"",monthly!$A:$A,"&gt;="&amp;$A66,monthly!$B:$B,"&lt;="&amp;$B66)&gt;0,"NA",AVERAGEIFS(monthly!V:V,monthly!$A:$A,"&gt;="&amp;$A66,monthly!$B:$B,"&lt;="&amp;$B66))</f>
        <v>NA</v>
      </c>
      <c r="AE66">
        <f>IF(COUNTIFS(monthly!W:W,"",monthly!$A:$A,"&gt;="&amp;$A66,monthly!$B:$B,"&lt;="&amp;$B66)&gt;0,"NA",AVERAGEIFS(monthly!W:W,monthly!$A:$A,"&gt;="&amp;$A66,monthly!$B:$B,"&lt;="&amp;$B66))</f>
        <v>117.05538940429688</v>
      </c>
      <c r="AF66">
        <f>IF(COUNTIFS(monthly!X:X,"",monthly!$A:$A,"&gt;="&amp;$A66,monthly!$B:$B,"&lt;="&amp;$B66)&gt;0,"NA",AVERAGEIFS(monthly!X:X,monthly!$A:$A,"&gt;="&amp;$A66,monthly!$B:$B,"&lt;="&amp;$B66))</f>
        <v>110.84474945068359</v>
      </c>
      <c r="AG66">
        <f>IF(COUNTIFS(monthly!Y:Y,"",monthly!$A:$A,"&gt;="&amp;$A66,monthly!$B:$B,"&lt;="&amp;$B66)&gt;0,"NA",AVERAGEIFS(monthly!Y:Y,monthly!$A:$A,"&gt;="&amp;$A66,monthly!$B:$B,"&lt;="&amp;$B66))</f>
        <v>140.41911697387695</v>
      </c>
      <c r="AH66">
        <f>IF(COUNTIFS(monthly!Z:Z,"",monthly!$A:$A,"&gt;="&amp;$A66,monthly!$B:$B,"&lt;="&amp;$B66)&gt;0,"NA",AVERAGEIFS(monthly!Z:Z,monthly!$A:$A,"&gt;="&amp;$A66,monthly!$B:$B,"&lt;="&amp;$B66))</f>
        <v>6.5865032374858856E-2</v>
      </c>
    </row>
    <row r="67" spans="1:34" x14ac:dyDescent="0.2">
      <c r="A67" s="1">
        <v>31503</v>
      </c>
      <c r="B67" s="1">
        <v>31593</v>
      </c>
      <c r="C67">
        <f>IF(ISBLANK(VLOOKUP($A67,quarterly_data,MATCH(C$1,quarterly!$1:$1,FALSE),FALSE)),"NA",VLOOKUP($A67,quarterly_data,MATCH(C$1,quarterly!$1:$1,FALSE),FALSE))</f>
        <v>105.42006507442414</v>
      </c>
      <c r="D67">
        <f>IF(ISBLANK(VLOOKUP($A67,quarterly_data,MATCH(D$1,quarterly!$1:$1,FALSE),FALSE)),"NA",VLOOKUP($A67,quarterly_data,MATCH(D$1,quarterly!$1:$1,FALSE),FALSE))</f>
        <v>46.4</v>
      </c>
      <c r="E67">
        <f>IF(ISBLANK(VLOOKUP($A67,quarterly_data,MATCH(E$1,quarterly!$1:$1,FALSE),FALSE)),"NA",VLOOKUP($A67,quarterly_data,MATCH(E$1,quarterly!$1:$1,FALSE),FALSE))</f>
        <v>0</v>
      </c>
      <c r="F67">
        <f>IF(ISBLANK(VLOOKUP($A67,quarterly_data,MATCH(F$1,quarterly!$1:$1,FALSE),FALSE)),"NA",VLOOKUP($A67,quarterly_data,MATCH(F$1,quarterly!$1:$1,FALSE),FALSE))</f>
        <v>0</v>
      </c>
      <c r="G67">
        <f>IF(ISBLANK(VLOOKUP($A67,quarterly_data,MATCH(G$1,quarterly!$1:$1,FALSE),FALSE)),"NA",VLOOKUP($A67,quarterly_data,MATCH(G$1,quarterly!$1:$1,FALSE),FALSE))</f>
        <v>8788.5239999999994</v>
      </c>
      <c r="H67">
        <f>IF(ISBLANK(VLOOKUP($A67,quarterly_data,MATCH(H$1,quarterly!$1:$1,FALSE),FALSE)),"NA",VLOOKUP($A67,quarterly_data,MATCH(H$1,quarterly!$1:$1,FALSE),FALSE))</f>
        <v>216958</v>
      </c>
      <c r="I67">
        <f>IF(ISBLANK(VLOOKUP($A67,quarterly_data,MATCH(I$1,quarterly!$1:$1,FALSE),FALSE)),"NA",VLOOKUP($A67,quarterly_data,MATCH(I$1,quarterly!$1:$1,FALSE),FALSE))</f>
        <v>2</v>
      </c>
      <c r="J67">
        <f>IF(ISBLANK(VLOOKUP($A67,quarterly_data,MATCH(J$1,quarterly!$1:$1,FALSE),FALSE)),"NA",VLOOKUP($A67,quarterly_data,MATCH(J$1,quarterly!$1:$1,FALSE),FALSE))</f>
        <v>29.23</v>
      </c>
      <c r="K67">
        <f>IF(COUNTIFS(monthly!C:C,"",monthly!$A:$A,"&gt;="&amp;$A67,monthly!$B:$B,"&lt;="&amp;$B67)&gt;0,"NA",AVERAGEIFS(monthly!C:C,monthly!$A:$A,"&gt;="&amp;$A67,monthly!$B:$B,"&lt;="&amp;$B67))</f>
        <v>59.466666666666661</v>
      </c>
      <c r="L67">
        <f>IF(COUNTIFS(monthly!D:D,"",monthly!$A:$A,"&gt;="&amp;$A67,monthly!$B:$B,"&lt;="&amp;$B67)&gt;0,"NA",AVERAGEIFS(monthly!D:D,monthly!$A:$A,"&gt;="&amp;$A67,monthly!$B:$B,"&lt;="&amp;$B67))</f>
        <v>0.71096666666666675</v>
      </c>
      <c r="M67">
        <f>IF(COUNTIFS(monthly!E:E,"",monthly!$A:$A,"&gt;="&amp;$A67,monthly!$B:$B,"&lt;="&amp;$B67)&gt;0,"NA",AVERAGEIFS(monthly!E:E,monthly!$A:$A,"&gt;="&amp;$A67,monthly!$B:$B,"&lt;="&amp;$B67))</f>
        <v>31.777434608625668</v>
      </c>
      <c r="N67" t="str">
        <f>IF(COUNTIFS(monthly!F:F,"",monthly!$A:$A,"&gt;="&amp;$A67,monthly!$B:$B,"&lt;="&amp;$B67)&gt;0,"NA",AVERAGEIFS(monthly!F:F,monthly!$A:$A,"&gt;="&amp;$A67,monthly!$B:$B,"&lt;="&amp;$B67))</f>
        <v>NA</v>
      </c>
      <c r="O67">
        <f>IF(COUNTIFS(monthly!G:G,"",monthly!$A:$A,"&gt;="&amp;$A67,monthly!$B:$B,"&lt;="&amp;$B67)&gt;0,"NA",AVERAGEIFS(monthly!G:G,monthly!$A:$A,"&gt;="&amp;$A67,monthly!$B:$B,"&lt;="&amp;$B67))</f>
        <v>26.3</v>
      </c>
      <c r="P67">
        <f>IF(COUNTIFS(monthly!H:H,"",monthly!$A:$A,"&gt;="&amp;$A67,monthly!$B:$B,"&lt;="&amp;$B67)&gt;0,"NA",AVERAGEIFS(monthly!H:H,monthly!$A:$A,"&gt;="&amp;$A67,monthly!$B:$B,"&lt;="&amp;$B67))</f>
        <v>30.8</v>
      </c>
      <c r="Q67">
        <f>IF(COUNTIFS(monthly!I:I,"",monthly!$A:$A,"&gt;="&amp;$A67,monthly!$B:$B,"&lt;="&amp;$B67)&gt;0,"NA",AVERAGEIFS(monthly!I:I,monthly!$A:$A,"&gt;="&amp;$A67,monthly!$B:$B,"&lt;="&amp;$B67))</f>
        <v>12.866666666666667</v>
      </c>
      <c r="R67">
        <f>IF(COUNTIFS(monthly!J:J,"",monthly!$A:$A,"&gt;="&amp;$A67,monthly!$B:$B,"&lt;="&amp;$B67)&gt;0,"NA",AVERAGEIFS(monthly!J:J,monthly!$A:$A,"&gt;="&amp;$A67,monthly!$B:$B,"&lt;="&amp;$B67))</f>
        <v>4.0999999999999996</v>
      </c>
      <c r="S67">
        <f>IF(COUNTIFS(monthly!K:K,"",monthly!$A:$A,"&gt;="&amp;$A67,monthly!$B:$B,"&lt;="&amp;$B67)&gt;0,"NA",AVERAGEIFS(monthly!K:K,monthly!$A:$A,"&gt;="&amp;$A67,monthly!$B:$B,"&lt;="&amp;$B67))</f>
        <v>13.403311688311689</v>
      </c>
      <c r="T67">
        <f>IF(COUNTIFS(monthly!L:L,"",monthly!$A:$A,"&gt;="&amp;$A67,monthly!$B:$B,"&lt;="&amp;$B67)&gt;0,"NA",AVERAGEIFS(monthly!L:L,monthly!$A:$A,"&gt;="&amp;$A67,monthly!$B:$B,"&lt;="&amp;$B67))</f>
        <v>6.9191899641577068</v>
      </c>
      <c r="U67">
        <f>IF(COUNTIFS(monthly!M:M,"",monthly!$A:$A,"&gt;="&amp;$A67,monthly!$B:$B,"&lt;="&amp;$B67)&gt;0,"NA",AVERAGEIFS(monthly!M:M,monthly!$A:$A,"&gt;="&amp;$A67,monthly!$B:$B,"&lt;="&amp;$B67))</f>
        <v>6.4841217241539839</v>
      </c>
      <c r="V67" t="str">
        <f>IF(COUNTIFS(monthly!N:N,"",monthly!$A:$A,"&gt;="&amp;$A67,monthly!$B:$B,"&lt;="&amp;$B67)&gt;0,"NA",AVERAGEIFS(monthly!N:N,monthly!$A:$A,"&gt;="&amp;$A67,monthly!$B:$B,"&lt;="&amp;$B67))</f>
        <v>NA</v>
      </c>
      <c r="W67">
        <f>IF(COUNTIFS(monthly!O:O,"",monthly!$A:$A,"&gt;="&amp;$A67,monthly!$B:$B,"&lt;="&amp;$B67)&gt;0,"NA",AVERAGEIFS(monthly!O:O,monthly!$A:$A,"&gt;="&amp;$A67,monthly!$B:$B,"&lt;="&amp;$B67))</f>
        <v>6.9823015873015875</v>
      </c>
      <c r="X67" t="str">
        <f>IF(COUNTIFS(monthly!P:P,"",monthly!$A:$A,"&gt;="&amp;$A67,monthly!$B:$B,"&lt;="&amp;$B67)&gt;0,"NA",AVERAGEIFS(monthly!P:P,monthly!$A:$A,"&gt;="&amp;$A67,monthly!$B:$B,"&lt;="&amp;$B67))</f>
        <v>NA</v>
      </c>
      <c r="Y67">
        <f>IF(COUNTIFS(monthly!Q:Q,"",monthly!$A:$A,"&gt;="&amp;$A67,monthly!$B:$B,"&lt;="&amp;$B67)&gt;0,"NA",AVERAGEIFS(monthly!Q:Q,monthly!$A:$A,"&gt;="&amp;$A67,monthly!$B:$B,"&lt;="&amp;$B67))</f>
        <v>12.616666666666665</v>
      </c>
      <c r="Z67">
        <f>IF(COUNTIFS(monthly!R:R,"",monthly!$A:$A,"&gt;="&amp;$A67,monthly!$B:$B,"&lt;="&amp;$B67)&gt;0,"NA",AVERAGEIFS(monthly!R:R,monthly!$A:$A,"&gt;="&amp;$A67,monthly!$B:$B,"&lt;="&amp;$B67))</f>
        <v>7.602712842712843</v>
      </c>
      <c r="AA67">
        <f>IF(COUNTIFS(monthly!S:S,"",monthly!$A:$A,"&gt;="&amp;$A67,monthly!$B:$B,"&lt;="&amp;$B67)&gt;0,"NA",AVERAGEIFS(monthly!S:S,monthly!$A:$A,"&gt;="&amp;$A67,monthly!$B:$B,"&lt;="&amp;$B67))</f>
        <v>5.0139538239538242</v>
      </c>
      <c r="AB67" t="str">
        <f>IF(COUNTIFS(monthly!T:T,"",monthly!$A:$A,"&gt;="&amp;$A67,monthly!$B:$B,"&lt;="&amp;$B67)&gt;0,"NA",AVERAGEIFS(monthly!T:T,monthly!$A:$A,"&gt;="&amp;$A67,monthly!$B:$B,"&lt;="&amp;$B67))</f>
        <v>NA</v>
      </c>
      <c r="AC67" t="str">
        <f>IF(COUNTIFS(monthly!U:U,"",monthly!$A:$A,"&gt;="&amp;$A67,monthly!$B:$B,"&lt;="&amp;$B67)&gt;0,"NA",AVERAGEIFS(monthly!U:U,monthly!$A:$A,"&gt;="&amp;$A67,monthly!$B:$B,"&lt;="&amp;$B67))</f>
        <v>NA</v>
      </c>
      <c r="AD67" t="str">
        <f>IF(COUNTIFS(monthly!V:V,"",monthly!$A:$A,"&gt;="&amp;$A67,monthly!$B:$B,"&lt;="&amp;$B67)&gt;0,"NA",AVERAGEIFS(monthly!V:V,monthly!$A:$A,"&gt;="&amp;$A67,monthly!$B:$B,"&lt;="&amp;$B67))</f>
        <v>NA</v>
      </c>
      <c r="AE67">
        <f>IF(COUNTIFS(monthly!W:W,"",monthly!$A:$A,"&gt;="&amp;$A67,monthly!$B:$B,"&lt;="&amp;$B67)&gt;0,"NA",AVERAGEIFS(monthly!W:W,monthly!$A:$A,"&gt;="&amp;$A67,monthly!$B:$B,"&lt;="&amp;$B67))</f>
        <v>120.66578420003255</v>
      </c>
      <c r="AF67">
        <f>IF(COUNTIFS(monthly!X:X,"",monthly!$A:$A,"&gt;="&amp;$A67,monthly!$B:$B,"&lt;="&amp;$B67)&gt;0,"NA",AVERAGEIFS(monthly!X:X,monthly!$A:$A,"&gt;="&amp;$A67,monthly!$B:$B,"&lt;="&amp;$B67))</f>
        <v>125.37390899658203</v>
      </c>
      <c r="AG67">
        <f>IF(COUNTIFS(monthly!Y:Y,"",monthly!$A:$A,"&gt;="&amp;$A67,monthly!$B:$B,"&lt;="&amp;$B67)&gt;0,"NA",AVERAGEIFS(monthly!Y:Y,monthly!$A:$A,"&gt;="&amp;$A67,monthly!$B:$B,"&lt;="&amp;$B67))</f>
        <v>125.71360524495442</v>
      </c>
      <c r="AH67">
        <f>IF(COUNTIFS(monthly!Z:Z,"",monthly!$A:$A,"&gt;="&amp;$A67,monthly!$B:$B,"&lt;="&amp;$B67)&gt;0,"NA",AVERAGEIFS(monthly!Z:Z,monthly!$A:$A,"&gt;="&amp;$A67,monthly!$B:$B,"&lt;="&amp;$B67))</f>
        <v>9.3143833180268601E-2</v>
      </c>
    </row>
    <row r="68" spans="1:34" x14ac:dyDescent="0.2">
      <c r="A68" s="1">
        <v>31594</v>
      </c>
      <c r="B68" s="1">
        <v>31685</v>
      </c>
      <c r="C68">
        <f>IF(ISBLANK(VLOOKUP($A68,quarterly_data,MATCH(C$1,quarterly!$1:$1,FALSE),FALSE)),"NA",VLOOKUP($A68,quarterly_data,MATCH(C$1,quarterly!$1:$1,FALSE),FALSE))</f>
        <v>90.849510750424557</v>
      </c>
      <c r="D68">
        <f>IF(ISBLANK(VLOOKUP($A68,quarterly_data,MATCH(D$1,quarterly!$1:$1,FALSE),FALSE)),"NA",VLOOKUP($A68,quarterly_data,MATCH(D$1,quarterly!$1:$1,FALSE),FALSE))</f>
        <v>44.3</v>
      </c>
      <c r="E68">
        <f>IF(ISBLANK(VLOOKUP($A68,quarterly_data,MATCH(E$1,quarterly!$1:$1,FALSE),FALSE)),"NA",VLOOKUP($A68,quarterly_data,MATCH(E$1,quarterly!$1:$1,FALSE),FALSE))</f>
        <v>6.1523300000000003E-2</v>
      </c>
      <c r="F68">
        <f>IF(ISBLANK(VLOOKUP($A68,quarterly_data,MATCH(F$1,quarterly!$1:$1,FALSE),FALSE)),"NA",VLOOKUP($A68,quarterly_data,MATCH(F$1,quarterly!$1:$1,FALSE),FALSE))</f>
        <v>1.23047E-2</v>
      </c>
      <c r="G68">
        <f>IF(ISBLANK(VLOOKUP($A68,quarterly_data,MATCH(G$1,quarterly!$1:$1,FALSE),FALSE)),"NA",VLOOKUP($A68,quarterly_data,MATCH(G$1,quarterly!$1:$1,FALSE),FALSE))</f>
        <v>8872.6010000000006</v>
      </c>
      <c r="H68">
        <f>IF(ISBLANK(VLOOKUP($A68,quarterly_data,MATCH(H$1,quarterly!$1:$1,FALSE),FALSE)),"NA",VLOOKUP($A68,quarterly_data,MATCH(H$1,quarterly!$1:$1,FALSE),FALSE))</f>
        <v>217527</v>
      </c>
      <c r="I68">
        <f>IF(ISBLANK(VLOOKUP($A68,quarterly_data,MATCH(I$1,quarterly!$1:$1,FALSE),FALSE)),"NA",VLOOKUP($A68,quarterly_data,MATCH(I$1,quarterly!$1:$1,FALSE),FALSE))</f>
        <v>2.2000000000000002</v>
      </c>
      <c r="J68">
        <f>IF(ISBLANK(VLOOKUP($A68,quarterly_data,MATCH(J$1,quarterly!$1:$1,FALSE),FALSE)),"NA",VLOOKUP($A68,quarterly_data,MATCH(J$1,quarterly!$1:$1,FALSE),FALSE))</f>
        <v>30</v>
      </c>
      <c r="K68">
        <f>IF(COUNTIFS(monthly!C:C,"",monthly!$A:$A,"&gt;="&amp;$A68,monthly!$B:$B,"&lt;="&amp;$B68)&gt;0,"NA",AVERAGEIFS(monthly!C:C,monthly!$A:$A,"&gt;="&amp;$A68,monthly!$B:$B,"&lt;="&amp;$B68))</f>
        <v>50.5</v>
      </c>
      <c r="L68">
        <f>IF(COUNTIFS(monthly!D:D,"",monthly!$A:$A,"&gt;="&amp;$A68,monthly!$B:$B,"&lt;="&amp;$B68)&gt;0,"NA",AVERAGEIFS(monthly!D:D,monthly!$A:$A,"&gt;="&amp;$A68,monthly!$B:$B,"&lt;="&amp;$B68))</f>
        <v>0.61130000000000007</v>
      </c>
      <c r="M68">
        <f>IF(COUNTIFS(monthly!E:E,"",monthly!$A:$A,"&gt;="&amp;$A68,monthly!$B:$B,"&lt;="&amp;$B68)&gt;0,"NA",AVERAGEIFS(monthly!E:E,monthly!$A:$A,"&gt;="&amp;$A68,monthly!$B:$B,"&lt;="&amp;$B68))</f>
        <v>28.873935621608698</v>
      </c>
      <c r="N68" t="str">
        <f>IF(COUNTIFS(monthly!F:F,"",monthly!$A:$A,"&gt;="&amp;$A68,monthly!$B:$B,"&lt;="&amp;$B68)&gt;0,"NA",AVERAGEIFS(monthly!F:F,monthly!$A:$A,"&gt;="&amp;$A68,monthly!$B:$B,"&lt;="&amp;$B68))</f>
        <v>NA</v>
      </c>
      <c r="O68">
        <f>IF(COUNTIFS(monthly!G:G,"",monthly!$A:$A,"&gt;="&amp;$A68,monthly!$B:$B,"&lt;="&amp;$B68)&gt;0,"NA",AVERAGEIFS(monthly!G:G,monthly!$A:$A,"&gt;="&amp;$A68,monthly!$B:$B,"&lt;="&amp;$B68))</f>
        <v>26.3</v>
      </c>
      <c r="P68">
        <f>IF(COUNTIFS(monthly!H:H,"",monthly!$A:$A,"&gt;="&amp;$A68,monthly!$B:$B,"&lt;="&amp;$B68)&gt;0,"NA",AVERAGEIFS(monthly!H:H,monthly!$A:$A,"&gt;="&amp;$A68,monthly!$B:$B,"&lt;="&amp;$B68))</f>
        <v>30.8</v>
      </c>
      <c r="Q68">
        <f>IF(COUNTIFS(monthly!I:I,"",monthly!$A:$A,"&gt;="&amp;$A68,monthly!$B:$B,"&lt;="&amp;$B68)&gt;0,"NA",AVERAGEIFS(monthly!I:I,monthly!$A:$A,"&gt;="&amp;$A68,monthly!$B:$B,"&lt;="&amp;$B68))</f>
        <v>12.466666666666667</v>
      </c>
      <c r="R68">
        <f>IF(COUNTIFS(monthly!J:J,"",monthly!$A:$A,"&gt;="&amp;$A68,monthly!$B:$B,"&lt;="&amp;$B68)&gt;0,"NA",AVERAGEIFS(monthly!J:J,monthly!$A:$A,"&gt;="&amp;$A68,monthly!$B:$B,"&lt;="&amp;$B68))</f>
        <v>4.0999999999999996</v>
      </c>
      <c r="S68">
        <f>IF(COUNTIFS(monthly!K:K,"",monthly!$A:$A,"&gt;="&amp;$A68,monthly!$B:$B,"&lt;="&amp;$B68)&gt;0,"NA",AVERAGEIFS(monthly!K:K,monthly!$A:$A,"&gt;="&amp;$A68,monthly!$B:$B,"&lt;="&amp;$B68))</f>
        <v>15.793683104335278</v>
      </c>
      <c r="T68">
        <f>IF(COUNTIFS(monthly!L:L,"",monthly!$A:$A,"&gt;="&amp;$A68,monthly!$B:$B,"&lt;="&amp;$B68)&gt;0,"NA",AVERAGEIFS(monthly!L:L,monthly!$A:$A,"&gt;="&amp;$A68,monthly!$B:$B,"&lt;="&amp;$B68))</f>
        <v>6.2060250896057356</v>
      </c>
      <c r="U68">
        <f>IF(COUNTIFS(monthly!M:M,"",monthly!$A:$A,"&gt;="&amp;$A68,monthly!$B:$B,"&lt;="&amp;$B68)&gt;0,"NA",AVERAGEIFS(monthly!M:M,monthly!$A:$A,"&gt;="&amp;$A68,monthly!$B:$B,"&lt;="&amp;$B68))</f>
        <v>9.5876580147295414</v>
      </c>
      <c r="V68" t="str">
        <f>IF(COUNTIFS(monthly!N:N,"",monthly!$A:$A,"&gt;="&amp;$A68,monthly!$B:$B,"&lt;="&amp;$B68)&gt;0,"NA",AVERAGEIFS(monthly!N:N,monthly!$A:$A,"&gt;="&amp;$A68,monthly!$B:$B,"&lt;="&amp;$B68))</f>
        <v>NA</v>
      </c>
      <c r="W68">
        <f>IF(COUNTIFS(monthly!O:O,"",monthly!$A:$A,"&gt;="&amp;$A68,monthly!$B:$B,"&lt;="&amp;$B68)&gt;0,"NA",AVERAGEIFS(monthly!O:O,monthly!$A:$A,"&gt;="&amp;$A68,monthly!$B:$B,"&lt;="&amp;$B68))</f>
        <v>6.4462481962481961</v>
      </c>
      <c r="X68" t="str">
        <f>IF(COUNTIFS(monthly!P:P,"",monthly!$A:$A,"&gt;="&amp;$A68,monthly!$B:$B,"&lt;="&amp;$B68)&gt;0,"NA",AVERAGEIFS(monthly!P:P,monthly!$A:$A,"&gt;="&amp;$A68,monthly!$B:$B,"&lt;="&amp;$B68))</f>
        <v>NA</v>
      </c>
      <c r="Y68">
        <f>IF(COUNTIFS(monthly!Q:Q,"",monthly!$A:$A,"&gt;="&amp;$A68,monthly!$B:$B,"&lt;="&amp;$B68)&gt;0,"NA",AVERAGEIFS(monthly!Q:Q,monthly!$A:$A,"&gt;="&amp;$A68,monthly!$B:$B,"&lt;="&amp;$B68))</f>
        <v>14.049999999999999</v>
      </c>
      <c r="Z68">
        <f>IF(COUNTIFS(monthly!R:R,"",monthly!$A:$A,"&gt;="&amp;$A68,monthly!$B:$B,"&lt;="&amp;$B68)&gt;0,"NA",AVERAGEIFS(monthly!R:R,monthly!$A:$A,"&gt;="&amp;$A68,monthly!$B:$B,"&lt;="&amp;$B68))</f>
        <v>7.3055050505050501</v>
      </c>
      <c r="AA68">
        <f>IF(COUNTIFS(monthly!S:S,"",monthly!$A:$A,"&gt;="&amp;$A68,monthly!$B:$B,"&lt;="&amp;$B68)&gt;0,"NA",AVERAGEIFS(monthly!S:S,monthly!$A:$A,"&gt;="&amp;$A68,monthly!$B:$B,"&lt;="&amp;$B68))</f>
        <v>6.7444949494949498</v>
      </c>
      <c r="AB68" t="str">
        <f>IF(COUNTIFS(monthly!T:T,"",monthly!$A:$A,"&gt;="&amp;$A68,monthly!$B:$B,"&lt;="&amp;$B68)&gt;0,"NA",AVERAGEIFS(monthly!T:T,monthly!$A:$A,"&gt;="&amp;$A68,monthly!$B:$B,"&lt;="&amp;$B68))</f>
        <v>NA</v>
      </c>
      <c r="AC68" t="str">
        <f>IF(COUNTIFS(monthly!U:U,"",monthly!$A:$A,"&gt;="&amp;$A68,monthly!$B:$B,"&lt;="&amp;$B68)&gt;0,"NA",AVERAGEIFS(monthly!U:U,monthly!$A:$A,"&gt;="&amp;$A68,monthly!$B:$B,"&lt;="&amp;$B68))</f>
        <v>NA</v>
      </c>
      <c r="AD68" t="str">
        <f>IF(COUNTIFS(monthly!V:V,"",monthly!$A:$A,"&gt;="&amp;$A68,monthly!$B:$B,"&lt;="&amp;$B68)&gt;0,"NA",AVERAGEIFS(monthly!V:V,monthly!$A:$A,"&gt;="&amp;$A68,monthly!$B:$B,"&lt;="&amp;$B68))</f>
        <v>NA</v>
      </c>
      <c r="AE68">
        <f>IF(COUNTIFS(monthly!W:W,"",monthly!$A:$A,"&gt;="&amp;$A68,monthly!$B:$B,"&lt;="&amp;$B68)&gt;0,"NA",AVERAGEIFS(monthly!W:W,monthly!$A:$A,"&gt;="&amp;$A68,monthly!$B:$B,"&lt;="&amp;$B68))</f>
        <v>105.05187225341797</v>
      </c>
      <c r="AF68">
        <f>IF(COUNTIFS(monthly!X:X,"",monthly!$A:$A,"&gt;="&amp;$A68,monthly!$B:$B,"&lt;="&amp;$B68)&gt;0,"NA",AVERAGEIFS(monthly!X:X,monthly!$A:$A,"&gt;="&amp;$A68,monthly!$B:$B,"&lt;="&amp;$B68))</f>
        <v>103.64211527506511</v>
      </c>
      <c r="AG68">
        <f>IF(COUNTIFS(monthly!Y:Y,"",monthly!$A:$A,"&gt;="&amp;$A68,monthly!$B:$B,"&lt;="&amp;$B68)&gt;0,"NA",AVERAGEIFS(monthly!Y:Y,monthly!$A:$A,"&gt;="&amp;$A68,monthly!$B:$B,"&lt;="&amp;$B68))</f>
        <v>103.52219899495442</v>
      </c>
      <c r="AH68">
        <f>IF(COUNTIFS(monthly!Z:Z,"",monthly!$A:$A,"&gt;="&amp;$A68,monthly!$B:$B,"&lt;="&amp;$B68)&gt;0,"NA",AVERAGEIFS(monthly!Z:Z,monthly!$A:$A,"&gt;="&amp;$A68,monthly!$B:$B,"&lt;="&amp;$B68))</f>
        <v>0.12063394859433174</v>
      </c>
    </row>
    <row r="69" spans="1:34" x14ac:dyDescent="0.2">
      <c r="A69" s="1">
        <v>31686</v>
      </c>
      <c r="B69" s="1">
        <v>31776</v>
      </c>
      <c r="C69">
        <f>IF(ISBLANK(VLOOKUP($A69,quarterly_data,MATCH(C$1,quarterly!$1:$1,FALSE),FALSE)),"NA",VLOOKUP($A69,quarterly_data,MATCH(C$1,quarterly!$1:$1,FALSE),FALSE))</f>
        <v>95.972369531829457</v>
      </c>
      <c r="D69">
        <f>IF(ISBLANK(VLOOKUP($A69,quarterly_data,MATCH(D$1,quarterly!$1:$1,FALSE),FALSE)),"NA",VLOOKUP($A69,quarterly_data,MATCH(D$1,quarterly!$1:$1,FALSE),FALSE))</f>
        <v>44.2</v>
      </c>
      <c r="E69">
        <f>IF(ISBLANK(VLOOKUP($A69,quarterly_data,MATCH(E$1,quarterly!$1:$1,FALSE),FALSE)),"NA",VLOOKUP($A69,quarterly_data,MATCH(E$1,quarterly!$1:$1,FALSE),FALSE))</f>
        <v>0</v>
      </c>
      <c r="F69">
        <f>IF(ISBLANK(VLOOKUP($A69,quarterly_data,MATCH(F$1,quarterly!$1:$1,FALSE),FALSE)),"NA",VLOOKUP($A69,quarterly_data,MATCH(F$1,quarterly!$1:$1,FALSE),FALSE))</f>
        <v>6.1523000000000003E-3</v>
      </c>
      <c r="G69">
        <f>IF(ISBLANK(VLOOKUP($A69,quarterly_data,MATCH(G$1,quarterly!$1:$1,FALSE),FALSE)),"NA",VLOOKUP($A69,quarterly_data,MATCH(G$1,quarterly!$1:$1,FALSE),FALSE))</f>
        <v>8920.1929999999993</v>
      </c>
      <c r="H69">
        <f>IF(ISBLANK(VLOOKUP($A69,quarterly_data,MATCH(H$1,quarterly!$1:$1,FALSE),FALSE)),"NA",VLOOKUP($A69,quarterly_data,MATCH(H$1,quarterly!$1:$1,FALSE),FALSE))</f>
        <v>221092</v>
      </c>
      <c r="I69">
        <f>IF(ISBLANK(VLOOKUP($A69,quarterly_data,MATCH(I$1,quarterly!$1:$1,FALSE),FALSE)),"NA",VLOOKUP($A69,quarterly_data,MATCH(I$1,quarterly!$1:$1,FALSE),FALSE))</f>
        <v>2.4</v>
      </c>
      <c r="J69">
        <f>IF(ISBLANK(VLOOKUP($A69,quarterly_data,MATCH(J$1,quarterly!$1:$1,FALSE),FALSE)),"NA",VLOOKUP($A69,quarterly_data,MATCH(J$1,quarterly!$1:$1,FALSE),FALSE))</f>
        <v>30.85</v>
      </c>
      <c r="K69">
        <f>IF(COUNTIFS(monthly!C:C,"",monthly!$A:$A,"&gt;="&amp;$A69,monthly!$B:$B,"&lt;="&amp;$B69)&gt;0,"NA",AVERAGEIFS(monthly!C:C,monthly!$A:$A,"&gt;="&amp;$A69,monthly!$B:$B,"&lt;="&amp;$B69))</f>
        <v>54.15</v>
      </c>
      <c r="L69">
        <f>IF(COUNTIFS(monthly!D:D,"",monthly!$A:$A,"&gt;="&amp;$A69,monthly!$B:$B,"&lt;="&amp;$B69)&gt;0,"NA",AVERAGEIFS(monthly!D:D,monthly!$A:$A,"&gt;="&amp;$A69,monthly!$B:$B,"&lt;="&amp;$B69))</f>
        <v>0.64539999999999997</v>
      </c>
      <c r="M69">
        <f>IF(COUNTIFS(monthly!E:E,"",monthly!$A:$A,"&gt;="&amp;$A69,monthly!$B:$B,"&lt;="&amp;$B69)&gt;0,"NA",AVERAGEIFS(monthly!E:E,monthly!$A:$A,"&gt;="&amp;$A69,monthly!$B:$B,"&lt;="&amp;$B69))</f>
        <v>29.791087045379051</v>
      </c>
      <c r="N69" t="str">
        <f>IF(COUNTIFS(monthly!F:F,"",monthly!$A:$A,"&gt;="&amp;$A69,monthly!$B:$B,"&lt;="&amp;$B69)&gt;0,"NA",AVERAGEIFS(monthly!F:F,monthly!$A:$A,"&gt;="&amp;$A69,monthly!$B:$B,"&lt;="&amp;$B69))</f>
        <v>NA</v>
      </c>
      <c r="O69">
        <f>IF(COUNTIFS(monthly!G:G,"",monthly!$A:$A,"&gt;="&amp;$A69,monthly!$B:$B,"&lt;="&amp;$B69)&gt;0,"NA",AVERAGEIFS(monthly!G:G,monthly!$A:$A,"&gt;="&amp;$A69,monthly!$B:$B,"&lt;="&amp;$B69))</f>
        <v>26.3</v>
      </c>
      <c r="P69">
        <f>IF(COUNTIFS(monthly!H:H,"",monthly!$A:$A,"&gt;="&amp;$A69,monthly!$B:$B,"&lt;="&amp;$B69)&gt;0,"NA",AVERAGEIFS(monthly!H:H,monthly!$A:$A,"&gt;="&amp;$A69,monthly!$B:$B,"&lt;="&amp;$B69))</f>
        <v>30.8</v>
      </c>
      <c r="Q69">
        <f>IF(COUNTIFS(monthly!I:I,"",monthly!$A:$A,"&gt;="&amp;$A69,monthly!$B:$B,"&lt;="&amp;$B69)&gt;0,"NA",AVERAGEIFS(monthly!I:I,monthly!$A:$A,"&gt;="&amp;$A69,monthly!$B:$B,"&lt;="&amp;$B69))</f>
        <v>14.2</v>
      </c>
      <c r="R69">
        <f>IF(COUNTIFS(monthly!J:J,"",monthly!$A:$A,"&gt;="&amp;$A69,monthly!$B:$B,"&lt;="&amp;$B69)&gt;0,"NA",AVERAGEIFS(monthly!J:J,monthly!$A:$A,"&gt;="&amp;$A69,monthly!$B:$B,"&lt;="&amp;$B69))</f>
        <v>4.0999999999999996</v>
      </c>
      <c r="S69">
        <f>IF(COUNTIFS(monthly!K:K,"",monthly!$A:$A,"&gt;="&amp;$A69,monthly!$B:$B,"&lt;="&amp;$B69)&gt;0,"NA",AVERAGEIFS(monthly!K:K,monthly!$A:$A,"&gt;="&amp;$A69,monthly!$B:$B,"&lt;="&amp;$B69))</f>
        <v>16.35366304347826</v>
      </c>
      <c r="T69">
        <f>IF(COUNTIFS(monthly!L:L,"",monthly!$A:$A,"&gt;="&amp;$A69,monthly!$B:$B,"&lt;="&amp;$B69)&gt;0,"NA",AVERAGEIFS(monthly!L:L,monthly!$A:$A,"&gt;="&amp;$A69,monthly!$B:$B,"&lt;="&amp;$B69))</f>
        <v>5.9425698924731183</v>
      </c>
      <c r="U69">
        <f>IF(COUNTIFS(monthly!M:M,"",monthly!$A:$A,"&gt;="&amp;$A69,monthly!$B:$B,"&lt;="&amp;$B69)&gt;0,"NA",AVERAGEIFS(monthly!M:M,monthly!$A:$A,"&gt;="&amp;$A69,monthly!$B:$B,"&lt;="&amp;$B69))</f>
        <v>10.411093151005142</v>
      </c>
      <c r="V69" t="str">
        <f>IF(COUNTIFS(monthly!N:N,"",monthly!$A:$A,"&gt;="&amp;$A69,monthly!$B:$B,"&lt;="&amp;$B69)&gt;0,"NA",AVERAGEIFS(monthly!N:N,monthly!$A:$A,"&gt;="&amp;$A69,monthly!$B:$B,"&lt;="&amp;$B69))</f>
        <v>NA</v>
      </c>
      <c r="W69">
        <f>IF(COUNTIFS(monthly!O:O,"",monthly!$A:$A,"&gt;="&amp;$A69,monthly!$B:$B,"&lt;="&amp;$B69)&gt;0,"NA",AVERAGEIFS(monthly!O:O,monthly!$A:$A,"&gt;="&amp;$A69,monthly!$B:$B,"&lt;="&amp;$B69))</f>
        <v>6.2778787878787883</v>
      </c>
      <c r="X69" t="str">
        <f>IF(COUNTIFS(monthly!P:P,"",monthly!$A:$A,"&gt;="&amp;$A69,monthly!$B:$B,"&lt;="&amp;$B69)&gt;0,"NA",AVERAGEIFS(monthly!P:P,monthly!$A:$A,"&gt;="&amp;$A69,monthly!$B:$B,"&lt;="&amp;$B69))</f>
        <v>NA</v>
      </c>
      <c r="Y69">
        <f>IF(COUNTIFS(monthly!Q:Q,"",monthly!$A:$A,"&gt;="&amp;$A69,monthly!$B:$B,"&lt;="&amp;$B69)&gt;0,"NA",AVERAGEIFS(monthly!Q:Q,monthly!$A:$A,"&gt;="&amp;$A69,monthly!$B:$B,"&lt;="&amp;$B69))</f>
        <v>13.6</v>
      </c>
      <c r="Z69">
        <f>IF(COUNTIFS(monthly!R:R,"",monthly!$A:$A,"&gt;="&amp;$A69,monthly!$B:$B,"&lt;="&amp;$B69)&gt;0,"NA",AVERAGEIFS(monthly!R:R,monthly!$A:$A,"&gt;="&amp;$A69,monthly!$B:$B,"&lt;="&amp;$B69))</f>
        <v>7.3384595959595957</v>
      </c>
      <c r="AA69">
        <f>IF(COUNTIFS(monthly!S:S,"",monthly!$A:$A,"&gt;="&amp;$A69,monthly!$B:$B,"&lt;="&amp;$B69)&gt;0,"NA",AVERAGEIFS(monthly!S:S,monthly!$A:$A,"&gt;="&amp;$A69,monthly!$B:$B,"&lt;="&amp;$B69))</f>
        <v>6.2615404040404039</v>
      </c>
      <c r="AB69" t="str">
        <f>IF(COUNTIFS(monthly!T:T,"",monthly!$A:$A,"&gt;="&amp;$A69,monthly!$B:$B,"&lt;="&amp;$B69)&gt;0,"NA",AVERAGEIFS(monthly!T:T,monthly!$A:$A,"&gt;="&amp;$A69,monthly!$B:$B,"&lt;="&amp;$B69))</f>
        <v>NA</v>
      </c>
      <c r="AC69" t="str">
        <f>IF(COUNTIFS(monthly!U:U,"",monthly!$A:$A,"&gt;="&amp;$A69,monthly!$B:$B,"&lt;="&amp;$B69)&gt;0,"NA",AVERAGEIFS(monthly!U:U,monthly!$A:$A,"&gt;="&amp;$A69,monthly!$B:$B,"&lt;="&amp;$B69))</f>
        <v>NA</v>
      </c>
      <c r="AD69" t="str">
        <f>IF(COUNTIFS(monthly!V:V,"",monthly!$A:$A,"&gt;="&amp;$A69,monthly!$B:$B,"&lt;="&amp;$B69)&gt;0,"NA",AVERAGEIFS(monthly!V:V,monthly!$A:$A,"&gt;="&amp;$A69,monthly!$B:$B,"&lt;="&amp;$B69))</f>
        <v>NA</v>
      </c>
      <c r="AE69">
        <f>IF(COUNTIFS(monthly!W:W,"",monthly!$A:$A,"&gt;="&amp;$A69,monthly!$B:$B,"&lt;="&amp;$B69)&gt;0,"NA",AVERAGEIFS(monthly!W:W,monthly!$A:$A,"&gt;="&amp;$A69,monthly!$B:$B,"&lt;="&amp;$B69))</f>
        <v>103.28262710571289</v>
      </c>
      <c r="AF69">
        <f>IF(COUNTIFS(monthly!X:X,"",monthly!$A:$A,"&gt;="&amp;$A69,monthly!$B:$B,"&lt;="&amp;$B69)&gt;0,"NA",AVERAGEIFS(monthly!X:X,monthly!$A:$A,"&gt;="&amp;$A69,monthly!$B:$B,"&lt;="&amp;$B69))</f>
        <v>116.83413696289062</v>
      </c>
      <c r="AG69">
        <f>IF(COUNTIFS(monthly!Y:Y,"",monthly!$A:$A,"&gt;="&amp;$A69,monthly!$B:$B,"&lt;="&amp;$B69)&gt;0,"NA",AVERAGEIFS(monthly!Y:Y,monthly!$A:$A,"&gt;="&amp;$A69,monthly!$B:$B,"&lt;="&amp;$B69))</f>
        <v>83.438724517822266</v>
      </c>
      <c r="AH69">
        <f>IF(COUNTIFS(monthly!Z:Z,"",monthly!$A:$A,"&gt;="&amp;$A69,monthly!$B:$B,"&lt;="&amp;$B69)&gt;0,"NA",AVERAGEIFS(monthly!Z:Z,monthly!$A:$A,"&gt;="&amp;$A69,monthly!$B:$B,"&lt;="&amp;$B69))</f>
        <v>4.6658573672175407E-2</v>
      </c>
    </row>
    <row r="70" spans="1:34" x14ac:dyDescent="0.2">
      <c r="A70" s="1">
        <v>31778</v>
      </c>
      <c r="B70" s="1">
        <v>31866</v>
      </c>
      <c r="C70">
        <f>IF(ISBLANK(VLOOKUP($A70,quarterly_data,MATCH(C$1,quarterly!$1:$1,FALSE),FALSE)),"NA",VLOOKUP($A70,quarterly_data,MATCH(C$1,quarterly!$1:$1,FALSE),FALSE))</f>
        <v>97.577349056459312</v>
      </c>
      <c r="D70">
        <f>IF(ISBLANK(VLOOKUP($A70,quarterly_data,MATCH(D$1,quarterly!$1:$1,FALSE),FALSE)),"NA",VLOOKUP($A70,quarterly_data,MATCH(D$1,quarterly!$1:$1,FALSE),FALSE))</f>
        <v>44.5</v>
      </c>
      <c r="E70">
        <f>IF(ISBLANK(VLOOKUP($A70,quarterly_data,MATCH(E$1,quarterly!$1:$1,FALSE),FALSE)),"NA",VLOOKUP($A70,quarterly_data,MATCH(E$1,quarterly!$1:$1,FALSE),FALSE))</f>
        <v>3.8639899999999998E-2</v>
      </c>
      <c r="F70">
        <f>IF(ISBLANK(VLOOKUP($A70,quarterly_data,MATCH(F$1,quarterly!$1:$1,FALSE),FALSE)),"NA",VLOOKUP($A70,quarterly_data,MATCH(F$1,quarterly!$1:$1,FALSE),FALSE))</f>
        <v>9.7788000000000007E-3</v>
      </c>
      <c r="G70">
        <f>IF(ISBLANK(VLOOKUP($A70,quarterly_data,MATCH(G$1,quarterly!$1:$1,FALSE),FALSE)),"NA",VLOOKUP($A70,quarterly_data,MATCH(G$1,quarterly!$1:$1,FALSE),FALSE))</f>
        <v>8986.3670000000002</v>
      </c>
      <c r="H70">
        <f>IF(ISBLANK(VLOOKUP($A70,quarterly_data,MATCH(H$1,quarterly!$1:$1,FALSE),FALSE)),"NA",VLOOKUP($A70,quarterly_data,MATCH(H$1,quarterly!$1:$1,FALSE),FALSE))</f>
        <v>223314</v>
      </c>
      <c r="I70">
        <f>IF(ISBLANK(VLOOKUP($A70,quarterly_data,MATCH(I$1,quarterly!$1:$1,FALSE),FALSE)),"NA",VLOOKUP($A70,quarterly_data,MATCH(I$1,quarterly!$1:$1,FALSE),FALSE))</f>
        <v>2</v>
      </c>
      <c r="J70">
        <f>IF(ISBLANK(VLOOKUP($A70,quarterly_data,MATCH(J$1,quarterly!$1:$1,FALSE),FALSE)),"NA",VLOOKUP($A70,quarterly_data,MATCH(J$1,quarterly!$1:$1,FALSE),FALSE))</f>
        <v>31.47</v>
      </c>
      <c r="K70">
        <f>IF(COUNTIFS(monthly!C:C,"",monthly!$A:$A,"&gt;="&amp;$A70,monthly!$B:$B,"&lt;="&amp;$B70)&gt;0,"NA",AVERAGEIFS(monthly!C:C,monthly!$A:$A,"&gt;="&amp;$A70,monthly!$B:$B,"&lt;="&amp;$B70))</f>
        <v>53.45</v>
      </c>
      <c r="L70">
        <f>IF(COUNTIFS(monthly!D:D,"",monthly!$A:$A,"&gt;="&amp;$A70,monthly!$B:$B,"&lt;="&amp;$B70)&gt;0,"NA",AVERAGEIFS(monthly!D:D,monthly!$A:$A,"&gt;="&amp;$A70,monthly!$B:$B,"&lt;="&amp;$B70))</f>
        <v>0.66779999999999995</v>
      </c>
      <c r="M70">
        <f>IF(COUNTIFS(monthly!E:E,"",monthly!$A:$A,"&gt;="&amp;$A70,monthly!$B:$B,"&lt;="&amp;$B70)&gt;0,"NA",AVERAGEIFS(monthly!E:E,monthly!$A:$A,"&gt;="&amp;$A70,monthly!$B:$B,"&lt;="&amp;$B70))</f>
        <v>29.624026098062799</v>
      </c>
      <c r="N70" t="str">
        <f>IF(COUNTIFS(monthly!F:F,"",monthly!$A:$A,"&gt;="&amp;$A70,monthly!$B:$B,"&lt;="&amp;$B70)&gt;0,"NA",AVERAGEIFS(monthly!F:F,monthly!$A:$A,"&gt;="&amp;$A70,monthly!$B:$B,"&lt;="&amp;$B70))</f>
        <v>NA</v>
      </c>
      <c r="O70">
        <f>IF(COUNTIFS(monthly!G:G,"",monthly!$A:$A,"&gt;="&amp;$A70,monthly!$B:$B,"&lt;="&amp;$B70)&gt;0,"NA",AVERAGEIFS(monthly!G:G,monthly!$A:$A,"&gt;="&amp;$A70,monthly!$B:$B,"&lt;="&amp;$B70))</f>
        <v>25.3</v>
      </c>
      <c r="P70">
        <f>IF(COUNTIFS(monthly!H:H,"",monthly!$A:$A,"&gt;="&amp;$A70,monthly!$B:$B,"&lt;="&amp;$B70)&gt;0,"NA",AVERAGEIFS(monthly!H:H,monthly!$A:$A,"&gt;="&amp;$A70,monthly!$B:$B,"&lt;="&amp;$B70))</f>
        <v>29.3</v>
      </c>
      <c r="Q70">
        <f>IF(COUNTIFS(monthly!I:I,"",monthly!$A:$A,"&gt;="&amp;$A70,monthly!$B:$B,"&lt;="&amp;$B70)&gt;0,"NA",AVERAGEIFS(monthly!I:I,monthly!$A:$A,"&gt;="&amp;$A70,monthly!$B:$B,"&lt;="&amp;$B70))</f>
        <v>17.850000000000001</v>
      </c>
      <c r="R70">
        <f>IF(COUNTIFS(monthly!J:J,"",monthly!$A:$A,"&gt;="&amp;$A70,monthly!$B:$B,"&lt;="&amp;$B70)&gt;0,"NA",AVERAGEIFS(monthly!J:J,monthly!$A:$A,"&gt;="&amp;$A70,monthly!$B:$B,"&lt;="&amp;$B70))</f>
        <v>3.35</v>
      </c>
      <c r="S70">
        <f>IF(COUNTIFS(monthly!K:K,"",monthly!$A:$A,"&gt;="&amp;$A70,monthly!$B:$B,"&lt;="&amp;$B70)&gt;0,"NA",AVERAGEIFS(monthly!K:K,monthly!$A:$A,"&gt;="&amp;$A70,monthly!$B:$B,"&lt;="&amp;$B70))</f>
        <v>16.087999999999997</v>
      </c>
      <c r="T70">
        <f>IF(COUNTIFS(monthly!L:L,"",monthly!$A:$A,"&gt;="&amp;$A70,monthly!$B:$B,"&lt;="&amp;$B70)&gt;0,"NA",AVERAGEIFS(monthly!L:L,monthly!$A:$A,"&gt;="&amp;$A70,monthly!$B:$B,"&lt;="&amp;$B70))</f>
        <v>6.2637615207373276</v>
      </c>
      <c r="U70">
        <f>IF(COUNTIFS(monthly!M:M,"",monthly!$A:$A,"&gt;="&amp;$A70,monthly!$B:$B,"&lt;="&amp;$B70)&gt;0,"NA",AVERAGEIFS(monthly!M:M,monthly!$A:$A,"&gt;="&amp;$A70,monthly!$B:$B,"&lt;="&amp;$B70))</f>
        <v>9.8242384792626716</v>
      </c>
      <c r="V70" t="str">
        <f>IF(COUNTIFS(monthly!N:N,"",monthly!$A:$A,"&gt;="&amp;$A70,monthly!$B:$B,"&lt;="&amp;$B70)&gt;0,"NA",AVERAGEIFS(monthly!N:N,monthly!$A:$A,"&gt;="&amp;$A70,monthly!$B:$B,"&lt;="&amp;$B70))</f>
        <v>NA</v>
      </c>
      <c r="W70">
        <f>IF(COUNTIFS(monthly!O:O,"",monthly!$A:$A,"&gt;="&amp;$A70,monthly!$B:$B,"&lt;="&amp;$B70)&gt;0,"NA",AVERAGEIFS(monthly!O:O,monthly!$A:$A,"&gt;="&amp;$A70,monthly!$B:$B,"&lt;="&amp;$B70))</f>
        <v>6.3119473684210519</v>
      </c>
      <c r="X70" t="str">
        <f>IF(COUNTIFS(monthly!P:P,"",monthly!$A:$A,"&gt;="&amp;$A70,monthly!$B:$B,"&lt;="&amp;$B70)&gt;0,"NA",AVERAGEIFS(monthly!P:P,monthly!$A:$A,"&gt;="&amp;$A70,monthly!$B:$B,"&lt;="&amp;$B70))</f>
        <v>NA</v>
      </c>
      <c r="Y70">
        <f>IF(COUNTIFS(monthly!Q:Q,"",monthly!$A:$A,"&gt;="&amp;$A70,monthly!$B:$B,"&lt;="&amp;$B70)&gt;0,"NA",AVERAGEIFS(monthly!Q:Q,monthly!$A:$A,"&gt;="&amp;$A70,monthly!$B:$B,"&lt;="&amp;$B70))</f>
        <v>13.9</v>
      </c>
      <c r="Z70">
        <f>IF(COUNTIFS(monthly!R:R,"",monthly!$A:$A,"&gt;="&amp;$A70,monthly!$B:$B,"&lt;="&amp;$B70)&gt;0,"NA",AVERAGEIFS(monthly!R:R,monthly!$A:$A,"&gt;="&amp;$A70,monthly!$B:$B,"&lt;="&amp;$B70))</f>
        <v>7.1675131578947369</v>
      </c>
      <c r="AA70">
        <f>IF(COUNTIFS(monthly!S:S,"",monthly!$A:$A,"&gt;="&amp;$A70,monthly!$B:$B,"&lt;="&amp;$B70)&gt;0,"NA",AVERAGEIFS(monthly!S:S,monthly!$A:$A,"&gt;="&amp;$A70,monthly!$B:$B,"&lt;="&amp;$B70))</f>
        <v>6.7324868421052635</v>
      </c>
      <c r="AB70" t="str">
        <f>IF(COUNTIFS(monthly!T:T,"",monthly!$A:$A,"&gt;="&amp;$A70,monthly!$B:$B,"&lt;="&amp;$B70)&gt;0,"NA",AVERAGEIFS(monthly!T:T,monthly!$A:$A,"&gt;="&amp;$A70,monthly!$B:$B,"&lt;="&amp;$B70))</f>
        <v>NA</v>
      </c>
      <c r="AC70" t="str">
        <f>IF(COUNTIFS(monthly!U:U,"",monthly!$A:$A,"&gt;="&amp;$A70,monthly!$B:$B,"&lt;="&amp;$B70)&gt;0,"NA",AVERAGEIFS(monthly!U:U,monthly!$A:$A,"&gt;="&amp;$A70,monthly!$B:$B,"&lt;="&amp;$B70))</f>
        <v>NA</v>
      </c>
      <c r="AD70" t="str">
        <f>IF(COUNTIFS(monthly!V:V,"",monthly!$A:$A,"&gt;="&amp;$A70,monthly!$B:$B,"&lt;="&amp;$B70)&gt;0,"NA",AVERAGEIFS(monthly!V:V,monthly!$A:$A,"&gt;="&amp;$A70,monthly!$B:$B,"&lt;="&amp;$B70))</f>
        <v>NA</v>
      </c>
      <c r="AE70">
        <f>IF(COUNTIFS(monthly!W:W,"",monthly!$A:$A,"&gt;="&amp;$A70,monthly!$B:$B,"&lt;="&amp;$B70)&gt;0,"NA",AVERAGEIFS(monthly!W:W,monthly!$A:$A,"&gt;="&amp;$A70,monthly!$B:$B,"&lt;="&amp;$B70))</f>
        <v>98.813083648681641</v>
      </c>
      <c r="AF70">
        <f>IF(COUNTIFS(monthly!X:X,"",monthly!$A:$A,"&gt;="&amp;$A70,monthly!$B:$B,"&lt;="&amp;$B70)&gt;0,"NA",AVERAGEIFS(monthly!X:X,monthly!$A:$A,"&gt;="&amp;$A70,monthly!$B:$B,"&lt;="&amp;$B70))</f>
        <v>100.10976791381836</v>
      </c>
      <c r="AG70">
        <f>IF(COUNTIFS(monthly!Y:Y,"",monthly!$A:$A,"&gt;="&amp;$A70,monthly!$B:$B,"&lt;="&amp;$B70)&gt;0,"NA",AVERAGEIFS(monthly!Y:Y,monthly!$A:$A,"&gt;="&amp;$A70,monthly!$B:$B,"&lt;="&amp;$B70))</f>
        <v>96.892566680908203</v>
      </c>
      <c r="AH70">
        <f>IF(COUNTIFS(monthly!Z:Z,"",monthly!$A:$A,"&gt;="&amp;$A70,monthly!$B:$B,"&lt;="&amp;$B70)&gt;0,"NA",AVERAGEIFS(monthly!Z:Z,monthly!$A:$A,"&gt;="&amp;$A70,monthly!$B:$B,"&lt;="&amp;$B70))</f>
        <v>4.1050959844142199E-2</v>
      </c>
    </row>
    <row r="71" spans="1:34" x14ac:dyDescent="0.2">
      <c r="A71" s="1">
        <v>31868</v>
      </c>
      <c r="B71" s="1">
        <v>31958</v>
      </c>
      <c r="C71">
        <f>IF(ISBLANK(VLOOKUP($A71,quarterly_data,MATCH(C$1,quarterly!$1:$1,FALSE),FALSE)),"NA",VLOOKUP($A71,quarterly_data,MATCH(C$1,quarterly!$1:$1,FALSE),FALSE))</f>
        <v>101.49921822773322</v>
      </c>
      <c r="D71">
        <f>IF(ISBLANK(VLOOKUP($A71,quarterly_data,MATCH(D$1,quarterly!$1:$1,FALSE),FALSE)),"NA",VLOOKUP($A71,quarterly_data,MATCH(D$1,quarterly!$1:$1,FALSE),FALSE))</f>
        <v>45.4</v>
      </c>
      <c r="E71">
        <f>IF(ISBLANK(VLOOKUP($A71,quarterly_data,MATCH(E$1,quarterly!$1:$1,FALSE),FALSE)),"NA",VLOOKUP($A71,quarterly_data,MATCH(E$1,quarterly!$1:$1,FALSE),FALSE))</f>
        <v>0</v>
      </c>
      <c r="F71">
        <f>IF(ISBLANK(VLOOKUP($A71,quarterly_data,MATCH(F$1,quarterly!$1:$1,FALSE),FALSE)),"NA",VLOOKUP($A71,quarterly_data,MATCH(F$1,quarterly!$1:$1,FALSE),FALSE))</f>
        <v>3.8639999999999998E-3</v>
      </c>
      <c r="G71">
        <f>IF(ISBLANK(VLOOKUP($A71,quarterly_data,MATCH(G$1,quarterly!$1:$1,FALSE),FALSE)),"NA",VLOOKUP($A71,quarterly_data,MATCH(G$1,quarterly!$1:$1,FALSE),FALSE))</f>
        <v>9083.2559999999994</v>
      </c>
      <c r="H71">
        <f>IF(ISBLANK(VLOOKUP($A71,quarterly_data,MATCH(H$1,quarterly!$1:$1,FALSE),FALSE)),"NA",VLOOKUP($A71,quarterly_data,MATCH(H$1,quarterly!$1:$1,FALSE),FALSE))</f>
        <v>226866</v>
      </c>
      <c r="I71">
        <f>IF(ISBLANK(VLOOKUP($A71,quarterly_data,MATCH(I$1,quarterly!$1:$1,FALSE),FALSE)),"NA",VLOOKUP($A71,quarterly_data,MATCH(I$1,quarterly!$1:$1,FALSE),FALSE))</f>
        <v>1.9</v>
      </c>
      <c r="J71">
        <f>IF(ISBLANK(VLOOKUP($A71,quarterly_data,MATCH(J$1,quarterly!$1:$1,FALSE),FALSE)),"NA",VLOOKUP($A71,quarterly_data,MATCH(J$1,quarterly!$1:$1,FALSE),FALSE))</f>
        <v>31.93</v>
      </c>
      <c r="K71">
        <f>IF(COUNTIFS(monthly!C:C,"",monthly!$A:$A,"&gt;="&amp;$A71,monthly!$B:$B,"&lt;="&amp;$B71)&gt;0,"NA",AVERAGEIFS(monthly!C:C,monthly!$A:$A,"&gt;="&amp;$A71,monthly!$B:$B,"&lt;="&amp;$B71))</f>
        <v>55.633333333333333</v>
      </c>
      <c r="L71">
        <f>IF(COUNTIFS(monthly!D:D,"",monthly!$A:$A,"&gt;="&amp;$A71,monthly!$B:$B,"&lt;="&amp;$B71)&gt;0,"NA",AVERAGEIFS(monthly!D:D,monthly!$A:$A,"&gt;="&amp;$A71,monthly!$B:$B,"&lt;="&amp;$B71))</f>
        <v>0.71293333333333331</v>
      </c>
      <c r="M71">
        <f>IF(COUNTIFS(monthly!E:E,"",monthly!$A:$A,"&gt;="&amp;$A71,monthly!$B:$B,"&lt;="&amp;$B71)&gt;0,"NA",AVERAGEIFS(monthly!E:E,monthly!$A:$A,"&gt;="&amp;$A71,monthly!$B:$B,"&lt;="&amp;$B71))</f>
        <v>30.6281434921748</v>
      </c>
      <c r="N71" t="str">
        <f>IF(COUNTIFS(monthly!F:F,"",monthly!$A:$A,"&gt;="&amp;$A71,monthly!$B:$B,"&lt;="&amp;$B71)&gt;0,"NA",AVERAGEIFS(monthly!F:F,monthly!$A:$A,"&gt;="&amp;$A71,monthly!$B:$B,"&lt;="&amp;$B71))</f>
        <v>NA</v>
      </c>
      <c r="O71">
        <f>IF(COUNTIFS(monthly!G:G,"",monthly!$A:$A,"&gt;="&amp;$A71,monthly!$B:$B,"&lt;="&amp;$B71)&gt;0,"NA",AVERAGEIFS(monthly!G:G,monthly!$A:$A,"&gt;="&amp;$A71,monthly!$B:$B,"&lt;="&amp;$B71))</f>
        <v>25.3</v>
      </c>
      <c r="P71">
        <f>IF(COUNTIFS(monthly!H:H,"",monthly!$A:$A,"&gt;="&amp;$A71,monthly!$B:$B,"&lt;="&amp;$B71)&gt;0,"NA",AVERAGEIFS(monthly!H:H,monthly!$A:$A,"&gt;="&amp;$A71,monthly!$B:$B,"&lt;="&amp;$B71))</f>
        <v>24.8</v>
      </c>
      <c r="Q71">
        <f>IF(COUNTIFS(monthly!I:I,"",monthly!$A:$A,"&gt;="&amp;$A71,monthly!$B:$B,"&lt;="&amp;$B71)&gt;0,"NA",AVERAGEIFS(monthly!I:I,monthly!$A:$A,"&gt;="&amp;$A71,monthly!$B:$B,"&lt;="&amp;$B71))</f>
        <v>18.600000000000001</v>
      </c>
      <c r="R71">
        <f>IF(COUNTIFS(monthly!J:J,"",monthly!$A:$A,"&gt;="&amp;$A71,monthly!$B:$B,"&lt;="&amp;$B71)&gt;0,"NA",AVERAGEIFS(monthly!J:J,monthly!$A:$A,"&gt;="&amp;$A71,monthly!$B:$B,"&lt;="&amp;$B71))</f>
        <v>3.35</v>
      </c>
      <c r="S71">
        <f>IF(COUNTIFS(monthly!K:K,"",monthly!$A:$A,"&gt;="&amp;$A71,monthly!$B:$B,"&lt;="&amp;$B71)&gt;0,"NA",AVERAGEIFS(monthly!K:K,monthly!$A:$A,"&gt;="&amp;$A71,monthly!$B:$B,"&lt;="&amp;$B71))</f>
        <v>13.559603174603176</v>
      </c>
      <c r="T71">
        <f>IF(COUNTIFS(monthly!L:L,"",monthly!$A:$A,"&gt;="&amp;$A71,monthly!$B:$B,"&lt;="&amp;$B71)&gt;0,"NA",AVERAGEIFS(monthly!L:L,monthly!$A:$A,"&gt;="&amp;$A71,monthly!$B:$B,"&lt;="&amp;$B71))</f>
        <v>6.6477455197132613</v>
      </c>
      <c r="U71">
        <f>IF(COUNTIFS(monthly!M:M,"",monthly!$A:$A,"&gt;="&amp;$A71,monthly!$B:$B,"&lt;="&amp;$B71)&gt;0,"NA",AVERAGEIFS(monthly!M:M,monthly!$A:$A,"&gt;="&amp;$A71,monthly!$B:$B,"&lt;="&amp;$B71))</f>
        <v>6.9118576548899142</v>
      </c>
      <c r="V71" t="str">
        <f>IF(COUNTIFS(monthly!N:N,"",monthly!$A:$A,"&gt;="&amp;$A71,monthly!$B:$B,"&lt;="&amp;$B71)&gt;0,"NA",AVERAGEIFS(monthly!N:N,monthly!$A:$A,"&gt;="&amp;$A71,monthly!$B:$B,"&lt;="&amp;$B71))</f>
        <v>NA</v>
      </c>
      <c r="W71">
        <f>IF(COUNTIFS(monthly!O:O,"",monthly!$A:$A,"&gt;="&amp;$A71,monthly!$B:$B,"&lt;="&amp;$B71)&gt;0,"NA",AVERAGEIFS(monthly!O:O,monthly!$A:$A,"&gt;="&amp;$A71,monthly!$B:$B,"&lt;="&amp;$B71))</f>
        <v>7.4529891774891768</v>
      </c>
      <c r="X71" t="str">
        <f>IF(COUNTIFS(monthly!P:P,"",monthly!$A:$A,"&gt;="&amp;$A71,monthly!$B:$B,"&lt;="&amp;$B71)&gt;0,"NA",AVERAGEIFS(monthly!P:P,monthly!$A:$A,"&gt;="&amp;$A71,monthly!$B:$B,"&lt;="&amp;$B71))</f>
        <v>NA</v>
      </c>
      <c r="Y71">
        <f>IF(COUNTIFS(monthly!Q:Q,"",monthly!$A:$A,"&gt;="&amp;$A71,monthly!$B:$B,"&lt;="&amp;$B71)&gt;0,"NA",AVERAGEIFS(monthly!Q:Q,monthly!$A:$A,"&gt;="&amp;$A71,monthly!$B:$B,"&lt;="&amp;$B71))</f>
        <v>12.950000000000001</v>
      </c>
      <c r="Z71">
        <f>IF(COUNTIFS(monthly!R:R,"",monthly!$A:$A,"&gt;="&amp;$A71,monthly!$B:$B,"&lt;="&amp;$B71)&gt;0,"NA",AVERAGEIFS(monthly!R:R,monthly!$A:$A,"&gt;="&amp;$A71,monthly!$B:$B,"&lt;="&amp;$B71))</f>
        <v>8.3460432900432906</v>
      </c>
      <c r="AA71">
        <f>IF(COUNTIFS(monthly!S:S,"",monthly!$A:$A,"&gt;="&amp;$A71,monthly!$B:$B,"&lt;="&amp;$B71)&gt;0,"NA",AVERAGEIFS(monthly!S:S,monthly!$A:$A,"&gt;="&amp;$A71,monthly!$B:$B,"&lt;="&amp;$B71))</f>
        <v>4.6039567099567096</v>
      </c>
      <c r="AB71" t="str">
        <f>IF(COUNTIFS(monthly!T:T,"",monthly!$A:$A,"&gt;="&amp;$A71,monthly!$B:$B,"&lt;="&amp;$B71)&gt;0,"NA",AVERAGEIFS(monthly!T:T,monthly!$A:$A,"&gt;="&amp;$A71,monthly!$B:$B,"&lt;="&amp;$B71))</f>
        <v>NA</v>
      </c>
      <c r="AC71" t="str">
        <f>IF(COUNTIFS(monthly!U:U,"",monthly!$A:$A,"&gt;="&amp;$A71,monthly!$B:$B,"&lt;="&amp;$B71)&gt;0,"NA",AVERAGEIFS(monthly!U:U,monthly!$A:$A,"&gt;="&amp;$A71,monthly!$B:$B,"&lt;="&amp;$B71))</f>
        <v>NA</v>
      </c>
      <c r="AD71" t="str">
        <f>IF(COUNTIFS(monthly!V:V,"",monthly!$A:$A,"&gt;="&amp;$A71,monthly!$B:$B,"&lt;="&amp;$B71)&gt;0,"NA",AVERAGEIFS(monthly!V:V,monthly!$A:$A,"&gt;="&amp;$A71,monthly!$B:$B,"&lt;="&amp;$B71))</f>
        <v>NA</v>
      </c>
      <c r="AE71">
        <f>IF(COUNTIFS(monthly!W:W,"",monthly!$A:$A,"&gt;="&amp;$A71,monthly!$B:$B,"&lt;="&amp;$B71)&gt;0,"NA",AVERAGEIFS(monthly!W:W,monthly!$A:$A,"&gt;="&amp;$A71,monthly!$B:$B,"&lt;="&amp;$B71))</f>
        <v>102.07580057779948</v>
      </c>
      <c r="AF71">
        <f>IF(COUNTIFS(monthly!X:X,"",monthly!$A:$A,"&gt;="&amp;$A71,monthly!$B:$B,"&lt;="&amp;$B71)&gt;0,"NA",AVERAGEIFS(monthly!X:X,monthly!$A:$A,"&gt;="&amp;$A71,monthly!$B:$B,"&lt;="&amp;$B71))</f>
        <v>104.77626800537109</v>
      </c>
      <c r="AG71">
        <f>IF(COUNTIFS(monthly!Y:Y,"",monthly!$A:$A,"&gt;="&amp;$A71,monthly!$B:$B,"&lt;="&amp;$B71)&gt;0,"NA",AVERAGEIFS(monthly!Y:Y,monthly!$A:$A,"&gt;="&amp;$A71,monthly!$B:$B,"&lt;="&amp;$B71))</f>
        <v>92.063682556152344</v>
      </c>
      <c r="AH71">
        <f>IF(COUNTIFS(monthly!Z:Z,"",monthly!$A:$A,"&gt;="&amp;$A71,monthly!$B:$B,"&lt;="&amp;$B71)&gt;0,"NA",AVERAGEIFS(monthly!Z:Z,monthly!$A:$A,"&gt;="&amp;$A71,monthly!$B:$B,"&lt;="&amp;$B71))</f>
        <v>7.923131063580513E-2</v>
      </c>
    </row>
    <row r="72" spans="1:34" x14ac:dyDescent="0.2">
      <c r="A72" s="1">
        <v>31959</v>
      </c>
      <c r="B72" s="1">
        <v>32050</v>
      </c>
      <c r="C72">
        <f>IF(ISBLANK(VLOOKUP($A72,quarterly_data,MATCH(C$1,quarterly!$1:$1,FALSE),FALSE)),"NA",VLOOKUP($A72,quarterly_data,MATCH(C$1,quarterly!$1:$1,FALSE),FALSE))</f>
        <v>103.05213310773682</v>
      </c>
      <c r="D72">
        <f>IF(ISBLANK(VLOOKUP($A72,quarterly_data,MATCH(D$1,quarterly!$1:$1,FALSE),FALSE)),"NA",VLOOKUP($A72,quarterly_data,MATCH(D$1,quarterly!$1:$1,FALSE),FALSE))</f>
        <v>46.6</v>
      </c>
      <c r="E72">
        <f>IF(ISBLANK(VLOOKUP($A72,quarterly_data,MATCH(E$1,quarterly!$1:$1,FALSE),FALSE)),"NA",VLOOKUP($A72,quarterly_data,MATCH(E$1,quarterly!$1:$1,FALSE),FALSE))</f>
        <v>0</v>
      </c>
      <c r="F72">
        <f>IF(ISBLANK(VLOOKUP($A72,quarterly_data,MATCH(F$1,quarterly!$1:$1,FALSE),FALSE)),"NA",VLOOKUP($A72,quarterly_data,MATCH(F$1,quarterly!$1:$1,FALSE),FALSE))</f>
        <v>1.2880000000000001E-3</v>
      </c>
      <c r="G72">
        <f>IF(ISBLANK(VLOOKUP($A72,quarterly_data,MATCH(G$1,quarterly!$1:$1,FALSE),FALSE)),"NA",VLOOKUP($A72,quarterly_data,MATCH(G$1,quarterly!$1:$1,FALSE),FALSE))</f>
        <v>9162.0239999999994</v>
      </c>
      <c r="H72">
        <f>IF(ISBLANK(VLOOKUP($A72,quarterly_data,MATCH(H$1,quarterly!$1:$1,FALSE),FALSE)),"NA",VLOOKUP($A72,quarterly_data,MATCH(H$1,quarterly!$1:$1,FALSE),FALSE))</f>
        <v>230956</v>
      </c>
      <c r="I72">
        <f>IF(ISBLANK(VLOOKUP($A72,quarterly_data,MATCH(I$1,quarterly!$1:$1,FALSE),FALSE)),"NA",VLOOKUP($A72,quarterly_data,MATCH(I$1,quarterly!$1:$1,FALSE),FALSE))</f>
        <v>1.6</v>
      </c>
      <c r="J72">
        <f>IF(ISBLANK(VLOOKUP($A72,quarterly_data,MATCH(J$1,quarterly!$1:$1,FALSE),FALSE)),"NA",VLOOKUP($A72,quarterly_data,MATCH(J$1,quarterly!$1:$1,FALSE),FALSE))</f>
        <v>32.47</v>
      </c>
      <c r="K72">
        <f>IF(COUNTIFS(monthly!C:C,"",monthly!$A:$A,"&gt;="&amp;$A72,monthly!$B:$B,"&lt;="&amp;$B72)&gt;0,"NA",AVERAGEIFS(monthly!C:C,monthly!$A:$A,"&gt;="&amp;$A72,monthly!$B:$B,"&lt;="&amp;$B72))</f>
        <v>55.566666666666663</v>
      </c>
      <c r="L72">
        <f>IF(COUNTIFS(monthly!D:D,"",monthly!$A:$A,"&gt;="&amp;$A72,monthly!$B:$B,"&lt;="&amp;$B72)&gt;0,"NA",AVERAGEIFS(monthly!D:D,monthly!$A:$A,"&gt;="&amp;$A72,monthly!$B:$B,"&lt;="&amp;$B72))</f>
        <v>0.70986666666666665</v>
      </c>
      <c r="M72">
        <f>IF(COUNTIFS(monthly!E:E,"",monthly!$A:$A,"&gt;="&amp;$A72,monthly!$B:$B,"&lt;="&amp;$B72)&gt;0,"NA",AVERAGEIFS(monthly!E:E,monthly!$A:$A,"&gt;="&amp;$A72,monthly!$B:$B,"&lt;="&amp;$B72))</f>
        <v>31.703834940128033</v>
      </c>
      <c r="N72" t="str">
        <f>IF(COUNTIFS(monthly!F:F,"",monthly!$A:$A,"&gt;="&amp;$A72,monthly!$B:$B,"&lt;="&amp;$B72)&gt;0,"NA",AVERAGEIFS(monthly!F:F,monthly!$A:$A,"&gt;="&amp;$A72,monthly!$B:$B,"&lt;="&amp;$B72))</f>
        <v>NA</v>
      </c>
      <c r="O72">
        <f>IF(COUNTIFS(monthly!G:G,"",monthly!$A:$A,"&gt;="&amp;$A72,monthly!$B:$B,"&lt;="&amp;$B72)&gt;0,"NA",AVERAGEIFS(monthly!G:G,monthly!$A:$A,"&gt;="&amp;$A72,monthly!$B:$B,"&lt;="&amp;$B72))</f>
        <v>25.3</v>
      </c>
      <c r="P72">
        <f>IF(COUNTIFS(monthly!H:H,"",monthly!$A:$A,"&gt;="&amp;$A72,monthly!$B:$B,"&lt;="&amp;$B72)&gt;0,"NA",AVERAGEIFS(monthly!H:H,monthly!$A:$A,"&gt;="&amp;$A72,monthly!$B:$B,"&lt;="&amp;$B72))</f>
        <v>27</v>
      </c>
      <c r="Q72">
        <f>IF(COUNTIFS(monthly!I:I,"",monthly!$A:$A,"&gt;="&amp;$A72,monthly!$B:$B,"&lt;="&amp;$B72)&gt;0,"NA",AVERAGEIFS(monthly!I:I,monthly!$A:$A,"&gt;="&amp;$A72,monthly!$B:$B,"&lt;="&amp;$B72))</f>
        <v>19.066666666666666</v>
      </c>
      <c r="R72">
        <f>IF(COUNTIFS(monthly!J:J,"",monthly!$A:$A,"&gt;="&amp;$A72,monthly!$B:$B,"&lt;="&amp;$B72)&gt;0,"NA",AVERAGEIFS(monthly!J:J,monthly!$A:$A,"&gt;="&amp;$A72,monthly!$B:$B,"&lt;="&amp;$B72))</f>
        <v>3.35</v>
      </c>
      <c r="S72">
        <f>IF(COUNTIFS(monthly!K:K,"",monthly!$A:$A,"&gt;="&amp;$A72,monthly!$B:$B,"&lt;="&amp;$B72)&gt;0,"NA",AVERAGEIFS(monthly!K:K,monthly!$A:$A,"&gt;="&amp;$A72,monthly!$B:$B,"&lt;="&amp;$B72))</f>
        <v>11.862316644707947</v>
      </c>
      <c r="T72">
        <f>IF(COUNTIFS(monthly!L:L,"",monthly!$A:$A,"&gt;="&amp;$A72,monthly!$B:$B,"&lt;="&amp;$B72)&gt;0,"NA",AVERAGEIFS(monthly!L:L,monthly!$A:$A,"&gt;="&amp;$A72,monthly!$B:$B,"&lt;="&amp;$B72))</f>
        <v>6.8436164874551979</v>
      </c>
      <c r="U72">
        <f>IF(COUNTIFS(monthly!M:M,"",monthly!$A:$A,"&gt;="&amp;$A72,monthly!$B:$B,"&lt;="&amp;$B72)&gt;0,"NA",AVERAGEIFS(monthly!M:M,monthly!$A:$A,"&gt;="&amp;$A72,monthly!$B:$B,"&lt;="&amp;$B72))</f>
        <v>5.0187001572527494</v>
      </c>
      <c r="V72" t="str">
        <f>IF(COUNTIFS(monthly!N:N,"",monthly!$A:$A,"&gt;="&amp;$A72,monthly!$B:$B,"&lt;="&amp;$B72)&gt;0,"NA",AVERAGEIFS(monthly!N:N,monthly!$A:$A,"&gt;="&amp;$A72,monthly!$B:$B,"&lt;="&amp;$B72))</f>
        <v>NA</v>
      </c>
      <c r="W72">
        <f>IF(COUNTIFS(monthly!O:O,"",monthly!$A:$A,"&gt;="&amp;$A72,monthly!$B:$B,"&lt;="&amp;$B72)&gt;0,"NA",AVERAGEIFS(monthly!O:O,monthly!$A:$A,"&gt;="&amp;$A72,monthly!$B:$B,"&lt;="&amp;$B72))</f>
        <v>7.8463131313131287</v>
      </c>
      <c r="X72" t="str">
        <f>IF(COUNTIFS(monthly!P:P,"",monthly!$A:$A,"&gt;="&amp;$A72,monthly!$B:$B,"&lt;="&amp;$B72)&gt;0,"NA",AVERAGEIFS(monthly!P:P,monthly!$A:$A,"&gt;="&amp;$A72,monthly!$B:$B,"&lt;="&amp;$B72))</f>
        <v>NA</v>
      </c>
      <c r="Y72">
        <f>IF(COUNTIFS(monthly!Q:Q,"",monthly!$A:$A,"&gt;="&amp;$A72,monthly!$B:$B,"&lt;="&amp;$B72)&gt;0,"NA",AVERAGEIFS(monthly!Q:Q,monthly!$A:$A,"&gt;="&amp;$A72,monthly!$B:$B,"&lt;="&amp;$B72))</f>
        <v>12.799999999999999</v>
      </c>
      <c r="Z72">
        <f>IF(COUNTIFS(monthly!R:R,"",monthly!$A:$A,"&gt;="&amp;$A72,monthly!$B:$B,"&lt;="&amp;$B72)&gt;0,"NA",AVERAGEIFS(monthly!R:R,monthly!$A:$A,"&gt;="&amp;$A72,monthly!$B:$B,"&lt;="&amp;$B72))</f>
        <v>8.8763997113997117</v>
      </c>
      <c r="AA72">
        <f>IF(COUNTIFS(monthly!S:S,"",monthly!$A:$A,"&gt;="&amp;$A72,monthly!$B:$B,"&lt;="&amp;$B72)&gt;0,"NA",AVERAGEIFS(monthly!S:S,monthly!$A:$A,"&gt;="&amp;$A72,monthly!$B:$B,"&lt;="&amp;$B72))</f>
        <v>3.9236002886002885</v>
      </c>
      <c r="AB72" t="str">
        <f>IF(COUNTIFS(monthly!T:T,"",monthly!$A:$A,"&gt;="&amp;$A72,monthly!$B:$B,"&lt;="&amp;$B72)&gt;0,"NA",AVERAGEIFS(monthly!T:T,monthly!$A:$A,"&gt;="&amp;$A72,monthly!$B:$B,"&lt;="&amp;$B72))</f>
        <v>NA</v>
      </c>
      <c r="AC72" t="str">
        <f>IF(COUNTIFS(monthly!U:U,"",monthly!$A:$A,"&gt;="&amp;$A72,monthly!$B:$B,"&lt;="&amp;$B72)&gt;0,"NA",AVERAGEIFS(monthly!U:U,monthly!$A:$A,"&gt;="&amp;$A72,monthly!$B:$B,"&lt;="&amp;$B72))</f>
        <v>NA</v>
      </c>
      <c r="AD72" t="str">
        <f>IF(COUNTIFS(monthly!V:V,"",monthly!$A:$A,"&gt;="&amp;$A72,monthly!$B:$B,"&lt;="&amp;$B72)&gt;0,"NA",AVERAGEIFS(monthly!V:V,monthly!$A:$A,"&gt;="&amp;$A72,monthly!$B:$B,"&lt;="&amp;$B72))</f>
        <v>NA</v>
      </c>
      <c r="AE72">
        <f>IF(COUNTIFS(monthly!W:W,"",monthly!$A:$A,"&gt;="&amp;$A72,monthly!$B:$B,"&lt;="&amp;$B72)&gt;0,"NA",AVERAGEIFS(monthly!W:W,monthly!$A:$A,"&gt;="&amp;$A72,monthly!$B:$B,"&lt;="&amp;$B72))</f>
        <v>106.66916147867839</v>
      </c>
      <c r="AF72">
        <f>IF(COUNTIFS(monthly!X:X,"",monthly!$A:$A,"&gt;="&amp;$A72,monthly!$B:$B,"&lt;="&amp;$B72)&gt;0,"NA",AVERAGEIFS(monthly!X:X,monthly!$A:$A,"&gt;="&amp;$A72,monthly!$B:$B,"&lt;="&amp;$B72))</f>
        <v>122.15374755859375</v>
      </c>
      <c r="AG72">
        <f>IF(COUNTIFS(monthly!Y:Y,"",monthly!$A:$A,"&gt;="&amp;$A72,monthly!$B:$B,"&lt;="&amp;$B72)&gt;0,"NA",AVERAGEIFS(monthly!Y:Y,monthly!$A:$A,"&gt;="&amp;$A72,monthly!$B:$B,"&lt;="&amp;$B72))</f>
        <v>91.135322570800781</v>
      </c>
      <c r="AH72">
        <f>IF(COUNTIFS(monthly!Z:Z,"",monthly!$A:$A,"&gt;="&amp;$A72,monthly!$B:$B,"&lt;="&amp;$B72)&gt;0,"NA",AVERAGEIFS(monthly!Z:Z,monthly!$A:$A,"&gt;="&amp;$A72,monthly!$B:$B,"&lt;="&amp;$B72))</f>
        <v>4.3195179353157677E-2</v>
      </c>
    </row>
    <row r="73" spans="1:34" x14ac:dyDescent="0.2">
      <c r="A73" s="1">
        <v>32051</v>
      </c>
      <c r="B73" s="1">
        <v>32141</v>
      </c>
      <c r="C73">
        <f>IF(ISBLANK(VLOOKUP($A73,quarterly_data,MATCH(C$1,quarterly!$1:$1,FALSE),FALSE)),"NA",VLOOKUP($A73,quarterly_data,MATCH(C$1,quarterly!$1:$1,FALSE),FALSE))</f>
        <v>98.611948250851228</v>
      </c>
      <c r="D73">
        <f>IF(ISBLANK(VLOOKUP($A73,quarterly_data,MATCH(D$1,quarterly!$1:$1,FALSE),FALSE)),"NA",VLOOKUP($A73,quarterly_data,MATCH(D$1,quarterly!$1:$1,FALSE),FALSE))</f>
        <v>46.7</v>
      </c>
      <c r="E73">
        <f>IF(ISBLANK(VLOOKUP($A73,quarterly_data,MATCH(E$1,quarterly!$1:$1,FALSE),FALSE)),"NA",VLOOKUP($A73,quarterly_data,MATCH(E$1,quarterly!$1:$1,FALSE),FALSE))</f>
        <v>4.6869099999999997E-2</v>
      </c>
      <c r="F73">
        <f>IF(ISBLANK(VLOOKUP($A73,quarterly_data,MATCH(F$1,quarterly!$1:$1,FALSE),FALSE)),"NA",VLOOKUP($A73,quarterly_data,MATCH(F$1,quarterly!$1:$1,FALSE),FALSE))</f>
        <v>9.3737999999999998E-3</v>
      </c>
      <c r="G73">
        <f>IF(ISBLANK(VLOOKUP($A73,quarterly_data,MATCH(G$1,quarterly!$1:$1,FALSE),FALSE)),"NA",VLOOKUP($A73,quarterly_data,MATCH(G$1,quarterly!$1:$1,FALSE),FALSE))</f>
        <v>9319.3320000000003</v>
      </c>
      <c r="H73">
        <f>IF(ISBLANK(VLOOKUP($A73,quarterly_data,MATCH(H$1,quarterly!$1:$1,FALSE),FALSE)),"NA",VLOOKUP($A73,quarterly_data,MATCH(H$1,quarterly!$1:$1,FALSE),FALSE))</f>
        <v>235600</v>
      </c>
      <c r="I73">
        <f>IF(ISBLANK(VLOOKUP($A73,quarterly_data,MATCH(I$1,quarterly!$1:$1,FALSE),FALSE)),"NA",VLOOKUP($A73,quarterly_data,MATCH(I$1,quarterly!$1:$1,FALSE),FALSE))</f>
        <v>1.8</v>
      </c>
      <c r="J73">
        <f>IF(ISBLANK(VLOOKUP($A73,quarterly_data,MATCH(J$1,quarterly!$1:$1,FALSE),FALSE)),"NA",VLOOKUP($A73,quarterly_data,MATCH(J$1,quarterly!$1:$1,FALSE),FALSE))</f>
        <v>33.049999999999997</v>
      </c>
      <c r="K73">
        <f>IF(COUNTIFS(monthly!C:C,"",monthly!$A:$A,"&gt;="&amp;$A73,monthly!$B:$B,"&lt;="&amp;$B73)&gt;0,"NA",AVERAGEIFS(monthly!C:C,monthly!$A:$A,"&gt;="&amp;$A73,monthly!$B:$B,"&lt;="&amp;$B73))</f>
        <v>52</v>
      </c>
      <c r="L73">
        <f>IF(COUNTIFS(monthly!D:D,"",monthly!$A:$A,"&gt;="&amp;$A73,monthly!$B:$B,"&lt;="&amp;$B73)&gt;0,"NA",AVERAGEIFS(monthly!D:D,monthly!$A:$A,"&gt;="&amp;$A73,monthly!$B:$B,"&lt;="&amp;$B73))</f>
        <v>0.69045000000000001</v>
      </c>
      <c r="M73">
        <f>IF(COUNTIFS(monthly!E:E,"",monthly!$A:$A,"&gt;="&amp;$A73,monthly!$B:$B,"&lt;="&amp;$B73)&gt;0,"NA",AVERAGEIFS(monthly!E:E,monthly!$A:$A,"&gt;="&amp;$A73,monthly!$B:$B,"&lt;="&amp;$B73))</f>
        <v>31.572837153289051</v>
      </c>
      <c r="N73" t="str">
        <f>IF(COUNTIFS(monthly!F:F,"",monthly!$A:$A,"&gt;="&amp;$A73,monthly!$B:$B,"&lt;="&amp;$B73)&gt;0,"NA",AVERAGEIFS(monthly!F:F,monthly!$A:$A,"&gt;="&amp;$A73,monthly!$B:$B,"&lt;="&amp;$B73))</f>
        <v>NA</v>
      </c>
      <c r="O73">
        <f>IF(COUNTIFS(monthly!G:G,"",monthly!$A:$A,"&gt;="&amp;$A73,monthly!$B:$B,"&lt;="&amp;$B73)&gt;0,"NA",AVERAGEIFS(monthly!G:G,monthly!$A:$A,"&gt;="&amp;$A73,monthly!$B:$B,"&lt;="&amp;$B73))</f>
        <v>25.3</v>
      </c>
      <c r="P73">
        <f>IF(COUNTIFS(monthly!H:H,"",monthly!$A:$A,"&gt;="&amp;$A73,monthly!$B:$B,"&lt;="&amp;$B73)&gt;0,"NA",AVERAGEIFS(monthly!H:H,monthly!$A:$A,"&gt;="&amp;$A73,monthly!$B:$B,"&lt;="&amp;$B73))</f>
        <v>28</v>
      </c>
      <c r="Q73">
        <f>IF(COUNTIFS(monthly!I:I,"",monthly!$A:$A,"&gt;="&amp;$A73,monthly!$B:$B,"&lt;="&amp;$B73)&gt;0,"NA",AVERAGEIFS(monthly!I:I,monthly!$A:$A,"&gt;="&amp;$A73,monthly!$B:$B,"&lt;="&amp;$B73))</f>
        <v>18.3</v>
      </c>
      <c r="R73">
        <f>IF(COUNTIFS(monthly!J:J,"",monthly!$A:$A,"&gt;="&amp;$A73,monthly!$B:$B,"&lt;="&amp;$B73)&gt;0,"NA",AVERAGEIFS(monthly!J:J,monthly!$A:$A,"&gt;="&amp;$A73,monthly!$B:$B,"&lt;="&amp;$B73))</f>
        <v>3.35</v>
      </c>
      <c r="S73">
        <f>IF(COUNTIFS(monthly!K:K,"",monthly!$A:$A,"&gt;="&amp;$A73,monthly!$B:$B,"&lt;="&amp;$B73)&gt;0,"NA",AVERAGEIFS(monthly!K:K,monthly!$A:$A,"&gt;="&amp;$A73,monthly!$B:$B,"&lt;="&amp;$B73))</f>
        <v>10.823690476190478</v>
      </c>
      <c r="T73">
        <f>IF(COUNTIFS(monthly!L:L,"",monthly!$A:$A,"&gt;="&amp;$A73,monthly!$B:$B,"&lt;="&amp;$B73)&gt;0,"NA",AVERAGEIFS(monthly!L:L,monthly!$A:$A,"&gt;="&amp;$A73,monthly!$B:$B,"&lt;="&amp;$B73))</f>
        <v>6.9910215053763434</v>
      </c>
      <c r="U73">
        <f>IF(COUNTIFS(monthly!M:M,"",monthly!$A:$A,"&gt;="&amp;$A73,monthly!$B:$B,"&lt;="&amp;$B73)&gt;0,"NA",AVERAGEIFS(monthly!M:M,monthly!$A:$A,"&gt;="&amp;$A73,monthly!$B:$B,"&lt;="&amp;$B73))</f>
        <v>3.8326689708141348</v>
      </c>
      <c r="V73" t="str">
        <f>IF(COUNTIFS(monthly!N:N,"",monthly!$A:$A,"&gt;="&amp;$A73,monthly!$B:$B,"&lt;="&amp;$B73)&gt;0,"NA",AVERAGEIFS(monthly!N:N,monthly!$A:$A,"&gt;="&amp;$A73,monthly!$B:$B,"&lt;="&amp;$B73))</f>
        <v>NA</v>
      </c>
      <c r="W73">
        <f>IF(COUNTIFS(monthly!O:O,"",monthly!$A:$A,"&gt;="&amp;$A73,monthly!$B:$B,"&lt;="&amp;$B73)&gt;0,"NA",AVERAGEIFS(monthly!O:O,monthly!$A:$A,"&gt;="&amp;$A73,monthly!$B:$B,"&lt;="&amp;$B73))</f>
        <v>8.0451253132832079</v>
      </c>
      <c r="X73" t="str">
        <f>IF(COUNTIFS(monthly!P:P,"",monthly!$A:$A,"&gt;="&amp;$A73,monthly!$B:$B,"&lt;="&amp;$B73)&gt;0,"NA",AVERAGEIFS(monthly!P:P,monthly!$A:$A,"&gt;="&amp;$A73,monthly!$B:$B,"&lt;="&amp;$B73))</f>
        <v>NA</v>
      </c>
      <c r="Y73">
        <f>IF(COUNTIFS(monthly!Q:Q,"",monthly!$A:$A,"&gt;="&amp;$A73,monthly!$B:$B,"&lt;="&amp;$B73)&gt;0,"NA",AVERAGEIFS(monthly!Q:Q,monthly!$A:$A,"&gt;="&amp;$A73,monthly!$B:$B,"&lt;="&amp;$B73))</f>
        <v>13.475000000000001</v>
      </c>
      <c r="Z73">
        <f>IF(COUNTIFS(monthly!R:R,"",monthly!$A:$A,"&gt;="&amp;$A73,monthly!$B:$B,"&lt;="&amp;$B73)&gt;0,"NA",AVERAGEIFS(monthly!R:R,monthly!$A:$A,"&gt;="&amp;$A73,monthly!$B:$B,"&lt;="&amp;$B73))</f>
        <v>9.1902631578947336</v>
      </c>
      <c r="AA73">
        <f>IF(COUNTIFS(monthly!S:S,"",monthly!$A:$A,"&gt;="&amp;$A73,monthly!$B:$B,"&lt;="&amp;$B73)&gt;0,"NA",AVERAGEIFS(monthly!S:S,monthly!$A:$A,"&gt;="&amp;$A73,monthly!$B:$B,"&lt;="&amp;$B73))</f>
        <v>4.2847368421052661</v>
      </c>
      <c r="AB73" t="str">
        <f>IF(COUNTIFS(monthly!T:T,"",monthly!$A:$A,"&gt;="&amp;$A73,monthly!$B:$B,"&lt;="&amp;$B73)&gt;0,"NA",AVERAGEIFS(monthly!T:T,monthly!$A:$A,"&gt;="&amp;$A73,monthly!$B:$B,"&lt;="&amp;$B73))</f>
        <v>NA</v>
      </c>
      <c r="AC73" t="str">
        <f>IF(COUNTIFS(monthly!U:U,"",monthly!$A:$A,"&gt;="&amp;$A73,monthly!$B:$B,"&lt;="&amp;$B73)&gt;0,"NA",AVERAGEIFS(monthly!U:U,monthly!$A:$A,"&gt;="&amp;$A73,monthly!$B:$B,"&lt;="&amp;$B73))</f>
        <v>NA</v>
      </c>
      <c r="AD73" t="str">
        <f>IF(COUNTIFS(monthly!V:V,"",monthly!$A:$A,"&gt;="&amp;$A73,monthly!$B:$B,"&lt;="&amp;$B73)&gt;0,"NA",AVERAGEIFS(monthly!V:V,monthly!$A:$A,"&gt;="&amp;$A73,monthly!$B:$B,"&lt;="&amp;$B73))</f>
        <v>NA</v>
      </c>
      <c r="AE73">
        <f>IF(COUNTIFS(monthly!W:W,"",monthly!$A:$A,"&gt;="&amp;$A73,monthly!$B:$B,"&lt;="&amp;$B73)&gt;0,"NA",AVERAGEIFS(monthly!W:W,monthly!$A:$A,"&gt;="&amp;$A73,monthly!$B:$B,"&lt;="&amp;$B73))</f>
        <v>98.606037139892578</v>
      </c>
      <c r="AF73">
        <f>IF(COUNTIFS(monthly!X:X,"",monthly!$A:$A,"&gt;="&amp;$A73,monthly!$B:$B,"&lt;="&amp;$B73)&gt;0,"NA",AVERAGEIFS(monthly!X:X,monthly!$A:$A,"&gt;="&amp;$A73,monthly!$B:$B,"&lt;="&amp;$B73))</f>
        <v>110.75025939941406</v>
      </c>
      <c r="AG73">
        <f>IF(COUNTIFS(monthly!Y:Y,"",monthly!$A:$A,"&gt;="&amp;$A73,monthly!$B:$B,"&lt;="&amp;$B73)&gt;0,"NA",AVERAGEIFS(monthly!Y:Y,monthly!$A:$A,"&gt;="&amp;$A73,monthly!$B:$B,"&lt;="&amp;$B73))</f>
        <v>82.355327606201172</v>
      </c>
      <c r="AH73">
        <f>IF(COUNTIFS(monthly!Z:Z,"",monthly!$A:$A,"&gt;="&amp;$A73,monthly!$B:$B,"&lt;="&amp;$B73)&gt;0,"NA",AVERAGEIFS(monthly!Z:Z,monthly!$A:$A,"&gt;="&amp;$A73,monthly!$B:$B,"&lt;="&amp;$B73))</f>
        <v>9.6825314685702324E-2</v>
      </c>
    </row>
    <row r="74" spans="1:34" x14ac:dyDescent="0.2">
      <c r="A74" s="1">
        <v>32143</v>
      </c>
      <c r="B74" s="1">
        <v>32232</v>
      </c>
      <c r="C74">
        <f>IF(ISBLANK(VLOOKUP($A74,quarterly_data,MATCH(C$1,quarterly!$1:$1,FALSE),FALSE)),"NA",VLOOKUP($A74,quarterly_data,MATCH(C$1,quarterly!$1:$1,FALSE),FALSE))</f>
        <v>99.205587171224735</v>
      </c>
      <c r="D74">
        <f>IF(ISBLANK(VLOOKUP($A74,quarterly_data,MATCH(D$1,quarterly!$1:$1,FALSE),FALSE)),"NA",VLOOKUP($A74,quarterly_data,MATCH(D$1,quarterly!$1:$1,FALSE),FALSE))</f>
        <v>49</v>
      </c>
      <c r="E74">
        <f>IF(ISBLANK(VLOOKUP($A74,quarterly_data,MATCH(E$1,quarterly!$1:$1,FALSE),FALSE)),"NA",VLOOKUP($A74,quarterly_data,MATCH(E$1,quarterly!$1:$1,FALSE),FALSE))</f>
        <v>0.23657439999999999</v>
      </c>
      <c r="F74">
        <f>IF(ISBLANK(VLOOKUP($A74,quarterly_data,MATCH(F$1,quarterly!$1:$1,FALSE),FALSE)),"NA",VLOOKUP($A74,quarterly_data,MATCH(F$1,quarterly!$1:$1,FALSE),FALSE))</f>
        <v>5.2001800000000001E-2</v>
      </c>
      <c r="G74">
        <f>IF(ISBLANK(VLOOKUP($A74,quarterly_data,MATCH(G$1,quarterly!$1:$1,FALSE),FALSE)),"NA",VLOOKUP($A74,quarterly_data,MATCH(G$1,quarterly!$1:$1,FALSE),FALSE))</f>
        <v>9367.5020000000004</v>
      </c>
      <c r="H74">
        <f>IF(ISBLANK(VLOOKUP($A74,quarterly_data,MATCH(H$1,quarterly!$1:$1,FALSE),FALSE)),"NA",VLOOKUP($A74,quarterly_data,MATCH(H$1,quarterly!$1:$1,FALSE),FALSE))</f>
        <v>236610</v>
      </c>
      <c r="I74">
        <f>IF(ISBLANK(VLOOKUP($A74,quarterly_data,MATCH(I$1,quarterly!$1:$1,FALSE),FALSE)),"NA",VLOOKUP($A74,quarterly_data,MATCH(I$1,quarterly!$1:$1,FALSE),FALSE))</f>
        <v>1.7</v>
      </c>
      <c r="J74">
        <f>IF(ISBLANK(VLOOKUP($A74,quarterly_data,MATCH(J$1,quarterly!$1:$1,FALSE),FALSE)),"NA",VLOOKUP($A74,quarterly_data,MATCH(J$1,quarterly!$1:$1,FALSE),FALSE))</f>
        <v>33.630000000000003</v>
      </c>
      <c r="K74">
        <f>IF(COUNTIFS(monthly!C:C,"",monthly!$A:$A,"&gt;="&amp;$A74,monthly!$B:$B,"&lt;="&amp;$B74)&gt;0,"NA",AVERAGEIFS(monthly!C:C,monthly!$A:$A,"&gt;="&amp;$A74,monthly!$B:$B,"&lt;="&amp;$B74))</f>
        <v>52.8</v>
      </c>
      <c r="L74">
        <f>IF(COUNTIFS(monthly!D:D,"",monthly!$A:$A,"&gt;="&amp;$A74,monthly!$B:$B,"&lt;="&amp;$B74)&gt;0,"NA",AVERAGEIFS(monthly!D:D,monthly!$A:$A,"&gt;="&amp;$A74,monthly!$B:$B,"&lt;="&amp;$B74))</f>
        <v>0.71679999999999999</v>
      </c>
      <c r="M74">
        <f>IF(COUNTIFS(monthly!E:E,"",monthly!$A:$A,"&gt;="&amp;$A74,monthly!$B:$B,"&lt;="&amp;$B74)&gt;0,"NA",AVERAGEIFS(monthly!E:E,monthly!$A:$A,"&gt;="&amp;$A74,monthly!$B:$B,"&lt;="&amp;$B74))</f>
        <v>32.667688072658997</v>
      </c>
      <c r="N74" t="str">
        <f>IF(COUNTIFS(monthly!F:F,"",monthly!$A:$A,"&gt;="&amp;$A74,monthly!$B:$B,"&lt;="&amp;$B74)&gt;0,"NA",AVERAGEIFS(monthly!F:F,monthly!$A:$A,"&gt;="&amp;$A74,monthly!$B:$B,"&lt;="&amp;$B74))</f>
        <v>NA</v>
      </c>
      <c r="O74">
        <f>IF(COUNTIFS(monthly!G:G,"",monthly!$A:$A,"&gt;="&amp;$A74,monthly!$B:$B,"&lt;="&amp;$B74)&gt;0,"NA",AVERAGEIFS(monthly!G:G,monthly!$A:$A,"&gt;="&amp;$A74,monthly!$B:$B,"&lt;="&amp;$B74))</f>
        <v>24.3</v>
      </c>
      <c r="P74">
        <f>IF(COUNTIFS(monthly!H:H,"",monthly!$A:$A,"&gt;="&amp;$A74,monthly!$B:$B,"&lt;="&amp;$B74)&gt;0,"NA",AVERAGEIFS(monthly!H:H,monthly!$A:$A,"&gt;="&amp;$A74,monthly!$B:$B,"&lt;="&amp;$B74))</f>
        <v>31</v>
      </c>
      <c r="Q74">
        <f>IF(COUNTIFS(monthly!I:I,"",monthly!$A:$A,"&gt;="&amp;$A74,monthly!$B:$B,"&lt;="&amp;$B74)&gt;0,"NA",AVERAGEIFS(monthly!I:I,monthly!$A:$A,"&gt;="&amp;$A74,monthly!$B:$B,"&lt;="&amp;$B74))</f>
        <v>16.350000000000001</v>
      </c>
      <c r="R74">
        <f>IF(COUNTIFS(monthly!J:J,"",monthly!$A:$A,"&gt;="&amp;$A74,monthly!$B:$B,"&lt;="&amp;$B74)&gt;0,"NA",AVERAGEIFS(monthly!J:J,monthly!$A:$A,"&gt;="&amp;$A74,monthly!$B:$B,"&lt;="&amp;$B74))</f>
        <v>3.34</v>
      </c>
      <c r="S74">
        <f>IF(COUNTIFS(monthly!K:K,"",monthly!$A:$A,"&gt;="&amp;$A74,monthly!$B:$B,"&lt;="&amp;$B74)&gt;0,"NA",AVERAGEIFS(monthly!K:K,monthly!$A:$A,"&gt;="&amp;$A74,monthly!$B:$B,"&lt;="&amp;$B74))</f>
        <v>10.235877192982457</v>
      </c>
      <c r="T74">
        <f>IF(COUNTIFS(monthly!L:L,"",monthly!$A:$A,"&gt;="&amp;$A74,monthly!$B:$B,"&lt;="&amp;$B74)&gt;0,"NA",AVERAGEIFS(monthly!L:L,monthly!$A:$A,"&gt;="&amp;$A74,monthly!$B:$B,"&lt;="&amp;$B74))</f>
        <v>6.708314794215795</v>
      </c>
      <c r="U74">
        <f>IF(COUNTIFS(monthly!M:M,"",monthly!$A:$A,"&gt;="&amp;$A74,monthly!$B:$B,"&lt;="&amp;$B74)&gt;0,"NA",AVERAGEIFS(monthly!M:M,monthly!$A:$A,"&gt;="&amp;$A74,monthly!$B:$B,"&lt;="&amp;$B74))</f>
        <v>3.5275623987666611</v>
      </c>
      <c r="V74" t="str">
        <f>IF(COUNTIFS(monthly!N:N,"",monthly!$A:$A,"&gt;="&amp;$A74,monthly!$B:$B,"&lt;="&amp;$B74)&gt;0,"NA",AVERAGEIFS(monthly!N:N,monthly!$A:$A,"&gt;="&amp;$A74,monthly!$B:$B,"&lt;="&amp;$B74))</f>
        <v>NA</v>
      </c>
      <c r="W74">
        <f>IF(COUNTIFS(monthly!O:O,"",monthly!$A:$A,"&gt;="&amp;$A74,monthly!$B:$B,"&lt;="&amp;$B74)&gt;0,"NA",AVERAGEIFS(monthly!O:O,monthly!$A:$A,"&gt;="&amp;$A74,monthly!$B:$B,"&lt;="&amp;$B74))</f>
        <v>7.4052499999999988</v>
      </c>
      <c r="X74" t="str">
        <f>IF(COUNTIFS(monthly!P:P,"",monthly!$A:$A,"&gt;="&amp;$A74,monthly!$B:$B,"&lt;="&amp;$B74)&gt;0,"NA",AVERAGEIFS(monthly!P:P,monthly!$A:$A,"&gt;="&amp;$A74,monthly!$B:$B,"&lt;="&amp;$B74))</f>
        <v>NA</v>
      </c>
      <c r="Y74">
        <f>IF(COUNTIFS(monthly!Q:Q,"",monthly!$A:$A,"&gt;="&amp;$A74,monthly!$B:$B,"&lt;="&amp;$B74)&gt;0,"NA",AVERAGEIFS(monthly!Q:Q,monthly!$A:$A,"&gt;="&amp;$A74,monthly!$B:$B,"&lt;="&amp;$B74))</f>
        <v>12.350000000000001</v>
      </c>
      <c r="Z74">
        <f>IF(COUNTIFS(monthly!R:R,"",monthly!$A:$A,"&gt;="&amp;$A74,monthly!$B:$B,"&lt;="&amp;$B74)&gt;0,"NA",AVERAGEIFS(monthly!R:R,monthly!$A:$A,"&gt;="&amp;$A74,monthly!$B:$B,"&lt;="&amp;$B74))</f>
        <v>8.438894736842105</v>
      </c>
      <c r="AA74">
        <f>IF(COUNTIFS(monthly!S:S,"",monthly!$A:$A,"&gt;="&amp;$A74,monthly!$B:$B,"&lt;="&amp;$B74)&gt;0,"NA",AVERAGEIFS(monthly!S:S,monthly!$A:$A,"&gt;="&amp;$A74,monthly!$B:$B,"&lt;="&amp;$B74))</f>
        <v>3.9111052631578964</v>
      </c>
      <c r="AB74" t="str">
        <f>IF(COUNTIFS(monthly!T:T,"",monthly!$A:$A,"&gt;="&amp;$A74,monthly!$B:$B,"&lt;="&amp;$B74)&gt;0,"NA",AVERAGEIFS(monthly!T:T,monthly!$A:$A,"&gt;="&amp;$A74,monthly!$B:$B,"&lt;="&amp;$B74))</f>
        <v>NA</v>
      </c>
      <c r="AC74" t="str">
        <f>IF(COUNTIFS(monthly!U:U,"",monthly!$A:$A,"&gt;="&amp;$A74,monthly!$B:$B,"&lt;="&amp;$B74)&gt;0,"NA",AVERAGEIFS(monthly!U:U,monthly!$A:$A,"&gt;="&amp;$A74,monthly!$B:$B,"&lt;="&amp;$B74))</f>
        <v>NA</v>
      </c>
      <c r="AD74" t="str">
        <f>IF(COUNTIFS(monthly!V:V,"",monthly!$A:$A,"&gt;="&amp;$A74,monthly!$B:$B,"&lt;="&amp;$B74)&gt;0,"NA",AVERAGEIFS(monthly!V:V,monthly!$A:$A,"&gt;="&amp;$A74,monthly!$B:$B,"&lt;="&amp;$B74))</f>
        <v>NA</v>
      </c>
      <c r="AE74">
        <f>IF(COUNTIFS(monthly!W:W,"",monthly!$A:$A,"&gt;="&amp;$A74,monthly!$B:$B,"&lt;="&amp;$B74)&gt;0,"NA",AVERAGEIFS(monthly!W:W,monthly!$A:$A,"&gt;="&amp;$A74,monthly!$B:$B,"&lt;="&amp;$B74))</f>
        <v>84.703838348388672</v>
      </c>
      <c r="AF74">
        <f>IF(COUNTIFS(monthly!X:X,"",monthly!$A:$A,"&gt;="&amp;$A74,monthly!$B:$B,"&lt;="&amp;$B74)&gt;0,"NA",AVERAGEIFS(monthly!X:X,monthly!$A:$A,"&gt;="&amp;$A74,monthly!$B:$B,"&lt;="&amp;$B74))</f>
        <v>88.665088653564453</v>
      </c>
      <c r="AG74">
        <f>IF(COUNTIFS(monthly!Y:Y,"",monthly!$A:$A,"&gt;="&amp;$A74,monthly!$B:$B,"&lt;="&amp;$B74)&gt;0,"NA",AVERAGEIFS(monthly!Y:Y,monthly!$A:$A,"&gt;="&amp;$A74,monthly!$B:$B,"&lt;="&amp;$B74))</f>
        <v>73.359336853027344</v>
      </c>
      <c r="AH74">
        <f>IF(COUNTIFS(monthly!Z:Z,"",monthly!$A:$A,"&gt;="&amp;$A74,monthly!$B:$B,"&lt;="&amp;$B74)&gt;0,"NA",AVERAGEIFS(monthly!Z:Z,monthly!$A:$A,"&gt;="&amp;$A74,monthly!$B:$B,"&lt;="&amp;$B74))</f>
        <v>2.6081770658493042E-2</v>
      </c>
    </row>
    <row r="75" spans="1:34" x14ac:dyDescent="0.2">
      <c r="A75" s="1">
        <v>32234</v>
      </c>
      <c r="B75" s="1">
        <v>32324</v>
      </c>
      <c r="C75">
        <f>IF(ISBLANK(VLOOKUP($A75,quarterly_data,MATCH(C$1,quarterly!$1:$1,FALSE),FALSE)),"NA",VLOOKUP($A75,quarterly_data,MATCH(C$1,quarterly!$1:$1,FALSE),FALSE))</f>
        <v>107.46640605267092</v>
      </c>
      <c r="D75">
        <f>IF(ISBLANK(VLOOKUP($A75,quarterly_data,MATCH(D$1,quarterly!$1:$1,FALSE),FALSE)),"NA",VLOOKUP($A75,quarterly_data,MATCH(D$1,quarterly!$1:$1,FALSE),FALSE))</f>
        <v>51.1</v>
      </c>
      <c r="E75">
        <f>IF(ISBLANK(VLOOKUP($A75,quarterly_data,MATCH(E$1,quarterly!$1:$1,FALSE),FALSE)),"NA",VLOOKUP($A75,quarterly_data,MATCH(E$1,quarterly!$1:$1,FALSE),FALSE))</f>
        <v>0</v>
      </c>
      <c r="F75">
        <f>IF(ISBLANK(VLOOKUP($A75,quarterly_data,MATCH(F$1,quarterly!$1:$1,FALSE),FALSE)),"NA",VLOOKUP($A75,quarterly_data,MATCH(F$1,quarterly!$1:$1,FALSE),FALSE))</f>
        <v>2.5219700000000001E-2</v>
      </c>
      <c r="G75">
        <f>IF(ISBLANK(VLOOKUP($A75,quarterly_data,MATCH(G$1,quarterly!$1:$1,FALSE),FALSE)),"NA",VLOOKUP($A75,quarterly_data,MATCH(G$1,quarterly!$1:$1,FALSE),FALSE))</f>
        <v>9490.5939999999991</v>
      </c>
      <c r="H75">
        <f>IF(ISBLANK(VLOOKUP($A75,quarterly_data,MATCH(H$1,quarterly!$1:$1,FALSE),FALSE)),"NA",VLOOKUP($A75,quarterly_data,MATCH(H$1,quarterly!$1:$1,FALSE),FALSE))</f>
        <v>236840</v>
      </c>
      <c r="I75">
        <f>IF(ISBLANK(VLOOKUP($A75,quarterly_data,MATCH(I$1,quarterly!$1:$1,FALSE),FALSE)),"NA",VLOOKUP($A75,quarterly_data,MATCH(I$1,quarterly!$1:$1,FALSE),FALSE))</f>
        <v>1.9</v>
      </c>
      <c r="J75">
        <f>IF(ISBLANK(VLOOKUP($A75,quarterly_data,MATCH(J$1,quarterly!$1:$1,FALSE),FALSE)),"NA",VLOOKUP($A75,quarterly_data,MATCH(J$1,quarterly!$1:$1,FALSE),FALSE))</f>
        <v>34.21</v>
      </c>
      <c r="K75">
        <f>IF(COUNTIFS(monthly!C:C,"",monthly!$A:$A,"&gt;="&amp;$A75,monthly!$B:$B,"&lt;="&amp;$B75)&gt;0,"NA",AVERAGEIFS(monthly!C:C,monthly!$A:$A,"&gt;="&amp;$A75,monthly!$B:$B,"&lt;="&amp;$B75))</f>
        <v>57.966666666666661</v>
      </c>
      <c r="L75">
        <f>IF(COUNTIFS(monthly!D:D,"",monthly!$A:$A,"&gt;="&amp;$A75,monthly!$B:$B,"&lt;="&amp;$B75)&gt;0,"NA",AVERAGEIFS(monthly!D:D,monthly!$A:$A,"&gt;="&amp;$A75,monthly!$B:$B,"&lt;="&amp;$B75))</f>
        <v>0.78586666666666671</v>
      </c>
      <c r="M75">
        <f>IF(COUNTIFS(monthly!E:E,"",monthly!$A:$A,"&gt;="&amp;$A75,monthly!$B:$B,"&lt;="&amp;$B75)&gt;0,"NA",AVERAGEIFS(monthly!E:E,monthly!$A:$A,"&gt;="&amp;$A75,monthly!$B:$B,"&lt;="&amp;$B75))</f>
        <v>36.396687230471294</v>
      </c>
      <c r="N75" t="str">
        <f>IF(COUNTIFS(monthly!F:F,"",monthly!$A:$A,"&gt;="&amp;$A75,monthly!$B:$B,"&lt;="&amp;$B75)&gt;0,"NA",AVERAGEIFS(monthly!F:F,monthly!$A:$A,"&gt;="&amp;$A75,monthly!$B:$B,"&lt;="&amp;$B75))</f>
        <v>NA</v>
      </c>
      <c r="O75">
        <f>IF(COUNTIFS(monthly!G:G,"",monthly!$A:$A,"&gt;="&amp;$A75,monthly!$B:$B,"&lt;="&amp;$B75)&gt;0,"NA",AVERAGEIFS(monthly!G:G,monthly!$A:$A,"&gt;="&amp;$A75,monthly!$B:$B,"&lt;="&amp;$B75))</f>
        <v>24.3</v>
      </c>
      <c r="P75">
        <f>IF(COUNTIFS(monthly!H:H,"",monthly!$A:$A,"&gt;="&amp;$A75,monthly!$B:$B,"&lt;="&amp;$B75)&gt;0,"NA",AVERAGEIFS(monthly!H:H,monthly!$A:$A,"&gt;="&amp;$A75,monthly!$B:$B,"&lt;="&amp;$B75))</f>
        <v>34</v>
      </c>
      <c r="Q75">
        <f>IF(COUNTIFS(monthly!I:I,"",monthly!$A:$A,"&gt;="&amp;$A75,monthly!$B:$B,"&lt;="&amp;$B75)&gt;0,"NA",AVERAGEIFS(monthly!I:I,monthly!$A:$A,"&gt;="&amp;$A75,monthly!$B:$B,"&lt;="&amp;$B75))</f>
        <v>16.2</v>
      </c>
      <c r="R75">
        <f>IF(COUNTIFS(monthly!J:J,"",monthly!$A:$A,"&gt;="&amp;$A75,monthly!$B:$B,"&lt;="&amp;$B75)&gt;0,"NA",AVERAGEIFS(monthly!J:J,monthly!$A:$A,"&gt;="&amp;$A75,monthly!$B:$B,"&lt;="&amp;$B75))</f>
        <v>3.34</v>
      </c>
      <c r="S75">
        <f>IF(COUNTIFS(monthly!K:K,"",monthly!$A:$A,"&gt;="&amp;$A75,monthly!$B:$B,"&lt;="&amp;$B75)&gt;0,"NA",AVERAGEIFS(monthly!K:K,monthly!$A:$A,"&gt;="&amp;$A75,monthly!$B:$B,"&lt;="&amp;$B75))</f>
        <v>11.228020683020683</v>
      </c>
      <c r="T75">
        <f>IF(COUNTIFS(monthly!L:L,"",monthly!$A:$A,"&gt;="&amp;$A75,monthly!$B:$B,"&lt;="&amp;$B75)&gt;0,"NA",AVERAGEIFS(monthly!L:L,monthly!$A:$A,"&gt;="&amp;$A75,monthly!$B:$B,"&lt;="&amp;$B75))</f>
        <v>7.1557060931899654</v>
      </c>
      <c r="U75">
        <f>IF(COUNTIFS(monthly!M:M,"",monthly!$A:$A,"&gt;="&amp;$A75,monthly!$B:$B,"&lt;="&amp;$B75)&gt;0,"NA",AVERAGEIFS(monthly!M:M,monthly!$A:$A,"&gt;="&amp;$A75,monthly!$B:$B,"&lt;="&amp;$B75))</f>
        <v>4.072314589830718</v>
      </c>
      <c r="V75" t="str">
        <f>IF(COUNTIFS(monthly!N:N,"",monthly!$A:$A,"&gt;="&amp;$A75,monthly!$B:$B,"&lt;="&amp;$B75)&gt;0,"NA",AVERAGEIFS(monthly!N:N,monthly!$A:$A,"&gt;="&amp;$A75,monthly!$B:$B,"&lt;="&amp;$B75))</f>
        <v>NA</v>
      </c>
      <c r="W75">
        <f>IF(COUNTIFS(monthly!O:O,"",monthly!$A:$A,"&gt;="&amp;$A75,monthly!$B:$B,"&lt;="&amp;$B75)&gt;0,"NA",AVERAGEIFS(monthly!O:O,monthly!$A:$A,"&gt;="&amp;$A75,monthly!$B:$B,"&lt;="&amp;$B75))</f>
        <v>7.8703744588744584</v>
      </c>
      <c r="X75" t="str">
        <f>IF(COUNTIFS(monthly!P:P,"",monthly!$A:$A,"&gt;="&amp;$A75,monthly!$B:$B,"&lt;="&amp;$B75)&gt;0,"NA",AVERAGEIFS(monthly!P:P,monthly!$A:$A,"&gt;="&amp;$A75,monthly!$B:$B,"&lt;="&amp;$B75))</f>
        <v>NA</v>
      </c>
      <c r="Y75">
        <f>IF(COUNTIFS(monthly!Q:Q,"",monthly!$A:$A,"&gt;="&amp;$A75,monthly!$B:$B,"&lt;="&amp;$B75)&gt;0,"NA",AVERAGEIFS(monthly!Q:Q,monthly!$A:$A,"&gt;="&amp;$A75,monthly!$B:$B,"&lt;="&amp;$B75))</f>
        <v>11.916666666666666</v>
      </c>
      <c r="Z75">
        <f>IF(COUNTIFS(monthly!R:R,"",monthly!$A:$A,"&gt;="&amp;$A75,monthly!$B:$B,"&lt;="&amp;$B75)&gt;0,"NA",AVERAGEIFS(monthly!R:R,monthly!$A:$A,"&gt;="&amp;$A75,monthly!$B:$B,"&lt;="&amp;$B75))</f>
        <v>8.909637085137085</v>
      </c>
      <c r="AA75">
        <f>IF(COUNTIFS(monthly!S:S,"",monthly!$A:$A,"&gt;="&amp;$A75,monthly!$B:$B,"&lt;="&amp;$B75)&gt;0,"NA",AVERAGEIFS(monthly!S:S,monthly!$A:$A,"&gt;="&amp;$A75,monthly!$B:$B,"&lt;="&amp;$B75))</f>
        <v>3.0070295815295824</v>
      </c>
      <c r="AB75" t="str">
        <f>IF(COUNTIFS(monthly!T:T,"",monthly!$A:$A,"&gt;="&amp;$A75,monthly!$B:$B,"&lt;="&amp;$B75)&gt;0,"NA",AVERAGEIFS(monthly!T:T,monthly!$A:$A,"&gt;="&amp;$A75,monthly!$B:$B,"&lt;="&amp;$B75))</f>
        <v>NA</v>
      </c>
      <c r="AC75" t="str">
        <f>IF(COUNTIFS(monthly!U:U,"",monthly!$A:$A,"&gt;="&amp;$A75,monthly!$B:$B,"&lt;="&amp;$B75)&gt;0,"NA",AVERAGEIFS(monthly!U:U,monthly!$A:$A,"&gt;="&amp;$A75,monthly!$B:$B,"&lt;="&amp;$B75))</f>
        <v>NA</v>
      </c>
      <c r="AD75" t="str">
        <f>IF(COUNTIFS(monthly!V:V,"",monthly!$A:$A,"&gt;="&amp;$A75,monthly!$B:$B,"&lt;="&amp;$B75)&gt;0,"NA",AVERAGEIFS(monthly!V:V,monthly!$A:$A,"&gt;="&amp;$A75,monthly!$B:$B,"&lt;="&amp;$B75))</f>
        <v>NA</v>
      </c>
      <c r="AE75">
        <f>IF(COUNTIFS(monthly!W:W,"",monthly!$A:$A,"&gt;="&amp;$A75,monthly!$B:$B,"&lt;="&amp;$B75)&gt;0,"NA",AVERAGEIFS(monthly!W:W,monthly!$A:$A,"&gt;="&amp;$A75,monthly!$B:$B,"&lt;="&amp;$B75))</f>
        <v>101.34403737386067</v>
      </c>
      <c r="AF75">
        <f>IF(COUNTIFS(monthly!X:X,"",monthly!$A:$A,"&gt;="&amp;$A75,monthly!$B:$B,"&lt;="&amp;$B75)&gt;0,"NA",AVERAGEIFS(monthly!X:X,monthly!$A:$A,"&gt;="&amp;$A75,monthly!$B:$B,"&lt;="&amp;$B75))</f>
        <v>98.165685017903641</v>
      </c>
      <c r="AG75">
        <f>IF(COUNTIFS(monthly!Y:Y,"",monthly!$A:$A,"&gt;="&amp;$A75,monthly!$B:$B,"&lt;="&amp;$B75)&gt;0,"NA",AVERAGEIFS(monthly!Y:Y,monthly!$A:$A,"&gt;="&amp;$A75,monthly!$B:$B,"&lt;="&amp;$B75))</f>
        <v>102.23799896240234</v>
      </c>
      <c r="AH75">
        <f>IF(COUNTIFS(monthly!Z:Z,"",monthly!$A:$A,"&gt;="&amp;$A75,monthly!$B:$B,"&lt;="&amp;$B75)&gt;0,"NA",AVERAGEIFS(monthly!Z:Z,monthly!$A:$A,"&gt;="&amp;$A75,monthly!$B:$B,"&lt;="&amp;$B75))</f>
        <v>2.9881431410710018E-2</v>
      </c>
    </row>
    <row r="76" spans="1:34" x14ac:dyDescent="0.2">
      <c r="A76" s="1">
        <v>32325</v>
      </c>
      <c r="B76" s="1">
        <v>32416</v>
      </c>
      <c r="C76">
        <f>IF(ISBLANK(VLOOKUP($A76,quarterly_data,MATCH(C$1,quarterly!$1:$1,FALSE),FALSE)),"NA",VLOOKUP($A76,quarterly_data,MATCH(C$1,quarterly!$1:$1,FALSE),FALSE))</f>
        <v>115.20148615671741</v>
      </c>
      <c r="D76">
        <f>IF(ISBLANK(VLOOKUP($A76,quarterly_data,MATCH(D$1,quarterly!$1:$1,FALSE),FALSE)),"NA",VLOOKUP($A76,quarterly_data,MATCH(D$1,quarterly!$1:$1,FALSE),FALSE))</f>
        <v>53.9</v>
      </c>
      <c r="E76">
        <f>IF(ISBLANK(VLOOKUP($A76,quarterly_data,MATCH(E$1,quarterly!$1:$1,FALSE),FALSE)),"NA",VLOOKUP($A76,quarterly_data,MATCH(E$1,quarterly!$1:$1,FALSE),FALSE))</f>
        <v>7.4222499999999997E-2</v>
      </c>
      <c r="F76">
        <f>IF(ISBLANK(VLOOKUP($A76,quarterly_data,MATCH(F$1,quarterly!$1:$1,FALSE),FALSE)),"NA",VLOOKUP($A76,quarterly_data,MATCH(F$1,quarterly!$1:$1,FALSE),FALSE))</f>
        <v>2.2730299999999998E-2</v>
      </c>
      <c r="G76">
        <f>IF(ISBLANK(VLOOKUP($A76,quarterly_data,MATCH(G$1,quarterly!$1:$1,FALSE),FALSE)),"NA",VLOOKUP($A76,quarterly_data,MATCH(G$1,quarterly!$1:$1,FALSE),FALSE))</f>
        <v>9546.2060000000001</v>
      </c>
      <c r="H76">
        <f>IF(ISBLANK(VLOOKUP($A76,quarterly_data,MATCH(H$1,quarterly!$1:$1,FALSE),FALSE)),"NA",VLOOKUP($A76,quarterly_data,MATCH(H$1,quarterly!$1:$1,FALSE),FALSE))</f>
        <v>238744</v>
      </c>
      <c r="I76">
        <f>IF(ISBLANK(VLOOKUP($A76,quarterly_data,MATCH(I$1,quarterly!$1:$1,FALSE),FALSE)),"NA",VLOOKUP($A76,quarterly_data,MATCH(I$1,quarterly!$1:$1,FALSE),FALSE))</f>
        <v>1.7</v>
      </c>
      <c r="J76">
        <f>IF(ISBLANK(VLOOKUP($A76,quarterly_data,MATCH(J$1,quarterly!$1:$1,FALSE),FALSE)),"NA",VLOOKUP($A76,quarterly_data,MATCH(J$1,quarterly!$1:$1,FALSE),FALSE))</f>
        <v>34.869999999999997</v>
      </c>
      <c r="K76">
        <f>IF(COUNTIFS(monthly!C:C,"",monthly!$A:$A,"&gt;="&amp;$A76,monthly!$B:$B,"&lt;="&amp;$B76)&gt;0,"NA",AVERAGEIFS(monthly!C:C,monthly!$A:$A,"&gt;="&amp;$A76,monthly!$B:$B,"&lt;="&amp;$B76))</f>
        <v>60.933333333333337</v>
      </c>
      <c r="L76">
        <f>IF(COUNTIFS(monthly!D:D,"",monthly!$A:$A,"&gt;="&amp;$A76,monthly!$B:$B,"&lt;="&amp;$B76)&gt;0,"NA",AVERAGEIFS(monthly!D:D,monthly!$A:$A,"&gt;="&amp;$A76,monthly!$B:$B,"&lt;="&amp;$B76))</f>
        <v>0.79809999999999992</v>
      </c>
      <c r="M76">
        <f>IF(COUNTIFS(monthly!E:E,"",monthly!$A:$A,"&gt;="&amp;$A76,monthly!$B:$B,"&lt;="&amp;$B76)&gt;0,"NA",AVERAGEIFS(monthly!E:E,monthly!$A:$A,"&gt;="&amp;$A76,monthly!$B:$B,"&lt;="&amp;$B76))</f>
        <v>38.472549724619064</v>
      </c>
      <c r="N76" t="str">
        <f>IF(COUNTIFS(monthly!F:F,"",monthly!$A:$A,"&gt;="&amp;$A76,monthly!$B:$B,"&lt;="&amp;$B76)&gt;0,"NA",AVERAGEIFS(monthly!F:F,monthly!$A:$A,"&gt;="&amp;$A76,monthly!$B:$B,"&lt;="&amp;$B76))</f>
        <v>NA</v>
      </c>
      <c r="O76">
        <f>IF(COUNTIFS(monthly!G:G,"",monthly!$A:$A,"&gt;="&amp;$A76,monthly!$B:$B,"&lt;="&amp;$B76)&gt;0,"NA",AVERAGEIFS(monthly!G:G,monthly!$A:$A,"&gt;="&amp;$A76,monthly!$B:$B,"&lt;="&amp;$B76))</f>
        <v>24.3</v>
      </c>
      <c r="P76">
        <f>IF(COUNTIFS(monthly!H:H,"",monthly!$A:$A,"&gt;="&amp;$A76,monthly!$B:$B,"&lt;="&amp;$B76)&gt;0,"NA",AVERAGEIFS(monthly!H:H,monthly!$A:$A,"&gt;="&amp;$A76,monthly!$B:$B,"&lt;="&amp;$B76))</f>
        <v>36.333333333333336</v>
      </c>
      <c r="Q76">
        <f>IF(COUNTIFS(monthly!I:I,"",monthly!$A:$A,"&gt;="&amp;$A76,monthly!$B:$B,"&lt;="&amp;$B76)&gt;0,"NA",AVERAGEIFS(monthly!I:I,monthly!$A:$A,"&gt;="&amp;$A76,monthly!$B:$B,"&lt;="&amp;$B76))</f>
        <v>14.4</v>
      </c>
      <c r="R76">
        <f>IF(COUNTIFS(monthly!J:J,"",monthly!$A:$A,"&gt;="&amp;$A76,monthly!$B:$B,"&lt;="&amp;$B76)&gt;0,"NA",AVERAGEIFS(monthly!J:J,monthly!$A:$A,"&gt;="&amp;$A76,monthly!$B:$B,"&lt;="&amp;$B76))</f>
        <v>3.34</v>
      </c>
      <c r="S76">
        <f>IF(COUNTIFS(monthly!K:K,"",monthly!$A:$A,"&gt;="&amp;$A76,monthly!$B:$B,"&lt;="&amp;$B76)&gt;0,"NA",AVERAGEIFS(monthly!K:K,monthly!$A:$A,"&gt;="&amp;$A76,monthly!$B:$B,"&lt;="&amp;$B76))</f>
        <v>12.451975343497082</v>
      </c>
      <c r="T76">
        <f>IF(COUNTIFS(monthly!L:L,"",monthly!$A:$A,"&gt;="&amp;$A76,monthly!$B:$B,"&lt;="&amp;$B76)&gt;0,"NA",AVERAGEIFS(monthly!L:L,monthly!$A:$A,"&gt;="&amp;$A76,monthly!$B:$B,"&lt;="&amp;$B76))</f>
        <v>7.9857347670250904</v>
      </c>
      <c r="U76">
        <f>IF(COUNTIFS(monthly!M:M,"",monthly!$A:$A,"&gt;="&amp;$A76,monthly!$B:$B,"&lt;="&amp;$B76)&gt;0,"NA",AVERAGEIFS(monthly!M:M,monthly!$A:$A,"&gt;="&amp;$A76,monthly!$B:$B,"&lt;="&amp;$B76))</f>
        <v>4.4662405764719919</v>
      </c>
      <c r="V76" t="str">
        <f>IF(COUNTIFS(monthly!N:N,"",monthly!$A:$A,"&gt;="&amp;$A76,monthly!$B:$B,"&lt;="&amp;$B76)&gt;0,"NA",AVERAGEIFS(monthly!N:N,monthly!$A:$A,"&gt;="&amp;$A76,monthly!$B:$B,"&lt;="&amp;$B76))</f>
        <v>NA</v>
      </c>
      <c r="W76">
        <f>IF(COUNTIFS(monthly!O:O,"",monthly!$A:$A,"&gt;="&amp;$A76,monthly!$B:$B,"&lt;="&amp;$B76)&gt;0,"NA",AVERAGEIFS(monthly!O:O,monthly!$A:$A,"&gt;="&amp;$A76,monthly!$B:$B,"&lt;="&amp;$B76))</f>
        <v>8.45700966183575</v>
      </c>
      <c r="X76" t="str">
        <f>IF(COUNTIFS(monthly!P:P,"",monthly!$A:$A,"&gt;="&amp;$A76,monthly!$B:$B,"&lt;="&amp;$B76)&gt;0,"NA",AVERAGEIFS(monthly!P:P,monthly!$A:$A,"&gt;="&amp;$A76,monthly!$B:$B,"&lt;="&amp;$B76))</f>
        <v>NA</v>
      </c>
      <c r="Y76">
        <f>IF(COUNTIFS(monthly!Q:Q,"",monthly!$A:$A,"&gt;="&amp;$A76,monthly!$B:$B,"&lt;="&amp;$B76)&gt;0,"NA",AVERAGEIFS(monthly!Q:Q,monthly!$A:$A,"&gt;="&amp;$A76,monthly!$B:$B,"&lt;="&amp;$B76))</f>
        <v>11.9</v>
      </c>
      <c r="Z76">
        <f>IF(COUNTIFS(monthly!R:R,"",monthly!$A:$A,"&gt;="&amp;$A76,monthly!$B:$B,"&lt;="&amp;$B76)&gt;0,"NA",AVERAGEIFS(monthly!R:R,monthly!$A:$A,"&gt;="&amp;$A76,monthly!$B:$B,"&lt;="&amp;$B76))</f>
        <v>9.0978592132505174</v>
      </c>
      <c r="AA76">
        <f>IF(COUNTIFS(monthly!S:S,"",monthly!$A:$A,"&gt;="&amp;$A76,monthly!$B:$B,"&lt;="&amp;$B76)&gt;0,"NA",AVERAGEIFS(monthly!S:S,monthly!$A:$A,"&gt;="&amp;$A76,monthly!$B:$B,"&lt;="&amp;$B76))</f>
        <v>2.8021407867494825</v>
      </c>
      <c r="AB76" t="str">
        <f>IF(COUNTIFS(monthly!T:T,"",monthly!$A:$A,"&gt;="&amp;$A76,monthly!$B:$B,"&lt;="&amp;$B76)&gt;0,"NA",AVERAGEIFS(monthly!T:T,monthly!$A:$A,"&gt;="&amp;$A76,monthly!$B:$B,"&lt;="&amp;$B76))</f>
        <v>NA</v>
      </c>
      <c r="AC76" t="str">
        <f>IF(COUNTIFS(monthly!U:U,"",monthly!$A:$A,"&gt;="&amp;$A76,monthly!$B:$B,"&lt;="&amp;$B76)&gt;0,"NA",AVERAGEIFS(monthly!U:U,monthly!$A:$A,"&gt;="&amp;$A76,monthly!$B:$B,"&lt;="&amp;$B76))</f>
        <v>NA</v>
      </c>
      <c r="AD76" t="str">
        <f>IF(COUNTIFS(monthly!V:V,"",monthly!$A:$A,"&gt;="&amp;$A76,monthly!$B:$B,"&lt;="&amp;$B76)&gt;0,"NA",AVERAGEIFS(monthly!V:V,monthly!$A:$A,"&gt;="&amp;$A76,monthly!$B:$B,"&lt;="&amp;$B76))</f>
        <v>NA</v>
      </c>
      <c r="AE76">
        <f>IF(COUNTIFS(monthly!W:W,"",monthly!$A:$A,"&gt;="&amp;$A76,monthly!$B:$B,"&lt;="&amp;$B76)&gt;0,"NA",AVERAGEIFS(monthly!W:W,monthly!$A:$A,"&gt;="&amp;$A76,monthly!$B:$B,"&lt;="&amp;$B76))</f>
        <v>80.775767008463546</v>
      </c>
      <c r="AF76">
        <f>IF(COUNTIFS(monthly!X:X,"",monthly!$A:$A,"&gt;="&amp;$A76,monthly!$B:$B,"&lt;="&amp;$B76)&gt;0,"NA",AVERAGEIFS(monthly!X:X,monthly!$A:$A,"&gt;="&amp;$A76,monthly!$B:$B,"&lt;="&amp;$B76))</f>
        <v>72.479161580403641</v>
      </c>
      <c r="AG76">
        <f>IF(COUNTIFS(monthly!Y:Y,"",monthly!$A:$A,"&gt;="&amp;$A76,monthly!$B:$B,"&lt;="&amp;$B76)&gt;0,"NA",AVERAGEIFS(monthly!Y:Y,monthly!$A:$A,"&gt;="&amp;$A76,monthly!$B:$B,"&lt;="&amp;$B76))</f>
        <v>87.967628479003906</v>
      </c>
      <c r="AH76">
        <f>IF(COUNTIFS(monthly!Z:Z,"",monthly!$A:$A,"&gt;="&amp;$A76,monthly!$B:$B,"&lt;="&amp;$B76)&gt;0,"NA",AVERAGEIFS(monthly!Z:Z,monthly!$A:$A,"&gt;="&amp;$A76,monthly!$B:$B,"&lt;="&amp;$B76))</f>
        <v>5.6568642457326256E-2</v>
      </c>
    </row>
    <row r="77" spans="1:34" x14ac:dyDescent="0.2">
      <c r="A77" s="1">
        <v>32417</v>
      </c>
      <c r="B77" s="1">
        <v>32507</v>
      </c>
      <c r="C77">
        <f>IF(ISBLANK(VLOOKUP($A77,quarterly_data,MATCH(C$1,quarterly!$1:$1,FALSE),FALSE)),"NA",VLOOKUP($A77,quarterly_data,MATCH(C$1,quarterly!$1:$1,FALSE),FALSE))</f>
        <v>117.78698438204739</v>
      </c>
      <c r="D77">
        <f>IF(ISBLANK(VLOOKUP($A77,quarterly_data,MATCH(D$1,quarterly!$1:$1,FALSE),FALSE)),"NA",VLOOKUP($A77,quarterly_data,MATCH(D$1,quarterly!$1:$1,FALSE),FALSE))</f>
        <v>54.3</v>
      </c>
      <c r="E77">
        <f>IF(ISBLANK(VLOOKUP($A77,quarterly_data,MATCH(E$1,quarterly!$1:$1,FALSE),FALSE)),"NA",VLOOKUP($A77,quarterly_data,MATCH(E$1,quarterly!$1:$1,FALSE),FALSE))</f>
        <v>0</v>
      </c>
      <c r="F77">
        <f>IF(ISBLANK(VLOOKUP($A77,quarterly_data,MATCH(F$1,quarterly!$1:$1,FALSE),FALSE)),"NA",VLOOKUP($A77,quarterly_data,MATCH(F$1,quarterly!$1:$1,FALSE),FALSE))</f>
        <v>7.4222999999999997E-3</v>
      </c>
      <c r="G77">
        <f>IF(ISBLANK(VLOOKUP($A77,quarterly_data,MATCH(G$1,quarterly!$1:$1,FALSE),FALSE)),"NA",VLOOKUP($A77,quarterly_data,MATCH(G$1,quarterly!$1:$1,FALSE),FALSE))</f>
        <v>9673.4050000000007</v>
      </c>
      <c r="H77">
        <f>IF(ISBLANK(VLOOKUP($A77,quarterly_data,MATCH(H$1,quarterly!$1:$1,FALSE),FALSE)),"NA",VLOOKUP($A77,quarterly_data,MATCH(H$1,quarterly!$1:$1,FALSE),FALSE))</f>
        <v>242638</v>
      </c>
      <c r="I77">
        <f>IF(ISBLANK(VLOOKUP($A77,quarterly_data,MATCH(I$1,quarterly!$1:$1,FALSE),FALSE)),"NA",VLOOKUP($A77,quarterly_data,MATCH(I$1,quarterly!$1:$1,FALSE),FALSE))</f>
        <v>1.6</v>
      </c>
      <c r="J77">
        <f>IF(ISBLANK(VLOOKUP($A77,quarterly_data,MATCH(J$1,quarterly!$1:$1,FALSE),FALSE)),"NA",VLOOKUP($A77,quarterly_data,MATCH(J$1,quarterly!$1:$1,FALSE),FALSE))</f>
        <v>35.57</v>
      </c>
      <c r="K77">
        <f>IF(COUNTIFS(monthly!C:C,"",monthly!$A:$A,"&gt;="&amp;$A77,monthly!$B:$B,"&lt;="&amp;$B77)&gt;0,"NA",AVERAGEIFS(monthly!C:C,monthly!$A:$A,"&gt;="&amp;$A77,monthly!$B:$B,"&lt;="&amp;$B77))</f>
        <v>62.400000000000006</v>
      </c>
      <c r="L77">
        <f>IF(COUNTIFS(monthly!D:D,"",monthly!$A:$A,"&gt;="&amp;$A77,monthly!$B:$B,"&lt;="&amp;$B77)&gt;0,"NA",AVERAGEIFS(monthly!D:D,monthly!$A:$A,"&gt;="&amp;$A77,monthly!$B:$B,"&lt;="&amp;$B77))</f>
        <v>0.85185</v>
      </c>
      <c r="M77">
        <f>IF(COUNTIFS(monthly!E:E,"",monthly!$A:$A,"&gt;="&amp;$A77,monthly!$B:$B,"&lt;="&amp;$B77)&gt;0,"NA",AVERAGEIFS(monthly!E:E,monthly!$A:$A,"&gt;="&amp;$A77,monthly!$B:$B,"&lt;="&amp;$B77))</f>
        <v>37.289760661052696</v>
      </c>
      <c r="N77" t="str">
        <f>IF(COUNTIFS(monthly!F:F,"",monthly!$A:$A,"&gt;="&amp;$A77,monthly!$B:$B,"&lt;="&amp;$B77)&gt;0,"NA",AVERAGEIFS(monthly!F:F,monthly!$A:$A,"&gt;="&amp;$A77,monthly!$B:$B,"&lt;="&amp;$B77))</f>
        <v>NA</v>
      </c>
      <c r="O77">
        <f>IF(COUNTIFS(monthly!G:G,"",monthly!$A:$A,"&gt;="&amp;$A77,monthly!$B:$B,"&lt;="&amp;$B77)&gt;0,"NA",AVERAGEIFS(monthly!G:G,monthly!$A:$A,"&gt;="&amp;$A77,monthly!$B:$B,"&lt;="&amp;$B77))</f>
        <v>24.3</v>
      </c>
      <c r="P77">
        <f>IF(COUNTIFS(monthly!H:H,"",monthly!$A:$A,"&gt;="&amp;$A77,monthly!$B:$B,"&lt;="&amp;$B77)&gt;0,"NA",AVERAGEIFS(monthly!H:H,monthly!$A:$A,"&gt;="&amp;$A77,monthly!$B:$B,"&lt;="&amp;$B77))</f>
        <v>37.25</v>
      </c>
      <c r="Q77">
        <f>IF(COUNTIFS(monthly!I:I,"",monthly!$A:$A,"&gt;="&amp;$A77,monthly!$B:$B,"&lt;="&amp;$B77)&gt;0,"NA",AVERAGEIFS(monthly!I:I,monthly!$A:$A,"&gt;="&amp;$A77,monthly!$B:$B,"&lt;="&amp;$B77))</f>
        <v>12.75</v>
      </c>
      <c r="R77">
        <f>IF(COUNTIFS(monthly!J:J,"",monthly!$A:$A,"&gt;="&amp;$A77,monthly!$B:$B,"&lt;="&amp;$B77)&gt;0,"NA",AVERAGEIFS(monthly!J:J,monthly!$A:$A,"&gt;="&amp;$A77,monthly!$B:$B,"&lt;="&amp;$B77))</f>
        <v>3.34</v>
      </c>
      <c r="S77">
        <f>IF(COUNTIFS(monthly!K:K,"",monthly!$A:$A,"&gt;="&amp;$A77,monthly!$B:$B,"&lt;="&amp;$B77)&gt;0,"NA",AVERAGEIFS(monthly!K:K,monthly!$A:$A,"&gt;="&amp;$A77,monthly!$B:$B,"&lt;="&amp;$B77))</f>
        <v>13.718495670995672</v>
      </c>
      <c r="T77">
        <f>IF(COUNTIFS(monthly!L:L,"",monthly!$A:$A,"&gt;="&amp;$A77,monthly!$B:$B,"&lt;="&amp;$B77)&gt;0,"NA",AVERAGEIFS(monthly!L:L,monthly!$A:$A,"&gt;="&amp;$A77,monthly!$B:$B,"&lt;="&amp;$B77))</f>
        <v>8.320564516129032</v>
      </c>
      <c r="U77">
        <f>IF(COUNTIFS(monthly!M:M,"",monthly!$A:$A,"&gt;="&amp;$A77,monthly!$B:$B,"&lt;="&amp;$B77)&gt;0,"NA",AVERAGEIFS(monthly!M:M,monthly!$A:$A,"&gt;="&amp;$A77,monthly!$B:$B,"&lt;="&amp;$B77))</f>
        <v>5.3979311548666384</v>
      </c>
      <c r="V77" t="str">
        <f>IF(COUNTIFS(monthly!N:N,"",monthly!$A:$A,"&gt;="&amp;$A77,monthly!$B:$B,"&lt;="&amp;$B77)&gt;0,"NA",AVERAGEIFS(monthly!N:N,monthly!$A:$A,"&gt;="&amp;$A77,monthly!$B:$B,"&lt;="&amp;$B77))</f>
        <v>NA</v>
      </c>
      <c r="W77">
        <f>IF(COUNTIFS(monthly!O:O,"",monthly!$A:$A,"&gt;="&amp;$A77,monthly!$B:$B,"&lt;="&amp;$B77)&gt;0,"NA",AVERAGEIFS(monthly!O:O,monthly!$A:$A,"&gt;="&amp;$A77,monthly!$B:$B,"&lt;="&amp;$B77))</f>
        <v>8.5100000000000016</v>
      </c>
      <c r="X77" t="str">
        <f>IF(COUNTIFS(monthly!P:P,"",monthly!$A:$A,"&gt;="&amp;$A77,monthly!$B:$B,"&lt;="&amp;$B77)&gt;0,"NA",AVERAGEIFS(monthly!P:P,monthly!$A:$A,"&gt;="&amp;$A77,monthly!$B:$B,"&lt;="&amp;$B77))</f>
        <v>NA</v>
      </c>
      <c r="Y77">
        <f>IF(COUNTIFS(monthly!Q:Q,"",monthly!$A:$A,"&gt;="&amp;$A77,monthly!$B:$B,"&lt;="&amp;$B77)&gt;0,"NA",AVERAGEIFS(monthly!Q:Q,monthly!$A:$A,"&gt;="&amp;$A77,monthly!$B:$B,"&lt;="&amp;$B77))</f>
        <v>12.125</v>
      </c>
      <c r="Z77">
        <f>IF(COUNTIFS(monthly!R:R,"",monthly!$A:$A,"&gt;="&amp;$A77,monthly!$B:$B,"&lt;="&amp;$B77)&gt;0,"NA",AVERAGEIFS(monthly!R:R,monthly!$A:$A,"&gt;="&amp;$A77,monthly!$B:$B,"&lt;="&amp;$B77))</f>
        <v>8.8790000000000013</v>
      </c>
      <c r="AA77">
        <f>IF(COUNTIFS(monthly!S:S,"",monthly!$A:$A,"&gt;="&amp;$A77,monthly!$B:$B,"&lt;="&amp;$B77)&gt;0,"NA",AVERAGEIFS(monthly!S:S,monthly!$A:$A,"&gt;="&amp;$A77,monthly!$B:$B,"&lt;="&amp;$B77))</f>
        <v>3.2459999999999996</v>
      </c>
      <c r="AB77" t="str">
        <f>IF(COUNTIFS(monthly!T:T,"",monthly!$A:$A,"&gt;="&amp;$A77,monthly!$B:$B,"&lt;="&amp;$B77)&gt;0,"NA",AVERAGEIFS(monthly!T:T,monthly!$A:$A,"&gt;="&amp;$A77,monthly!$B:$B,"&lt;="&amp;$B77))</f>
        <v>NA</v>
      </c>
      <c r="AC77" t="str">
        <f>IF(COUNTIFS(monthly!U:U,"",monthly!$A:$A,"&gt;="&amp;$A77,monthly!$B:$B,"&lt;="&amp;$B77)&gt;0,"NA",AVERAGEIFS(monthly!U:U,monthly!$A:$A,"&gt;="&amp;$A77,monthly!$B:$B,"&lt;="&amp;$B77))</f>
        <v>NA</v>
      </c>
      <c r="AD77" t="str">
        <f>IF(COUNTIFS(monthly!V:V,"",monthly!$A:$A,"&gt;="&amp;$A77,monthly!$B:$B,"&lt;="&amp;$B77)&gt;0,"NA",AVERAGEIFS(monthly!V:V,monthly!$A:$A,"&gt;="&amp;$A77,monthly!$B:$B,"&lt;="&amp;$B77))</f>
        <v>NA</v>
      </c>
      <c r="AE77">
        <f>IF(COUNTIFS(monthly!W:W,"",monthly!$A:$A,"&gt;="&amp;$A77,monthly!$B:$B,"&lt;="&amp;$B77)&gt;0,"NA",AVERAGEIFS(monthly!W:W,monthly!$A:$A,"&gt;="&amp;$A77,monthly!$B:$B,"&lt;="&amp;$B77))</f>
        <v>71.124324798583984</v>
      </c>
      <c r="AF77">
        <f>IF(COUNTIFS(monthly!X:X,"",monthly!$A:$A,"&gt;="&amp;$A77,monthly!$B:$B,"&lt;="&amp;$B77)&gt;0,"NA",AVERAGEIFS(monthly!X:X,monthly!$A:$A,"&gt;="&amp;$A77,monthly!$B:$B,"&lt;="&amp;$B77))</f>
        <v>63.833877563476562</v>
      </c>
      <c r="AG77">
        <f>IF(COUNTIFS(monthly!Y:Y,"",monthly!$A:$A,"&gt;="&amp;$A77,monthly!$B:$B,"&lt;="&amp;$B77)&gt;0,"NA",AVERAGEIFS(monthly!Y:Y,monthly!$A:$A,"&gt;="&amp;$A77,monthly!$B:$B,"&lt;="&amp;$B77))</f>
        <v>71.694313049316406</v>
      </c>
      <c r="AH77">
        <f>IF(COUNTIFS(monthly!Z:Z,"",monthly!$A:$A,"&gt;="&amp;$A77,monthly!$B:$B,"&lt;="&amp;$B77)&gt;0,"NA",AVERAGEIFS(monthly!Z:Z,monthly!$A:$A,"&gt;="&amp;$A77,monthly!$B:$B,"&lt;="&amp;$B77))</f>
        <v>1.6784232575446367E-2</v>
      </c>
    </row>
    <row r="78" spans="1:34" x14ac:dyDescent="0.2">
      <c r="A78" s="1">
        <v>32509</v>
      </c>
      <c r="B78" s="1">
        <v>32597</v>
      </c>
      <c r="C78">
        <f>IF(ISBLANK(VLOOKUP($A78,quarterly_data,MATCH(C$1,quarterly!$1:$1,FALSE),FALSE)),"NA",VLOOKUP($A78,quarterly_data,MATCH(C$1,quarterly!$1:$1,FALSE),FALSE))</f>
        <v>120.51088922228656</v>
      </c>
      <c r="D78">
        <f>IF(ISBLANK(VLOOKUP($A78,quarterly_data,MATCH(D$1,quarterly!$1:$1,FALSE),FALSE)),"NA",VLOOKUP($A78,quarterly_data,MATCH(D$1,quarterly!$1:$1,FALSE),FALSE))</f>
        <v>56.9</v>
      </c>
      <c r="E78">
        <f>IF(ISBLANK(VLOOKUP($A78,quarterly_data,MATCH(E$1,quarterly!$1:$1,FALSE),FALSE)),"NA",VLOOKUP($A78,quarterly_data,MATCH(E$1,quarterly!$1:$1,FALSE),FALSE))</f>
        <v>0</v>
      </c>
      <c r="F78">
        <f>IF(ISBLANK(VLOOKUP($A78,quarterly_data,MATCH(F$1,quarterly!$1:$1,FALSE),FALSE)),"NA",VLOOKUP($A78,quarterly_data,MATCH(F$1,quarterly!$1:$1,FALSE),FALSE))</f>
        <v>2.4740999999999999E-3</v>
      </c>
      <c r="G78">
        <f>IF(ISBLANK(VLOOKUP($A78,quarterly_data,MATCH(G$1,quarterly!$1:$1,FALSE),FALSE)),"NA",VLOOKUP($A78,quarterly_data,MATCH(G$1,quarterly!$1:$1,FALSE),FALSE))</f>
        <v>9771.7250000000004</v>
      </c>
      <c r="H78">
        <f>IF(ISBLANK(VLOOKUP($A78,quarterly_data,MATCH(H$1,quarterly!$1:$1,FALSE),FALSE)),"NA",VLOOKUP($A78,quarterly_data,MATCH(H$1,quarterly!$1:$1,FALSE),FALSE))</f>
        <v>244905</v>
      </c>
      <c r="I78">
        <f>IF(ISBLANK(VLOOKUP($A78,quarterly_data,MATCH(I$1,quarterly!$1:$1,FALSE),FALSE)),"NA",VLOOKUP($A78,quarterly_data,MATCH(I$1,quarterly!$1:$1,FALSE),FALSE))</f>
        <v>1.3</v>
      </c>
      <c r="J78">
        <f>IF(ISBLANK(VLOOKUP($A78,quarterly_data,MATCH(J$1,quarterly!$1:$1,FALSE),FALSE)),"NA",VLOOKUP($A78,quarterly_data,MATCH(J$1,quarterly!$1:$1,FALSE),FALSE))</f>
        <v>35.909999999999997</v>
      </c>
      <c r="K78">
        <f>IF(COUNTIFS(monthly!C:C,"",monthly!$A:$A,"&gt;="&amp;$A78,monthly!$B:$B,"&lt;="&amp;$B78)&gt;0,"NA",AVERAGEIFS(monthly!C:C,monthly!$A:$A,"&gt;="&amp;$A78,monthly!$B:$B,"&lt;="&amp;$B78))</f>
        <v>63.150000000000006</v>
      </c>
      <c r="L78">
        <f>IF(COUNTIFS(monthly!D:D,"",monthly!$A:$A,"&gt;="&amp;$A78,monthly!$B:$B,"&lt;="&amp;$B78)&gt;0,"NA",AVERAGEIFS(monthly!D:D,monthly!$A:$A,"&gt;="&amp;$A78,monthly!$B:$B,"&lt;="&amp;$B78))</f>
        <v>0.84430000000000005</v>
      </c>
      <c r="M78">
        <f>IF(COUNTIFS(monthly!E:E,"",monthly!$A:$A,"&gt;="&amp;$A78,monthly!$B:$B,"&lt;="&amp;$B78)&gt;0,"NA",AVERAGEIFS(monthly!E:E,monthly!$A:$A,"&gt;="&amp;$A78,monthly!$B:$B,"&lt;="&amp;$B78))</f>
        <v>38.577764526506655</v>
      </c>
      <c r="N78" t="str">
        <f>IF(COUNTIFS(monthly!F:F,"",monthly!$A:$A,"&gt;="&amp;$A78,monthly!$B:$B,"&lt;="&amp;$B78)&gt;0,"NA",AVERAGEIFS(monthly!F:F,monthly!$A:$A,"&gt;="&amp;$A78,monthly!$B:$B,"&lt;="&amp;$B78))</f>
        <v>NA</v>
      </c>
      <c r="O78">
        <f>IF(COUNTIFS(monthly!G:G,"",monthly!$A:$A,"&gt;="&amp;$A78,monthly!$B:$B,"&lt;="&amp;$B78)&gt;0,"NA",AVERAGEIFS(monthly!G:G,monthly!$A:$A,"&gt;="&amp;$A78,monthly!$B:$B,"&lt;="&amp;$B78))</f>
        <v>27.8</v>
      </c>
      <c r="P78">
        <f>IF(COUNTIFS(monthly!H:H,"",monthly!$A:$A,"&gt;="&amp;$A78,monthly!$B:$B,"&lt;="&amp;$B78)&gt;0,"NA",AVERAGEIFS(monthly!H:H,monthly!$A:$A,"&gt;="&amp;$A78,monthly!$B:$B,"&lt;="&amp;$B78))</f>
        <v>38</v>
      </c>
      <c r="Q78">
        <f>IF(COUNTIFS(monthly!I:I,"",monthly!$A:$A,"&gt;="&amp;$A78,monthly!$B:$B,"&lt;="&amp;$B78)&gt;0,"NA",AVERAGEIFS(monthly!I:I,monthly!$A:$A,"&gt;="&amp;$A78,monthly!$B:$B,"&lt;="&amp;$B78))</f>
        <v>16.850000000000001</v>
      </c>
      <c r="R78">
        <f>IF(COUNTIFS(monthly!J:J,"",monthly!$A:$A,"&gt;="&amp;$A78,monthly!$B:$B,"&lt;="&amp;$B78)&gt;0,"NA",AVERAGEIFS(monthly!J:J,monthly!$A:$A,"&gt;="&amp;$A78,monthly!$B:$B,"&lt;="&amp;$B78))</f>
        <v>3.28</v>
      </c>
      <c r="S78">
        <f>IF(COUNTIFS(monthly!K:K,"",monthly!$A:$A,"&gt;="&amp;$A78,monthly!$B:$B,"&lt;="&amp;$B78)&gt;0,"NA",AVERAGEIFS(monthly!K:K,monthly!$A:$A,"&gt;="&amp;$A78,monthly!$B:$B,"&lt;="&amp;$B78))</f>
        <v>15.154119047619048</v>
      </c>
      <c r="T78">
        <f>IF(COUNTIFS(monthly!L:L,"",monthly!$A:$A,"&gt;="&amp;$A78,monthly!$B:$B,"&lt;="&amp;$B78)&gt;0,"NA",AVERAGEIFS(monthly!L:L,monthly!$A:$A,"&gt;="&amp;$A78,monthly!$B:$B,"&lt;="&amp;$B78))</f>
        <v>9.2411808755760347</v>
      </c>
      <c r="U78">
        <f>IF(COUNTIFS(monthly!M:M,"",monthly!$A:$A,"&gt;="&amp;$A78,monthly!$B:$B,"&lt;="&amp;$B78)&gt;0,"NA",AVERAGEIFS(monthly!M:M,monthly!$A:$A,"&gt;="&amp;$A78,monthly!$B:$B,"&lt;="&amp;$B78))</f>
        <v>5.912938172043015</v>
      </c>
      <c r="V78" t="str">
        <f>IF(COUNTIFS(monthly!N:N,"",monthly!$A:$A,"&gt;="&amp;$A78,monthly!$B:$B,"&lt;="&amp;$B78)&gt;0,"NA",AVERAGEIFS(monthly!N:N,monthly!$A:$A,"&gt;="&amp;$A78,monthly!$B:$B,"&lt;="&amp;$B78))</f>
        <v>NA</v>
      </c>
      <c r="W78">
        <f>IF(COUNTIFS(monthly!O:O,"",monthly!$A:$A,"&gt;="&amp;$A78,monthly!$B:$B,"&lt;="&amp;$B78)&gt;0,"NA",AVERAGEIFS(monthly!O:O,monthly!$A:$A,"&gt;="&amp;$A78,monthly!$B:$B,"&lt;="&amp;$B78))</f>
        <v>9.2735394736842096</v>
      </c>
      <c r="X78" t="str">
        <f>IF(COUNTIFS(monthly!P:P,"",monthly!$A:$A,"&gt;="&amp;$A78,monthly!$B:$B,"&lt;="&amp;$B78)&gt;0,"NA",AVERAGEIFS(monthly!P:P,monthly!$A:$A,"&gt;="&amp;$A78,monthly!$B:$B,"&lt;="&amp;$B78))</f>
        <v>NA</v>
      </c>
      <c r="Y78">
        <f>IF(COUNTIFS(monthly!Q:Q,"",monthly!$A:$A,"&gt;="&amp;$A78,monthly!$B:$B,"&lt;="&amp;$B78)&gt;0,"NA",AVERAGEIFS(monthly!Q:Q,monthly!$A:$A,"&gt;="&amp;$A78,monthly!$B:$B,"&lt;="&amp;$B78))</f>
        <v>13.475000000000001</v>
      </c>
      <c r="Z78">
        <f>IF(COUNTIFS(monthly!R:R,"",monthly!$A:$A,"&gt;="&amp;$A78,monthly!$B:$B,"&lt;="&amp;$B78)&gt;0,"NA",AVERAGEIFS(monthly!R:R,monthly!$A:$A,"&gt;="&amp;$A78,monthly!$B:$B,"&lt;="&amp;$B78))</f>
        <v>9.1302236842105273</v>
      </c>
      <c r="AA78">
        <f>IF(COUNTIFS(monthly!S:S,"",monthly!$A:$A,"&gt;="&amp;$A78,monthly!$B:$B,"&lt;="&amp;$B78)&gt;0,"NA",AVERAGEIFS(monthly!S:S,monthly!$A:$A,"&gt;="&amp;$A78,monthly!$B:$B,"&lt;="&amp;$B78))</f>
        <v>4.3447763157894732</v>
      </c>
      <c r="AB78" t="str">
        <f>IF(COUNTIFS(monthly!T:T,"",monthly!$A:$A,"&gt;="&amp;$A78,monthly!$B:$B,"&lt;="&amp;$B78)&gt;0,"NA",AVERAGEIFS(monthly!T:T,monthly!$A:$A,"&gt;="&amp;$A78,monthly!$B:$B,"&lt;="&amp;$B78))</f>
        <v>NA</v>
      </c>
      <c r="AC78" t="str">
        <f>IF(COUNTIFS(monthly!U:U,"",monthly!$A:$A,"&gt;="&amp;$A78,monthly!$B:$B,"&lt;="&amp;$B78)&gt;0,"NA",AVERAGEIFS(monthly!U:U,monthly!$A:$A,"&gt;="&amp;$A78,monthly!$B:$B,"&lt;="&amp;$B78))</f>
        <v>NA</v>
      </c>
      <c r="AD78" t="str">
        <f>IF(COUNTIFS(monthly!V:V,"",monthly!$A:$A,"&gt;="&amp;$A78,monthly!$B:$B,"&lt;="&amp;$B78)&gt;0,"NA",AVERAGEIFS(monthly!V:V,monthly!$A:$A,"&gt;="&amp;$A78,monthly!$B:$B,"&lt;="&amp;$B78))</f>
        <v>NA</v>
      </c>
      <c r="AE78">
        <f>IF(COUNTIFS(monthly!W:W,"",monthly!$A:$A,"&gt;="&amp;$A78,monthly!$B:$B,"&lt;="&amp;$B78)&gt;0,"NA",AVERAGEIFS(monthly!W:W,monthly!$A:$A,"&gt;="&amp;$A78,monthly!$B:$B,"&lt;="&amp;$B78))</f>
        <v>90.432571411132812</v>
      </c>
      <c r="AF78">
        <f>IF(COUNTIFS(monthly!X:X,"",monthly!$A:$A,"&gt;="&amp;$A78,monthly!$B:$B,"&lt;="&amp;$B78)&gt;0,"NA",AVERAGEIFS(monthly!X:X,monthly!$A:$A,"&gt;="&amp;$A78,monthly!$B:$B,"&lt;="&amp;$B78))</f>
        <v>88.766345977783203</v>
      </c>
      <c r="AG78">
        <f>IF(COUNTIFS(monthly!Y:Y,"",monthly!$A:$A,"&gt;="&amp;$A78,monthly!$B:$B,"&lt;="&amp;$B78)&gt;0,"NA",AVERAGEIFS(monthly!Y:Y,monthly!$A:$A,"&gt;="&amp;$A78,monthly!$B:$B,"&lt;="&amp;$B78))</f>
        <v>87.2947998046875</v>
      </c>
      <c r="AH78">
        <f>IF(COUNTIFS(monthly!Z:Z,"",monthly!$A:$A,"&gt;="&amp;$A78,monthly!$B:$B,"&lt;="&amp;$B78)&gt;0,"NA",AVERAGEIFS(monthly!Z:Z,monthly!$A:$A,"&gt;="&amp;$A78,monthly!$B:$B,"&lt;="&amp;$B78))</f>
        <v>1.3045490486547351E-2</v>
      </c>
    </row>
    <row r="79" spans="1:34" x14ac:dyDescent="0.2">
      <c r="A79" s="1">
        <v>32599</v>
      </c>
      <c r="B79" s="1">
        <v>32689</v>
      </c>
      <c r="C79">
        <f>IF(ISBLANK(VLOOKUP($A79,quarterly_data,MATCH(C$1,quarterly!$1:$1,FALSE),FALSE)),"NA",VLOOKUP($A79,quarterly_data,MATCH(C$1,quarterly!$1:$1,FALSE),FALSE))</f>
        <v>114.43015457365439</v>
      </c>
      <c r="D79">
        <f>IF(ISBLANK(VLOOKUP($A79,quarterly_data,MATCH(D$1,quarterly!$1:$1,FALSE),FALSE)),"NA",VLOOKUP($A79,quarterly_data,MATCH(D$1,quarterly!$1:$1,FALSE),FALSE))</f>
        <v>56.6</v>
      </c>
      <c r="E79">
        <f>IF(ISBLANK(VLOOKUP($A79,quarterly_data,MATCH(E$1,quarterly!$1:$1,FALSE),FALSE)),"NA",VLOOKUP($A79,quarterly_data,MATCH(E$1,quarterly!$1:$1,FALSE),FALSE))</f>
        <v>0</v>
      </c>
      <c r="F79">
        <f>IF(ISBLANK(VLOOKUP($A79,quarterly_data,MATCH(F$1,quarterly!$1:$1,FALSE),FALSE)),"NA",VLOOKUP($A79,quarterly_data,MATCH(F$1,quarterly!$1:$1,FALSE),FALSE))</f>
        <v>0</v>
      </c>
      <c r="G79">
        <f>IF(ISBLANK(VLOOKUP($A79,quarterly_data,MATCH(G$1,quarterly!$1:$1,FALSE),FALSE)),"NA",VLOOKUP($A79,quarterly_data,MATCH(G$1,quarterly!$1:$1,FALSE),FALSE))</f>
        <v>9846.2929999999997</v>
      </c>
      <c r="H79">
        <f>IF(ISBLANK(VLOOKUP($A79,quarterly_data,MATCH(H$1,quarterly!$1:$1,FALSE),FALSE)),"NA",VLOOKUP($A79,quarterly_data,MATCH(H$1,quarterly!$1:$1,FALSE),FALSE))</f>
        <v>250181</v>
      </c>
      <c r="I79">
        <f>IF(ISBLANK(VLOOKUP($A79,quarterly_data,MATCH(I$1,quarterly!$1:$1,FALSE),FALSE)),"NA",VLOOKUP($A79,quarterly_data,MATCH(I$1,quarterly!$1:$1,FALSE),FALSE))</f>
        <v>1.6</v>
      </c>
      <c r="J79">
        <f>IF(ISBLANK(VLOOKUP($A79,quarterly_data,MATCH(J$1,quarterly!$1:$1,FALSE),FALSE)),"NA",VLOOKUP($A79,quarterly_data,MATCH(J$1,quarterly!$1:$1,FALSE),FALSE))</f>
        <v>36.799999999999997</v>
      </c>
      <c r="K79">
        <f>IF(COUNTIFS(monthly!C:C,"",monthly!$A:$A,"&gt;="&amp;$A79,monthly!$B:$B,"&lt;="&amp;$B79)&gt;0,"NA",AVERAGEIFS(monthly!C:C,monthly!$A:$A,"&gt;="&amp;$A79,monthly!$B:$B,"&lt;="&amp;$B79))</f>
        <v>59.4</v>
      </c>
      <c r="L79">
        <f>IF(COUNTIFS(monthly!D:D,"",monthly!$A:$A,"&gt;="&amp;$A79,monthly!$B:$B,"&lt;="&amp;$B79)&gt;0,"NA",AVERAGEIFS(monthly!D:D,monthly!$A:$A,"&gt;="&amp;$A79,monthly!$B:$B,"&lt;="&amp;$B79))</f>
        <v>0.76549999999999996</v>
      </c>
      <c r="M79">
        <f>IF(COUNTIFS(monthly!E:E,"",monthly!$A:$A,"&gt;="&amp;$A79,monthly!$B:$B,"&lt;="&amp;$B79)&gt;0,"NA",AVERAGEIFS(monthly!E:E,monthly!$A:$A,"&gt;="&amp;$A79,monthly!$B:$B,"&lt;="&amp;$B79))</f>
        <v>39.506921214133229</v>
      </c>
      <c r="N79" t="str">
        <f>IF(COUNTIFS(monthly!F:F,"",monthly!$A:$A,"&gt;="&amp;$A79,monthly!$B:$B,"&lt;="&amp;$B79)&gt;0,"NA",AVERAGEIFS(monthly!F:F,monthly!$A:$A,"&gt;="&amp;$A79,monthly!$B:$B,"&lt;="&amp;$B79))</f>
        <v>NA</v>
      </c>
      <c r="O79">
        <f>IF(COUNTIFS(monthly!G:G,"",monthly!$A:$A,"&gt;="&amp;$A79,monthly!$B:$B,"&lt;="&amp;$B79)&gt;0,"NA",AVERAGEIFS(monthly!G:G,monthly!$A:$A,"&gt;="&amp;$A79,monthly!$B:$B,"&lt;="&amp;$B79))</f>
        <v>27.8</v>
      </c>
      <c r="P79">
        <f>IF(COUNTIFS(monthly!H:H,"",monthly!$A:$A,"&gt;="&amp;$A79,monthly!$B:$B,"&lt;="&amp;$B79)&gt;0,"NA",AVERAGEIFS(monthly!H:H,monthly!$A:$A,"&gt;="&amp;$A79,monthly!$B:$B,"&lt;="&amp;$B79))</f>
        <v>38</v>
      </c>
      <c r="Q79">
        <f>IF(COUNTIFS(monthly!I:I,"",monthly!$A:$A,"&gt;="&amp;$A79,monthly!$B:$B,"&lt;="&amp;$B79)&gt;0,"NA",AVERAGEIFS(monthly!I:I,monthly!$A:$A,"&gt;="&amp;$A79,monthly!$B:$B,"&lt;="&amp;$B79))</f>
        <v>18.566666666666666</v>
      </c>
      <c r="R79">
        <f>IF(COUNTIFS(monthly!J:J,"",monthly!$A:$A,"&gt;="&amp;$A79,monthly!$B:$B,"&lt;="&amp;$B79)&gt;0,"NA",AVERAGEIFS(monthly!J:J,monthly!$A:$A,"&gt;="&amp;$A79,monthly!$B:$B,"&lt;="&amp;$B79))</f>
        <v>3.28</v>
      </c>
      <c r="S79">
        <f>IF(COUNTIFS(monthly!K:K,"",monthly!$A:$A,"&gt;="&amp;$A79,monthly!$B:$B,"&lt;="&amp;$B79)&gt;0,"NA",AVERAGEIFS(monthly!K:K,monthly!$A:$A,"&gt;="&amp;$A79,monthly!$B:$B,"&lt;="&amp;$B79))</f>
        <v>16.837714576295809</v>
      </c>
      <c r="T79">
        <f>IF(COUNTIFS(monthly!L:L,"",monthly!$A:$A,"&gt;="&amp;$A79,monthly!$B:$B,"&lt;="&amp;$B79)&gt;0,"NA",AVERAGEIFS(monthly!L:L,monthly!$A:$A,"&gt;="&amp;$A79,monthly!$B:$B,"&lt;="&amp;$B79))</f>
        <v>9.7247885304659487</v>
      </c>
      <c r="U79">
        <f>IF(COUNTIFS(monthly!M:M,"",monthly!$A:$A,"&gt;="&amp;$A79,monthly!$B:$B,"&lt;="&amp;$B79)&gt;0,"NA",AVERAGEIFS(monthly!M:M,monthly!$A:$A,"&gt;="&amp;$A79,monthly!$B:$B,"&lt;="&amp;$B79))</f>
        <v>7.1129260458298624</v>
      </c>
      <c r="V79" t="str">
        <f>IF(COUNTIFS(monthly!N:N,"",monthly!$A:$A,"&gt;="&amp;$A79,monthly!$B:$B,"&lt;="&amp;$B79)&gt;0,"NA",AVERAGEIFS(monthly!N:N,monthly!$A:$A,"&gt;="&amp;$A79,monthly!$B:$B,"&lt;="&amp;$B79))</f>
        <v>NA</v>
      </c>
      <c r="W79">
        <f>IF(COUNTIFS(monthly!O:O,"",monthly!$A:$A,"&gt;="&amp;$A79,monthly!$B:$B,"&lt;="&amp;$B79)&gt;0,"NA",AVERAGEIFS(monthly!O:O,monthly!$A:$A,"&gt;="&amp;$A79,monthly!$B:$B,"&lt;="&amp;$B79))</f>
        <v>8.9585303030303027</v>
      </c>
      <c r="X79" t="str">
        <f>IF(COUNTIFS(monthly!P:P,"",monthly!$A:$A,"&gt;="&amp;$A79,monthly!$B:$B,"&lt;="&amp;$B79)&gt;0,"NA",AVERAGEIFS(monthly!P:P,monthly!$A:$A,"&gt;="&amp;$A79,monthly!$B:$B,"&lt;="&amp;$B79))</f>
        <v>NA</v>
      </c>
      <c r="Y79">
        <f>IF(COUNTIFS(monthly!Q:Q,"",monthly!$A:$A,"&gt;="&amp;$A79,monthly!$B:$B,"&lt;="&amp;$B79)&gt;0,"NA",AVERAGEIFS(monthly!Q:Q,monthly!$A:$A,"&gt;="&amp;$A79,monthly!$B:$B,"&lt;="&amp;$B79))</f>
        <v>13.6</v>
      </c>
      <c r="Z79">
        <f>IF(COUNTIFS(monthly!R:R,"",monthly!$A:$A,"&gt;="&amp;$A79,monthly!$B:$B,"&lt;="&amp;$B79)&gt;0,"NA",AVERAGEIFS(monthly!R:R,monthly!$A:$A,"&gt;="&amp;$A79,monthly!$B:$B,"&lt;="&amp;$B79))</f>
        <v>8.7706212121212133</v>
      </c>
      <c r="AA79">
        <f>IF(COUNTIFS(monthly!S:S,"",monthly!$A:$A,"&gt;="&amp;$A79,monthly!$B:$B,"&lt;="&amp;$B79)&gt;0,"NA",AVERAGEIFS(monthly!S:S,monthly!$A:$A,"&gt;="&amp;$A79,monthly!$B:$B,"&lt;="&amp;$B79))</f>
        <v>4.8293787878787873</v>
      </c>
      <c r="AB79" t="str">
        <f>IF(COUNTIFS(monthly!T:T,"",monthly!$A:$A,"&gt;="&amp;$A79,monthly!$B:$B,"&lt;="&amp;$B79)&gt;0,"NA",AVERAGEIFS(monthly!T:T,monthly!$A:$A,"&gt;="&amp;$A79,monthly!$B:$B,"&lt;="&amp;$B79))</f>
        <v>NA</v>
      </c>
      <c r="AC79" t="str">
        <f>IF(COUNTIFS(monthly!U:U,"",monthly!$A:$A,"&gt;="&amp;$A79,monthly!$B:$B,"&lt;="&amp;$B79)&gt;0,"NA",AVERAGEIFS(monthly!U:U,monthly!$A:$A,"&gt;="&amp;$A79,monthly!$B:$B,"&lt;="&amp;$B79))</f>
        <v>NA</v>
      </c>
      <c r="AD79" t="str">
        <f>IF(COUNTIFS(monthly!V:V,"",monthly!$A:$A,"&gt;="&amp;$A79,monthly!$B:$B,"&lt;="&amp;$B79)&gt;0,"NA",AVERAGEIFS(monthly!V:V,monthly!$A:$A,"&gt;="&amp;$A79,monthly!$B:$B,"&lt;="&amp;$B79))</f>
        <v>NA</v>
      </c>
      <c r="AE79">
        <f>IF(COUNTIFS(monthly!W:W,"",monthly!$A:$A,"&gt;="&amp;$A79,monthly!$B:$B,"&lt;="&amp;$B79)&gt;0,"NA",AVERAGEIFS(monthly!W:W,monthly!$A:$A,"&gt;="&amp;$A79,monthly!$B:$B,"&lt;="&amp;$B79))</f>
        <v>92.289718627929688</v>
      </c>
      <c r="AF79">
        <f>IF(COUNTIFS(monthly!X:X,"",monthly!$A:$A,"&gt;="&amp;$A79,monthly!$B:$B,"&lt;="&amp;$B79)&gt;0,"NA",AVERAGEIFS(monthly!X:X,monthly!$A:$A,"&gt;="&amp;$A79,monthly!$B:$B,"&lt;="&amp;$B79))</f>
        <v>97.421290079752609</v>
      </c>
      <c r="AG79">
        <f>IF(COUNTIFS(monthly!Y:Y,"",monthly!$A:$A,"&gt;="&amp;$A79,monthly!$B:$B,"&lt;="&amp;$B79)&gt;0,"NA",AVERAGEIFS(monthly!Y:Y,monthly!$A:$A,"&gt;="&amp;$A79,monthly!$B:$B,"&lt;="&amp;$B79))</f>
        <v>77.772300720214844</v>
      </c>
      <c r="AH79">
        <f>IF(COUNTIFS(monthly!Z:Z,"",monthly!$A:$A,"&gt;="&amp;$A79,monthly!$B:$B,"&lt;="&amp;$B79)&gt;0,"NA",AVERAGEIFS(monthly!Z:Z,monthly!$A:$A,"&gt;="&amp;$A79,monthly!$B:$B,"&lt;="&amp;$B79))</f>
        <v>2.7946860529482365E-2</v>
      </c>
    </row>
    <row r="80" spans="1:34" x14ac:dyDescent="0.2">
      <c r="A80" s="1">
        <v>32690</v>
      </c>
      <c r="B80" s="1">
        <v>32781</v>
      </c>
      <c r="C80">
        <f>IF(ISBLANK(VLOOKUP($A80,quarterly_data,MATCH(C$1,quarterly!$1:$1,FALSE),FALSE)),"NA",VLOOKUP($A80,quarterly_data,MATCH(C$1,quarterly!$1:$1,FALSE),FALSE))</f>
        <v>114.13276156351415</v>
      </c>
      <c r="D80">
        <f>IF(ISBLANK(VLOOKUP($A80,quarterly_data,MATCH(D$1,quarterly!$1:$1,FALSE),FALSE)),"NA",VLOOKUP($A80,quarterly_data,MATCH(D$1,quarterly!$1:$1,FALSE),FALSE))</f>
        <v>55.6</v>
      </c>
      <c r="E80">
        <f>IF(ISBLANK(VLOOKUP($A80,quarterly_data,MATCH(E$1,quarterly!$1:$1,FALSE),FALSE)),"NA",VLOOKUP($A80,quarterly_data,MATCH(E$1,quarterly!$1:$1,FALSE),FALSE))</f>
        <v>0</v>
      </c>
      <c r="F80">
        <f>IF(ISBLANK(VLOOKUP($A80,quarterly_data,MATCH(F$1,quarterly!$1:$1,FALSE),FALSE)),"NA",VLOOKUP($A80,quarterly_data,MATCH(F$1,quarterly!$1:$1,FALSE),FALSE))</f>
        <v>0</v>
      </c>
      <c r="G80">
        <f>IF(ISBLANK(VLOOKUP($A80,quarterly_data,MATCH(G$1,quarterly!$1:$1,FALSE),FALSE)),"NA",VLOOKUP($A80,quarterly_data,MATCH(G$1,quarterly!$1:$1,FALSE),FALSE))</f>
        <v>9919.2279999999992</v>
      </c>
      <c r="H80">
        <f>IF(ISBLANK(VLOOKUP($A80,quarterly_data,MATCH(H$1,quarterly!$1:$1,FALSE),FALSE)),"NA",VLOOKUP($A80,quarterly_data,MATCH(H$1,quarterly!$1:$1,FALSE),FALSE))</f>
        <v>252319</v>
      </c>
      <c r="I80">
        <f>IF(ISBLANK(VLOOKUP($A80,quarterly_data,MATCH(I$1,quarterly!$1:$1,FALSE),FALSE)),"NA",VLOOKUP($A80,quarterly_data,MATCH(I$1,quarterly!$1:$1,FALSE),FALSE))</f>
        <v>1.5</v>
      </c>
      <c r="J80">
        <f>IF(ISBLANK(VLOOKUP($A80,quarterly_data,MATCH(J$1,quarterly!$1:$1,FALSE),FALSE)),"NA",VLOOKUP($A80,quarterly_data,MATCH(J$1,quarterly!$1:$1,FALSE),FALSE))</f>
        <v>37.65</v>
      </c>
      <c r="K80">
        <f>IF(COUNTIFS(monthly!C:C,"",monthly!$A:$A,"&gt;="&amp;$A80,monthly!$B:$B,"&lt;="&amp;$B80)&gt;0,"NA",AVERAGEIFS(monthly!C:C,monthly!$A:$A,"&gt;="&amp;$A80,monthly!$B:$B,"&lt;="&amp;$B80))</f>
        <v>59.199999999999996</v>
      </c>
      <c r="L80">
        <f>IF(COUNTIFS(monthly!D:D,"",monthly!$A:$A,"&gt;="&amp;$A80,monthly!$B:$B,"&lt;="&amp;$B80)&gt;0,"NA",AVERAGEIFS(monthly!D:D,monthly!$A:$A,"&gt;="&amp;$A80,monthly!$B:$B,"&lt;="&amp;$B80))</f>
        <v>0.76479999999999981</v>
      </c>
      <c r="M80">
        <f>IF(COUNTIFS(monthly!E:E,"",monthly!$A:$A,"&gt;="&amp;$A80,monthly!$B:$B,"&lt;="&amp;$B80)&gt;0,"NA",AVERAGEIFS(monthly!E:E,monthly!$A:$A,"&gt;="&amp;$A80,monthly!$B:$B,"&lt;="&amp;$B80))</f>
        <v>39.496130892052228</v>
      </c>
      <c r="N80" t="str">
        <f>IF(COUNTIFS(monthly!F:F,"",monthly!$A:$A,"&gt;="&amp;$A80,monthly!$B:$B,"&lt;="&amp;$B80)&gt;0,"NA",AVERAGEIFS(monthly!F:F,monthly!$A:$A,"&gt;="&amp;$A80,monthly!$B:$B,"&lt;="&amp;$B80))</f>
        <v>NA</v>
      </c>
      <c r="O80">
        <f>IF(COUNTIFS(monthly!G:G,"",monthly!$A:$A,"&gt;="&amp;$A80,monthly!$B:$B,"&lt;="&amp;$B80)&gt;0,"NA",AVERAGEIFS(monthly!G:G,monthly!$A:$A,"&gt;="&amp;$A80,monthly!$B:$B,"&lt;="&amp;$B80))</f>
        <v>27.8</v>
      </c>
      <c r="P80">
        <f>IF(COUNTIFS(monthly!H:H,"",monthly!$A:$A,"&gt;="&amp;$A80,monthly!$B:$B,"&lt;="&amp;$B80)&gt;0,"NA",AVERAGEIFS(monthly!H:H,monthly!$A:$A,"&gt;="&amp;$A80,monthly!$B:$B,"&lt;="&amp;$B80))</f>
        <v>38</v>
      </c>
      <c r="Q80">
        <f>IF(COUNTIFS(monthly!I:I,"",monthly!$A:$A,"&gt;="&amp;$A80,monthly!$B:$B,"&lt;="&amp;$B80)&gt;0,"NA",AVERAGEIFS(monthly!I:I,monthly!$A:$A,"&gt;="&amp;$A80,monthly!$B:$B,"&lt;="&amp;$B80))</f>
        <v>17.566666666666666</v>
      </c>
      <c r="R80">
        <f>IF(COUNTIFS(monthly!J:J,"",monthly!$A:$A,"&gt;="&amp;$A80,monthly!$B:$B,"&lt;="&amp;$B80)&gt;0,"NA",AVERAGEIFS(monthly!J:J,monthly!$A:$A,"&gt;="&amp;$A80,monthly!$B:$B,"&lt;="&amp;$B80))</f>
        <v>3.28</v>
      </c>
      <c r="S80">
        <f>IF(COUNTIFS(monthly!K:K,"",monthly!$A:$A,"&gt;="&amp;$A80,monthly!$B:$B,"&lt;="&amp;$B80)&gt;0,"NA",AVERAGEIFS(monthly!K:K,monthly!$A:$A,"&gt;="&amp;$A80,monthly!$B:$B,"&lt;="&amp;$B80))</f>
        <v>17.074858523119399</v>
      </c>
      <c r="T80">
        <f>IF(COUNTIFS(monthly!L:L,"",monthly!$A:$A,"&gt;="&amp;$A80,monthly!$B:$B,"&lt;="&amp;$B80)&gt;0,"NA",AVERAGEIFS(monthly!L:L,monthly!$A:$A,"&gt;="&amp;$A80,monthly!$B:$B,"&lt;="&amp;$B80))</f>
        <v>9.0829139784946236</v>
      </c>
      <c r="U80">
        <f>IF(COUNTIFS(monthly!M:M,"",monthly!$A:$A,"&gt;="&amp;$A80,monthly!$B:$B,"&lt;="&amp;$B80)&gt;0,"NA",AVERAGEIFS(monthly!M:M,monthly!$A:$A,"&gt;="&amp;$A80,monthly!$B:$B,"&lt;="&amp;$B80))</f>
        <v>7.991944544624773</v>
      </c>
      <c r="V80" t="str">
        <f>IF(COUNTIFS(monthly!N:N,"",monthly!$A:$A,"&gt;="&amp;$A80,monthly!$B:$B,"&lt;="&amp;$B80)&gt;0,"NA",AVERAGEIFS(monthly!N:N,monthly!$A:$A,"&gt;="&amp;$A80,monthly!$B:$B,"&lt;="&amp;$B80))</f>
        <v>NA</v>
      </c>
      <c r="W80">
        <f>IF(COUNTIFS(monthly!O:O,"",monthly!$A:$A,"&gt;="&amp;$A80,monthly!$B:$B,"&lt;="&amp;$B80)&gt;0,"NA",AVERAGEIFS(monthly!O:O,monthly!$A:$A,"&gt;="&amp;$A80,monthly!$B:$B,"&lt;="&amp;$B80))</f>
        <v>8.0829275362318853</v>
      </c>
      <c r="X80" t="str">
        <f>IF(COUNTIFS(monthly!P:P,"",monthly!$A:$A,"&gt;="&amp;$A80,monthly!$B:$B,"&lt;="&amp;$B80)&gt;0,"NA",AVERAGEIFS(monthly!P:P,monthly!$A:$A,"&gt;="&amp;$A80,monthly!$B:$B,"&lt;="&amp;$B80))</f>
        <v>NA</v>
      </c>
      <c r="Y80">
        <f>IF(COUNTIFS(monthly!Q:Q,"",monthly!$A:$A,"&gt;="&amp;$A80,monthly!$B:$B,"&lt;="&amp;$B80)&gt;0,"NA",AVERAGEIFS(monthly!Q:Q,monthly!$A:$A,"&gt;="&amp;$A80,monthly!$B:$B,"&lt;="&amp;$B80))</f>
        <v>13.316666666666665</v>
      </c>
      <c r="Z80">
        <f>IF(COUNTIFS(monthly!R:R,"",monthly!$A:$A,"&gt;="&amp;$A80,monthly!$B:$B,"&lt;="&amp;$B80)&gt;0,"NA",AVERAGEIFS(monthly!R:R,monthly!$A:$A,"&gt;="&amp;$A80,monthly!$B:$B,"&lt;="&amp;$B80))</f>
        <v>8.1072028985507263</v>
      </c>
      <c r="AA80">
        <f>IF(COUNTIFS(monthly!S:S,"",monthly!$A:$A,"&gt;="&amp;$A80,monthly!$B:$B,"&lt;="&amp;$B80)&gt;0,"NA",AVERAGEIFS(monthly!S:S,monthly!$A:$A,"&gt;="&amp;$A80,monthly!$B:$B,"&lt;="&amp;$B80))</f>
        <v>5.2094637681159401</v>
      </c>
      <c r="AB80" t="str">
        <f>IF(COUNTIFS(monthly!T:T,"",monthly!$A:$A,"&gt;="&amp;$A80,monthly!$B:$B,"&lt;="&amp;$B80)&gt;0,"NA",AVERAGEIFS(monthly!T:T,monthly!$A:$A,"&gt;="&amp;$A80,monthly!$B:$B,"&lt;="&amp;$B80))</f>
        <v>NA</v>
      </c>
      <c r="AC80" t="str">
        <f>IF(COUNTIFS(monthly!U:U,"",monthly!$A:$A,"&gt;="&amp;$A80,monthly!$B:$B,"&lt;="&amp;$B80)&gt;0,"NA",AVERAGEIFS(monthly!U:U,monthly!$A:$A,"&gt;="&amp;$A80,monthly!$B:$B,"&lt;="&amp;$B80))</f>
        <v>NA</v>
      </c>
      <c r="AD80" t="str">
        <f>IF(COUNTIFS(monthly!V:V,"",monthly!$A:$A,"&gt;="&amp;$A80,monthly!$B:$B,"&lt;="&amp;$B80)&gt;0,"NA",AVERAGEIFS(monthly!V:V,monthly!$A:$A,"&gt;="&amp;$A80,monthly!$B:$B,"&lt;="&amp;$B80))</f>
        <v>NA</v>
      </c>
      <c r="AE80">
        <f>IF(COUNTIFS(monthly!W:W,"",monthly!$A:$A,"&gt;="&amp;$A80,monthly!$B:$B,"&lt;="&amp;$B80)&gt;0,"NA",AVERAGEIFS(monthly!W:W,monthly!$A:$A,"&gt;="&amp;$A80,monthly!$B:$B,"&lt;="&amp;$B80))</f>
        <v>93.158747355143234</v>
      </c>
      <c r="AF80">
        <f>IF(COUNTIFS(monthly!X:X,"",monthly!$A:$A,"&gt;="&amp;$A80,monthly!$B:$B,"&lt;="&amp;$B80)&gt;0,"NA",AVERAGEIFS(monthly!X:X,monthly!$A:$A,"&gt;="&amp;$A80,monthly!$B:$B,"&lt;="&amp;$B80))</f>
        <v>93.234291076660156</v>
      </c>
      <c r="AG80">
        <f>IF(COUNTIFS(monthly!Y:Y,"",monthly!$A:$A,"&gt;="&amp;$A80,monthly!$B:$B,"&lt;="&amp;$B80)&gt;0,"NA",AVERAGEIFS(monthly!Y:Y,monthly!$A:$A,"&gt;="&amp;$A80,monthly!$B:$B,"&lt;="&amp;$B80))</f>
        <v>94.320826212565109</v>
      </c>
      <c r="AH80">
        <f>IF(COUNTIFS(monthly!Z:Z,"",monthly!$A:$A,"&gt;="&amp;$A80,monthly!$B:$B,"&lt;="&amp;$B80)&gt;0,"NA",AVERAGEIFS(monthly!Z:Z,monthly!$A:$A,"&gt;="&amp;$A80,monthly!$B:$B,"&lt;="&amp;$B80))</f>
        <v>3.927710590263208E-2</v>
      </c>
    </row>
    <row r="81" spans="1:34" x14ac:dyDescent="0.2">
      <c r="A81" s="1">
        <v>32782</v>
      </c>
      <c r="B81" s="1">
        <v>32872</v>
      </c>
      <c r="C81">
        <f>IF(ISBLANK(VLOOKUP($A81,quarterly_data,MATCH(C$1,quarterly!$1:$1,FALSE),FALSE)),"NA",VLOOKUP($A81,quarterly_data,MATCH(C$1,quarterly!$1:$1,FALSE),FALSE))</f>
        <v>117.23623706300226</v>
      </c>
      <c r="D81">
        <f>IF(ISBLANK(VLOOKUP($A81,quarterly_data,MATCH(D$1,quarterly!$1:$1,FALSE),FALSE)),"NA",VLOOKUP($A81,quarterly_data,MATCH(D$1,quarterly!$1:$1,FALSE),FALSE))</f>
        <v>55.8</v>
      </c>
      <c r="E81">
        <f>IF(ISBLANK(VLOOKUP($A81,quarterly_data,MATCH(E$1,quarterly!$1:$1,FALSE),FALSE)),"NA",VLOOKUP($A81,quarterly_data,MATCH(E$1,quarterly!$1:$1,FALSE),FALSE))</f>
        <v>0</v>
      </c>
      <c r="F81">
        <f>IF(ISBLANK(VLOOKUP($A81,quarterly_data,MATCH(F$1,quarterly!$1:$1,FALSE),FALSE)),"NA",VLOOKUP($A81,quarterly_data,MATCH(F$1,quarterly!$1:$1,FALSE),FALSE))</f>
        <v>0</v>
      </c>
      <c r="G81">
        <f>IF(ISBLANK(VLOOKUP($A81,quarterly_data,MATCH(G$1,quarterly!$1:$1,FALSE),FALSE)),"NA",VLOOKUP($A81,quarterly_data,MATCH(G$1,quarterly!$1:$1,FALSE),FALSE))</f>
        <v>9938.7669999999998</v>
      </c>
      <c r="H81">
        <f>IF(ISBLANK(VLOOKUP($A81,quarterly_data,MATCH(H$1,quarterly!$1:$1,FALSE),FALSE)),"NA",VLOOKUP($A81,quarterly_data,MATCH(H$1,quarterly!$1:$1,FALSE),FALSE))</f>
        <v>251640</v>
      </c>
      <c r="I81">
        <f>IF(ISBLANK(VLOOKUP($A81,quarterly_data,MATCH(I$1,quarterly!$1:$1,FALSE),FALSE)),"NA",VLOOKUP($A81,quarterly_data,MATCH(I$1,quarterly!$1:$1,FALSE),FALSE))</f>
        <v>1.7</v>
      </c>
      <c r="J81">
        <f>IF(ISBLANK(VLOOKUP($A81,quarterly_data,MATCH(J$1,quarterly!$1:$1,FALSE),FALSE)),"NA",VLOOKUP($A81,quarterly_data,MATCH(J$1,quarterly!$1:$1,FALSE),FALSE))</f>
        <v>38.35</v>
      </c>
      <c r="K81">
        <f>IF(COUNTIFS(monthly!C:C,"",monthly!$A:$A,"&gt;="&amp;$A81,monthly!$B:$B,"&lt;="&amp;$B81)&gt;0,"NA",AVERAGEIFS(monthly!C:C,monthly!$A:$A,"&gt;="&amp;$A81,monthly!$B:$B,"&lt;="&amp;$B81))</f>
        <v>60.55</v>
      </c>
      <c r="L81">
        <f>IF(COUNTIFS(monthly!D:D,"",monthly!$A:$A,"&gt;="&amp;$A81,monthly!$B:$B,"&lt;="&amp;$B81)&gt;0,"NA",AVERAGEIFS(monthly!D:D,monthly!$A:$A,"&gt;="&amp;$A81,monthly!$B:$B,"&lt;="&amp;$B81))</f>
        <v>0.7823</v>
      </c>
      <c r="M81">
        <f>IF(COUNTIFS(monthly!E:E,"",monthly!$A:$A,"&gt;="&amp;$A81,monthly!$B:$B,"&lt;="&amp;$B81)&gt;0,"NA",AVERAGEIFS(monthly!E:E,monthly!$A:$A,"&gt;="&amp;$A81,monthly!$B:$B,"&lt;="&amp;$B81))</f>
        <v>39.793562402751746</v>
      </c>
      <c r="N81" t="str">
        <f>IF(COUNTIFS(monthly!F:F,"",monthly!$A:$A,"&gt;="&amp;$A81,monthly!$B:$B,"&lt;="&amp;$B81)&gt;0,"NA",AVERAGEIFS(monthly!F:F,monthly!$A:$A,"&gt;="&amp;$A81,monthly!$B:$B,"&lt;="&amp;$B81))</f>
        <v>NA</v>
      </c>
      <c r="O81">
        <f>IF(COUNTIFS(monthly!G:G,"",monthly!$A:$A,"&gt;="&amp;$A81,monthly!$B:$B,"&lt;="&amp;$B81)&gt;0,"NA",AVERAGEIFS(monthly!G:G,monthly!$A:$A,"&gt;="&amp;$A81,monthly!$B:$B,"&lt;="&amp;$B81))</f>
        <v>27.8</v>
      </c>
      <c r="P81">
        <f>IF(COUNTIFS(monthly!H:H,"",monthly!$A:$A,"&gt;="&amp;$A81,monthly!$B:$B,"&lt;="&amp;$B81)&gt;0,"NA",AVERAGEIFS(monthly!H:H,monthly!$A:$A,"&gt;="&amp;$A81,monthly!$B:$B,"&lt;="&amp;$B81))</f>
        <v>38</v>
      </c>
      <c r="Q81">
        <f>IF(COUNTIFS(monthly!I:I,"",monthly!$A:$A,"&gt;="&amp;$A81,monthly!$B:$B,"&lt;="&amp;$B81)&gt;0,"NA",AVERAGEIFS(monthly!I:I,monthly!$A:$A,"&gt;="&amp;$A81,monthly!$B:$B,"&lt;="&amp;$B81))</f>
        <v>19.100000000000001</v>
      </c>
      <c r="R81">
        <f>IF(COUNTIFS(monthly!J:J,"",monthly!$A:$A,"&gt;="&amp;$A81,monthly!$B:$B,"&lt;="&amp;$B81)&gt;0,"NA",AVERAGEIFS(monthly!J:J,monthly!$A:$A,"&gt;="&amp;$A81,monthly!$B:$B,"&lt;="&amp;$B81))</f>
        <v>3.28</v>
      </c>
      <c r="S81">
        <f>IF(COUNTIFS(monthly!K:K,"",monthly!$A:$A,"&gt;="&amp;$A81,monthly!$B:$B,"&lt;="&amp;$B81)&gt;0,"NA",AVERAGEIFS(monthly!K:K,monthly!$A:$A,"&gt;="&amp;$A81,monthly!$B:$B,"&lt;="&amp;$B81))</f>
        <v>17.807499999999997</v>
      </c>
      <c r="T81">
        <f>IF(COUNTIFS(monthly!L:L,"",monthly!$A:$A,"&gt;="&amp;$A81,monthly!$B:$B,"&lt;="&amp;$B81)&gt;0,"NA",AVERAGEIFS(monthly!L:L,monthly!$A:$A,"&gt;="&amp;$A81,monthly!$B:$B,"&lt;="&amp;$B81))</f>
        <v>8.6943225806451618</v>
      </c>
      <c r="U81">
        <f>IF(COUNTIFS(monthly!M:M,"",monthly!$A:$A,"&gt;="&amp;$A81,monthly!$B:$B,"&lt;="&amp;$B81)&gt;0,"NA",AVERAGEIFS(monthly!M:M,monthly!$A:$A,"&gt;="&amp;$A81,monthly!$B:$B,"&lt;="&amp;$B81))</f>
        <v>9.1131774193548374</v>
      </c>
      <c r="V81" t="str">
        <f>IF(COUNTIFS(monthly!N:N,"",monthly!$A:$A,"&gt;="&amp;$A81,monthly!$B:$B,"&lt;="&amp;$B81)&gt;0,"NA",AVERAGEIFS(monthly!N:N,monthly!$A:$A,"&gt;="&amp;$A81,monthly!$B:$B,"&lt;="&amp;$B81))</f>
        <v>NA</v>
      </c>
      <c r="W81">
        <f>IF(COUNTIFS(monthly!O:O,"",monthly!$A:$A,"&gt;="&amp;$A81,monthly!$B:$B,"&lt;="&amp;$B81)&gt;0,"NA",AVERAGEIFS(monthly!O:O,monthly!$A:$A,"&gt;="&amp;$A81,monthly!$B:$B,"&lt;="&amp;$B81))</f>
        <v>7.8873809523809513</v>
      </c>
      <c r="X81" t="str">
        <f>IF(COUNTIFS(monthly!P:P,"",monthly!$A:$A,"&gt;="&amp;$A81,monthly!$B:$B,"&lt;="&amp;$B81)&gt;0,"NA",AVERAGEIFS(monthly!P:P,monthly!$A:$A,"&gt;="&amp;$A81,monthly!$B:$B,"&lt;="&amp;$B81))</f>
        <v>NA</v>
      </c>
      <c r="Y81">
        <f>IF(COUNTIFS(monthly!Q:Q,"",monthly!$A:$A,"&gt;="&amp;$A81,monthly!$B:$B,"&lt;="&amp;$B81)&gt;0,"NA",AVERAGEIFS(monthly!Q:Q,monthly!$A:$A,"&gt;="&amp;$A81,monthly!$B:$B,"&lt;="&amp;$B81))</f>
        <v>13.324999999999999</v>
      </c>
      <c r="Z81">
        <f>IF(COUNTIFS(monthly!R:R,"",monthly!$A:$A,"&gt;="&amp;$A81,monthly!$B:$B,"&lt;="&amp;$B81)&gt;0,"NA",AVERAGEIFS(monthly!R:R,monthly!$A:$A,"&gt;="&amp;$A81,monthly!$B:$B,"&lt;="&amp;$B81))</f>
        <v>7.940952380952381</v>
      </c>
      <c r="AA81">
        <f>IF(COUNTIFS(monthly!S:S,"",monthly!$A:$A,"&gt;="&amp;$A81,monthly!$B:$B,"&lt;="&amp;$B81)&gt;0,"NA",AVERAGEIFS(monthly!S:S,monthly!$A:$A,"&gt;="&amp;$A81,monthly!$B:$B,"&lt;="&amp;$B81))</f>
        <v>5.3840476190476192</v>
      </c>
      <c r="AB81" t="str">
        <f>IF(COUNTIFS(monthly!T:T,"",monthly!$A:$A,"&gt;="&amp;$A81,monthly!$B:$B,"&lt;="&amp;$B81)&gt;0,"NA",AVERAGEIFS(monthly!T:T,monthly!$A:$A,"&gt;="&amp;$A81,monthly!$B:$B,"&lt;="&amp;$B81))</f>
        <v>NA</v>
      </c>
      <c r="AC81" t="str">
        <f>IF(COUNTIFS(monthly!U:U,"",monthly!$A:$A,"&gt;="&amp;$A81,monthly!$B:$B,"&lt;="&amp;$B81)&gt;0,"NA",AVERAGEIFS(monthly!U:U,monthly!$A:$A,"&gt;="&amp;$A81,monthly!$B:$B,"&lt;="&amp;$B81))</f>
        <v>NA</v>
      </c>
      <c r="AD81" t="str">
        <f>IF(COUNTIFS(monthly!V:V,"",monthly!$A:$A,"&gt;="&amp;$A81,monthly!$B:$B,"&lt;="&amp;$B81)&gt;0,"NA",AVERAGEIFS(monthly!V:V,monthly!$A:$A,"&gt;="&amp;$A81,monthly!$B:$B,"&lt;="&amp;$B81))</f>
        <v>NA</v>
      </c>
      <c r="AE81">
        <f>IF(COUNTIFS(monthly!W:W,"",monthly!$A:$A,"&gt;="&amp;$A81,monthly!$B:$B,"&lt;="&amp;$B81)&gt;0,"NA",AVERAGEIFS(monthly!W:W,monthly!$A:$A,"&gt;="&amp;$A81,monthly!$B:$B,"&lt;="&amp;$B81))</f>
        <v>81.176692962646484</v>
      </c>
      <c r="AF81">
        <f>IF(COUNTIFS(monthly!X:X,"",monthly!$A:$A,"&gt;="&amp;$A81,monthly!$B:$B,"&lt;="&amp;$B81)&gt;0,"NA",AVERAGEIFS(monthly!X:X,monthly!$A:$A,"&gt;="&amp;$A81,monthly!$B:$B,"&lt;="&amp;$B81))</f>
        <v>69.952922821044922</v>
      </c>
      <c r="AG81">
        <f>IF(COUNTIFS(monthly!Y:Y,"",monthly!$A:$A,"&gt;="&amp;$A81,monthly!$B:$B,"&lt;="&amp;$B81)&gt;0,"NA",AVERAGEIFS(monthly!Y:Y,monthly!$A:$A,"&gt;="&amp;$A81,monthly!$B:$B,"&lt;="&amp;$B81))</f>
        <v>88.529026031494141</v>
      </c>
      <c r="AH81">
        <f>IF(COUNTIFS(monthly!Z:Z,"",monthly!$A:$A,"&gt;="&amp;$A81,monthly!$B:$B,"&lt;="&amp;$B81)&gt;0,"NA",AVERAGEIFS(monthly!Z:Z,monthly!$A:$A,"&gt;="&amp;$A81,monthly!$B:$B,"&lt;="&amp;$B81))</f>
        <v>3.030006866902113E-2</v>
      </c>
    </row>
    <row r="82" spans="1:34" x14ac:dyDescent="0.2">
      <c r="A82" s="1">
        <v>32874</v>
      </c>
      <c r="B82" s="1">
        <v>32962</v>
      </c>
      <c r="C82">
        <f>IF(ISBLANK(VLOOKUP($A82,quarterly_data,MATCH(C$1,quarterly!$1:$1,FALSE),FALSE)),"NA",VLOOKUP($A82,quarterly_data,MATCH(C$1,quarterly!$1:$1,FALSE),FALSE))</f>
        <v>116.13691090824065</v>
      </c>
      <c r="D82">
        <f>IF(ISBLANK(VLOOKUP($A82,quarterly_data,MATCH(D$1,quarterly!$1:$1,FALSE),FALSE)),"NA",VLOOKUP($A82,quarterly_data,MATCH(D$1,quarterly!$1:$1,FALSE),FALSE))</f>
        <v>55.7</v>
      </c>
      <c r="E82">
        <f>IF(ISBLANK(VLOOKUP($A82,quarterly_data,MATCH(E$1,quarterly!$1:$1,FALSE),FALSE)),"NA",VLOOKUP($A82,quarterly_data,MATCH(E$1,quarterly!$1:$1,FALSE),FALSE))</f>
        <v>0</v>
      </c>
      <c r="F82">
        <f>IF(ISBLANK(VLOOKUP($A82,quarterly_data,MATCH(F$1,quarterly!$1:$1,FALSE),FALSE)),"NA",VLOOKUP($A82,quarterly_data,MATCH(F$1,quarterly!$1:$1,FALSE),FALSE))</f>
        <v>0</v>
      </c>
      <c r="G82">
        <f>IF(ISBLANK(VLOOKUP($A82,quarterly_data,MATCH(G$1,quarterly!$1:$1,FALSE),FALSE)),"NA",VLOOKUP($A82,quarterly_data,MATCH(G$1,quarterly!$1:$1,FALSE),FALSE))</f>
        <v>10047.386</v>
      </c>
      <c r="H82">
        <f>IF(ISBLANK(VLOOKUP($A82,quarterly_data,MATCH(H$1,quarterly!$1:$1,FALSE),FALSE)),"NA",VLOOKUP($A82,quarterly_data,MATCH(H$1,quarterly!$1:$1,FALSE),FALSE))</f>
        <v>253536</v>
      </c>
      <c r="I82">
        <f>IF(ISBLANK(VLOOKUP($A82,quarterly_data,MATCH(I$1,quarterly!$1:$1,FALSE),FALSE)),"NA",VLOOKUP($A82,quarterly_data,MATCH(I$1,quarterly!$1:$1,FALSE),FALSE))</f>
        <v>1.7</v>
      </c>
      <c r="J82">
        <f>IF(ISBLANK(VLOOKUP($A82,quarterly_data,MATCH(J$1,quarterly!$1:$1,FALSE),FALSE)),"NA",VLOOKUP($A82,quarterly_data,MATCH(J$1,quarterly!$1:$1,FALSE),FALSE))</f>
        <v>39.01</v>
      </c>
      <c r="K82">
        <f>IF(COUNTIFS(monthly!C:C,"",monthly!$A:$A,"&gt;="&amp;$A82,monthly!$B:$B,"&lt;="&amp;$B82)&gt;0,"NA",AVERAGEIFS(monthly!C:C,monthly!$A:$A,"&gt;="&amp;$A82,monthly!$B:$B,"&lt;="&amp;$B82))</f>
        <v>59.2</v>
      </c>
      <c r="L82">
        <f>IF(COUNTIFS(monthly!D:D,"",monthly!$A:$A,"&gt;="&amp;$A82,monthly!$B:$B,"&lt;="&amp;$B82)&gt;0,"NA",AVERAGEIFS(monthly!D:D,monthly!$A:$A,"&gt;="&amp;$A82,monthly!$B:$B,"&lt;="&amp;$B82))</f>
        <v>0.7651</v>
      </c>
      <c r="M82">
        <f>IF(COUNTIFS(monthly!E:E,"",monthly!$A:$A,"&gt;="&amp;$A82,monthly!$B:$B,"&lt;="&amp;$B82)&gt;0,"NA",AVERAGEIFS(monthly!E:E,monthly!$A:$A,"&gt;="&amp;$A82,monthly!$B:$B,"&lt;="&amp;$B82))</f>
        <v>37.756982989965906</v>
      </c>
      <c r="N82" t="str">
        <f>IF(COUNTIFS(monthly!F:F,"",monthly!$A:$A,"&gt;="&amp;$A82,monthly!$B:$B,"&lt;="&amp;$B82)&gt;0,"NA",AVERAGEIFS(monthly!F:F,monthly!$A:$A,"&gt;="&amp;$A82,monthly!$B:$B,"&lt;="&amp;$B82))</f>
        <v>NA</v>
      </c>
      <c r="O82">
        <f>IF(COUNTIFS(monthly!G:G,"",monthly!$A:$A,"&gt;="&amp;$A82,monthly!$B:$B,"&lt;="&amp;$B82)&gt;0,"NA",AVERAGEIFS(monthly!G:G,monthly!$A:$A,"&gt;="&amp;$A82,monthly!$B:$B,"&lt;="&amp;$B82))</f>
        <v>32.5</v>
      </c>
      <c r="P82">
        <f>IF(COUNTIFS(monthly!H:H,"",monthly!$A:$A,"&gt;="&amp;$A82,monthly!$B:$B,"&lt;="&amp;$B82)&gt;0,"NA",AVERAGEIFS(monthly!H:H,monthly!$A:$A,"&gt;="&amp;$A82,monthly!$B:$B,"&lt;="&amp;$B82))</f>
        <v>38</v>
      </c>
      <c r="Q82">
        <f>IF(COUNTIFS(monthly!I:I,"",monthly!$A:$A,"&gt;="&amp;$A82,monthly!$B:$B,"&lt;="&amp;$B82)&gt;0,"NA",AVERAGEIFS(monthly!I:I,monthly!$A:$A,"&gt;="&amp;$A82,monthly!$B:$B,"&lt;="&amp;$B82))</f>
        <v>20.45</v>
      </c>
      <c r="R82">
        <f>IF(COUNTIFS(monthly!J:J,"",monthly!$A:$A,"&gt;="&amp;$A82,monthly!$B:$B,"&lt;="&amp;$B82)&gt;0,"NA",AVERAGEIFS(monthly!J:J,monthly!$A:$A,"&gt;="&amp;$A82,monthly!$B:$B,"&lt;="&amp;$B82))</f>
        <v>3.64</v>
      </c>
      <c r="S82">
        <f>IF(COUNTIFS(monthly!K:K,"",monthly!$A:$A,"&gt;="&amp;$A82,monthly!$B:$B,"&lt;="&amp;$B82)&gt;0,"NA",AVERAGEIFS(monthly!K:K,monthly!$A:$A,"&gt;="&amp;$A82,monthly!$B:$B,"&lt;="&amp;$B82))</f>
        <v>17.197545454545455</v>
      </c>
      <c r="T82">
        <f>IF(COUNTIFS(monthly!L:L,"",monthly!$A:$A,"&gt;="&amp;$A82,monthly!$B:$B,"&lt;="&amp;$B82)&gt;0,"NA",AVERAGEIFS(monthly!L:L,monthly!$A:$A,"&gt;="&amp;$A82,monthly!$B:$B,"&lt;="&amp;$B82))</f>
        <v>8.233087557603687</v>
      </c>
      <c r="U82">
        <f>IF(COUNTIFS(monthly!M:M,"",monthly!$A:$A,"&gt;="&amp;$A82,monthly!$B:$B,"&lt;="&amp;$B82)&gt;0,"NA",AVERAGEIFS(monthly!M:M,monthly!$A:$A,"&gt;="&amp;$A82,monthly!$B:$B,"&lt;="&amp;$B82))</f>
        <v>8.9644578969417683</v>
      </c>
      <c r="V82" t="str">
        <f>IF(COUNTIFS(monthly!N:N,"",monthly!$A:$A,"&gt;="&amp;$A82,monthly!$B:$B,"&lt;="&amp;$B82)&gt;0,"NA",AVERAGEIFS(monthly!N:N,monthly!$A:$A,"&gt;="&amp;$A82,monthly!$B:$B,"&lt;="&amp;$B82))</f>
        <v>NA</v>
      </c>
      <c r="W82">
        <f>IF(COUNTIFS(monthly!O:O,"",monthly!$A:$A,"&gt;="&amp;$A82,monthly!$B:$B,"&lt;="&amp;$B82)&gt;0,"NA",AVERAGEIFS(monthly!O:O,monthly!$A:$A,"&gt;="&amp;$A82,monthly!$B:$B,"&lt;="&amp;$B82))</f>
        <v>8.2278822055137848</v>
      </c>
      <c r="X82" t="str">
        <f>IF(COUNTIFS(monthly!P:P,"",monthly!$A:$A,"&gt;="&amp;$A82,monthly!$B:$B,"&lt;="&amp;$B82)&gt;0,"NA",AVERAGEIFS(monthly!P:P,monthly!$A:$A,"&gt;="&amp;$A82,monthly!$B:$B,"&lt;="&amp;$B82))</f>
        <v>NA</v>
      </c>
      <c r="Y82">
        <f>IF(COUNTIFS(monthly!Q:Q,"",monthly!$A:$A,"&gt;="&amp;$A82,monthly!$B:$B,"&lt;="&amp;$B82)&gt;0,"NA",AVERAGEIFS(monthly!Q:Q,monthly!$A:$A,"&gt;="&amp;$A82,monthly!$B:$B,"&lt;="&amp;$B82))</f>
        <v>13.05</v>
      </c>
      <c r="Z82">
        <f>IF(COUNTIFS(monthly!R:R,"",monthly!$A:$A,"&gt;="&amp;$A82,monthly!$B:$B,"&lt;="&amp;$B82)&gt;0,"NA",AVERAGEIFS(monthly!R:R,monthly!$A:$A,"&gt;="&amp;$A82,monthly!$B:$B,"&lt;="&amp;$B82))</f>
        <v>8.3399122807017552</v>
      </c>
      <c r="AA82">
        <f>IF(COUNTIFS(monthly!S:S,"",monthly!$A:$A,"&gt;="&amp;$A82,monthly!$B:$B,"&lt;="&amp;$B82)&gt;0,"NA",AVERAGEIFS(monthly!S:S,monthly!$A:$A,"&gt;="&amp;$A82,monthly!$B:$B,"&lt;="&amp;$B82))</f>
        <v>4.7100877192982455</v>
      </c>
      <c r="AB82">
        <f>IF(COUNTIFS(monthly!T:T,"",monthly!$A:$A,"&gt;="&amp;$A82,monthly!$B:$B,"&lt;="&amp;$B82)&gt;0,"NA",AVERAGEIFS(monthly!T:T,monthly!$A:$A,"&gt;="&amp;$A82,monthly!$B:$B,"&lt;="&amp;$B82))</f>
        <v>23.304952153110044</v>
      </c>
      <c r="AC82" t="str">
        <f>IF(COUNTIFS(monthly!U:U,"",monthly!$A:$A,"&gt;="&amp;$A82,monthly!$B:$B,"&lt;="&amp;$B82)&gt;0,"NA",AVERAGEIFS(monthly!U:U,monthly!$A:$A,"&gt;="&amp;$A82,monthly!$B:$B,"&lt;="&amp;$B82))</f>
        <v>NA</v>
      </c>
      <c r="AD82" t="str">
        <f>IF(COUNTIFS(monthly!V:V,"",monthly!$A:$A,"&gt;="&amp;$A82,monthly!$B:$B,"&lt;="&amp;$B82)&gt;0,"NA",AVERAGEIFS(monthly!V:V,monthly!$A:$A,"&gt;="&amp;$A82,monthly!$B:$B,"&lt;="&amp;$B82))</f>
        <v>NA</v>
      </c>
      <c r="AE82">
        <f>IF(COUNTIFS(monthly!W:W,"",monthly!$A:$A,"&gt;="&amp;$A82,monthly!$B:$B,"&lt;="&amp;$B82)&gt;0,"NA",AVERAGEIFS(monthly!W:W,monthly!$A:$A,"&gt;="&amp;$A82,monthly!$B:$B,"&lt;="&amp;$B82))</f>
        <v>79.475627899169922</v>
      </c>
      <c r="AF82">
        <f>IF(COUNTIFS(monthly!X:X,"",monthly!$A:$A,"&gt;="&amp;$A82,monthly!$B:$B,"&lt;="&amp;$B82)&gt;0,"NA",AVERAGEIFS(monthly!X:X,monthly!$A:$A,"&gt;="&amp;$A82,monthly!$B:$B,"&lt;="&amp;$B82))</f>
        <v>78.560115814208984</v>
      </c>
      <c r="AG82">
        <f>IF(COUNTIFS(monthly!Y:Y,"",monthly!$A:$A,"&gt;="&amp;$A82,monthly!$B:$B,"&lt;="&amp;$B82)&gt;0,"NA",AVERAGEIFS(monthly!Y:Y,monthly!$A:$A,"&gt;="&amp;$A82,monthly!$B:$B,"&lt;="&amp;$B82))</f>
        <v>73.05755615234375</v>
      </c>
      <c r="AH82">
        <f>IF(COUNTIFS(monthly!Z:Z,"",monthly!$A:$A,"&gt;="&amp;$A82,monthly!$B:$B,"&lt;="&amp;$B82)&gt;0,"NA",AVERAGEIFS(monthly!Z:Z,monthly!$A:$A,"&gt;="&amp;$A82,monthly!$B:$B,"&lt;="&amp;$B82))</f>
        <v>4.876992292702198E-2</v>
      </c>
    </row>
    <row r="83" spans="1:34" x14ac:dyDescent="0.2">
      <c r="A83" s="1">
        <v>32964</v>
      </c>
      <c r="B83" s="1">
        <v>33054</v>
      </c>
      <c r="C83">
        <f>IF(ISBLANK(VLOOKUP($A83,quarterly_data,MATCH(C$1,quarterly!$1:$1,FALSE),FALSE)),"NA",VLOOKUP($A83,quarterly_data,MATCH(C$1,quarterly!$1:$1,FALSE),FALSE))</f>
        <v>118.63900256853672</v>
      </c>
      <c r="D83">
        <f>IF(ISBLANK(VLOOKUP($A83,quarterly_data,MATCH(D$1,quarterly!$1:$1,FALSE),FALSE)),"NA",VLOOKUP($A83,quarterly_data,MATCH(D$1,quarterly!$1:$1,FALSE),FALSE))</f>
        <v>56</v>
      </c>
      <c r="E83">
        <f>IF(ISBLANK(VLOOKUP($A83,quarterly_data,MATCH(E$1,quarterly!$1:$1,FALSE),FALSE)),"NA",VLOOKUP($A83,quarterly_data,MATCH(E$1,quarterly!$1:$1,FALSE),FALSE))</f>
        <v>6.8124500000000004E-2</v>
      </c>
      <c r="F83">
        <f>IF(ISBLANK(VLOOKUP($A83,quarterly_data,MATCH(F$1,quarterly!$1:$1,FALSE),FALSE)),"NA",VLOOKUP($A83,quarterly_data,MATCH(F$1,quarterly!$1:$1,FALSE),FALSE))</f>
        <v>1.3624900000000001E-2</v>
      </c>
      <c r="G83">
        <f>IF(ISBLANK(VLOOKUP($A83,quarterly_data,MATCH(G$1,quarterly!$1:$1,FALSE),FALSE)),"NA",VLOOKUP($A83,quarterly_data,MATCH(G$1,quarterly!$1:$1,FALSE),FALSE))</f>
        <v>10083.855</v>
      </c>
      <c r="H83">
        <f>IF(ISBLANK(VLOOKUP($A83,quarterly_data,MATCH(H$1,quarterly!$1:$1,FALSE),FALSE)),"NA",VLOOKUP($A83,quarterly_data,MATCH(H$1,quarterly!$1:$1,FALSE),FALSE))</f>
        <v>253863</v>
      </c>
      <c r="I83">
        <f>IF(ISBLANK(VLOOKUP($A83,quarterly_data,MATCH(I$1,quarterly!$1:$1,FALSE),FALSE)),"NA",VLOOKUP($A83,quarterly_data,MATCH(I$1,quarterly!$1:$1,FALSE),FALSE))</f>
        <v>1.7</v>
      </c>
      <c r="J83">
        <f>IF(ISBLANK(VLOOKUP($A83,quarterly_data,MATCH(J$1,quarterly!$1:$1,FALSE),FALSE)),"NA",VLOOKUP($A83,quarterly_data,MATCH(J$1,quarterly!$1:$1,FALSE),FALSE))</f>
        <v>39.630000000000003</v>
      </c>
      <c r="K83">
        <f>IF(COUNTIFS(monthly!C:C,"",monthly!$A:$A,"&gt;="&amp;$A83,monthly!$B:$B,"&lt;="&amp;$B83)&gt;0,"NA",AVERAGEIFS(monthly!C:C,monthly!$A:$A,"&gt;="&amp;$A83,monthly!$B:$B,"&lt;="&amp;$B83))</f>
        <v>60.466666666666669</v>
      </c>
      <c r="L83">
        <f>IF(COUNTIFS(monthly!D:D,"",monthly!$A:$A,"&gt;="&amp;$A83,monthly!$B:$B,"&lt;="&amp;$B83)&gt;0,"NA",AVERAGEIFS(monthly!D:D,monthly!$A:$A,"&gt;="&amp;$A83,monthly!$B:$B,"&lt;="&amp;$B83))</f>
        <v>0.76966666666666672</v>
      </c>
      <c r="M83">
        <f>IF(COUNTIFS(monthly!E:E,"",monthly!$A:$A,"&gt;="&amp;$A83,monthly!$B:$B,"&lt;="&amp;$B83)&gt;0,"NA",AVERAGEIFS(monthly!E:E,monthly!$A:$A,"&gt;="&amp;$A83,monthly!$B:$B,"&lt;="&amp;$B83))</f>
        <v>37.652065505082597</v>
      </c>
      <c r="N83" t="str">
        <f>IF(COUNTIFS(monthly!F:F,"",monthly!$A:$A,"&gt;="&amp;$A83,monthly!$B:$B,"&lt;="&amp;$B83)&gt;0,"NA",AVERAGEIFS(monthly!F:F,monthly!$A:$A,"&gt;="&amp;$A83,monthly!$B:$B,"&lt;="&amp;$B83))</f>
        <v>NA</v>
      </c>
      <c r="O83">
        <f>IF(COUNTIFS(monthly!G:G,"",monthly!$A:$A,"&gt;="&amp;$A83,monthly!$B:$B,"&lt;="&amp;$B83)&gt;0,"NA",AVERAGEIFS(monthly!G:G,monthly!$A:$A,"&gt;="&amp;$A83,monthly!$B:$B,"&lt;="&amp;$B83))</f>
        <v>32.5</v>
      </c>
      <c r="P83">
        <f>IF(COUNTIFS(monthly!H:H,"",monthly!$A:$A,"&gt;="&amp;$A83,monthly!$B:$B,"&lt;="&amp;$B83)&gt;0,"NA",AVERAGEIFS(monthly!H:H,monthly!$A:$A,"&gt;="&amp;$A83,monthly!$B:$B,"&lt;="&amp;$B83))</f>
        <v>39.666666666666664</v>
      </c>
      <c r="Q83">
        <f>IF(COUNTIFS(monthly!I:I,"",monthly!$A:$A,"&gt;="&amp;$A83,monthly!$B:$B,"&lt;="&amp;$B83)&gt;0,"NA",AVERAGEIFS(monthly!I:I,monthly!$A:$A,"&gt;="&amp;$A83,monthly!$B:$B,"&lt;="&amp;$B83))</f>
        <v>16.400000000000002</v>
      </c>
      <c r="R83">
        <f>IF(COUNTIFS(monthly!J:J,"",monthly!$A:$A,"&gt;="&amp;$A83,monthly!$B:$B,"&lt;="&amp;$B83)&gt;0,"NA",AVERAGEIFS(monthly!J:J,monthly!$A:$A,"&gt;="&amp;$A83,monthly!$B:$B,"&lt;="&amp;$B83))</f>
        <v>3.64</v>
      </c>
      <c r="S83">
        <f>IF(COUNTIFS(monthly!K:K,"",monthly!$A:$A,"&gt;="&amp;$A83,monthly!$B:$B,"&lt;="&amp;$B83)&gt;0,"NA",AVERAGEIFS(monthly!K:K,monthly!$A:$A,"&gt;="&amp;$A83,monthly!$B:$B,"&lt;="&amp;$B83))</f>
        <v>15.011761674718196</v>
      </c>
      <c r="T83">
        <f>IF(COUNTIFS(monthly!L:L,"",monthly!$A:$A,"&gt;="&amp;$A83,monthly!$B:$B,"&lt;="&amp;$B83)&gt;0,"NA",AVERAGEIFS(monthly!L:L,monthly!$A:$A,"&gt;="&amp;$A83,monthly!$B:$B,"&lt;="&amp;$B83))</f>
        <v>8.2400394265232979</v>
      </c>
      <c r="U83">
        <f>IF(COUNTIFS(monthly!M:M,"",monthly!$A:$A,"&gt;="&amp;$A83,monthly!$B:$B,"&lt;="&amp;$B83)&gt;0,"NA",AVERAGEIFS(monthly!M:M,monthly!$A:$A,"&gt;="&amp;$A83,monthly!$B:$B,"&lt;="&amp;$B83))</f>
        <v>6.7717222481948971</v>
      </c>
      <c r="V83" t="str">
        <f>IF(COUNTIFS(monthly!N:N,"",monthly!$A:$A,"&gt;="&amp;$A83,monthly!$B:$B,"&lt;="&amp;$B83)&gt;0,"NA",AVERAGEIFS(monthly!N:N,monthly!$A:$A,"&gt;="&amp;$A83,monthly!$B:$B,"&lt;="&amp;$B83))</f>
        <v>NA</v>
      </c>
      <c r="W83">
        <f>IF(COUNTIFS(monthly!O:O,"",monthly!$A:$A,"&gt;="&amp;$A83,monthly!$B:$B,"&lt;="&amp;$B83)&gt;0,"NA",AVERAGEIFS(monthly!O:O,monthly!$A:$A,"&gt;="&amp;$A83,monthly!$B:$B,"&lt;="&amp;$B83))</f>
        <v>8.5724083694083699</v>
      </c>
      <c r="X83" t="str">
        <f>IF(COUNTIFS(monthly!P:P,"",monthly!$A:$A,"&gt;="&amp;$A83,monthly!$B:$B,"&lt;="&amp;$B83)&gt;0,"NA",AVERAGEIFS(monthly!P:P,monthly!$A:$A,"&gt;="&amp;$A83,monthly!$B:$B,"&lt;="&amp;$B83))</f>
        <v>NA</v>
      </c>
      <c r="Y83">
        <f>IF(COUNTIFS(monthly!Q:Q,"",monthly!$A:$A,"&gt;="&amp;$A83,monthly!$B:$B,"&lt;="&amp;$B83)&gt;0,"NA",AVERAGEIFS(monthly!Q:Q,monthly!$A:$A,"&gt;="&amp;$A83,monthly!$B:$B,"&lt;="&amp;$B83))</f>
        <v>13.563333333333333</v>
      </c>
      <c r="Z83">
        <f>IF(COUNTIFS(monthly!R:R,"",monthly!$A:$A,"&gt;="&amp;$A83,monthly!$B:$B,"&lt;="&amp;$B83)&gt;0,"NA",AVERAGEIFS(monthly!R:R,monthly!$A:$A,"&gt;="&amp;$A83,monthly!$B:$B,"&lt;="&amp;$B83))</f>
        <v>8.6745606060606075</v>
      </c>
      <c r="AA83">
        <f>IF(COUNTIFS(monthly!S:S,"",monthly!$A:$A,"&gt;="&amp;$A83,monthly!$B:$B,"&lt;="&amp;$B83)&gt;0,"NA",AVERAGEIFS(monthly!S:S,monthly!$A:$A,"&gt;="&amp;$A83,monthly!$B:$B,"&lt;="&amp;$B83))</f>
        <v>4.8887727272727259</v>
      </c>
      <c r="AB83">
        <f>IF(COUNTIFS(monthly!T:T,"",monthly!$A:$A,"&gt;="&amp;$A83,monthly!$B:$B,"&lt;="&amp;$B83)&gt;0,"NA",AVERAGEIFS(monthly!T:T,monthly!$A:$A,"&gt;="&amp;$A83,monthly!$B:$B,"&lt;="&amp;$B83))</f>
        <v>18.774536075036078</v>
      </c>
      <c r="AC83" t="str">
        <f>IF(COUNTIFS(monthly!U:U,"",monthly!$A:$A,"&gt;="&amp;$A83,monthly!$B:$B,"&lt;="&amp;$B83)&gt;0,"NA",AVERAGEIFS(monthly!U:U,monthly!$A:$A,"&gt;="&amp;$A83,monthly!$B:$B,"&lt;="&amp;$B83))</f>
        <v>NA</v>
      </c>
      <c r="AD83" t="str">
        <f>IF(COUNTIFS(monthly!V:V,"",monthly!$A:$A,"&gt;="&amp;$A83,monthly!$B:$B,"&lt;="&amp;$B83)&gt;0,"NA",AVERAGEIFS(monthly!V:V,monthly!$A:$A,"&gt;="&amp;$A83,monthly!$B:$B,"&lt;="&amp;$B83))</f>
        <v>NA</v>
      </c>
      <c r="AE83">
        <f>IF(COUNTIFS(monthly!W:W,"",monthly!$A:$A,"&gt;="&amp;$A83,monthly!$B:$B,"&lt;="&amp;$B83)&gt;0,"NA",AVERAGEIFS(monthly!W:W,monthly!$A:$A,"&gt;="&amp;$A83,monthly!$B:$B,"&lt;="&amp;$B83))</f>
        <v>82.577356974283859</v>
      </c>
      <c r="AF83">
        <f>IF(COUNTIFS(monthly!X:X,"",monthly!$A:$A,"&gt;="&amp;$A83,monthly!$B:$B,"&lt;="&amp;$B83)&gt;0,"NA",AVERAGEIFS(monthly!X:X,monthly!$A:$A,"&gt;="&amp;$A83,monthly!$B:$B,"&lt;="&amp;$B83))</f>
        <v>89.546513875325516</v>
      </c>
      <c r="AG83">
        <f>IF(COUNTIFS(monthly!Y:Y,"",monthly!$A:$A,"&gt;="&amp;$A83,monthly!$B:$B,"&lt;="&amp;$B83)&gt;0,"NA",AVERAGEIFS(monthly!Y:Y,monthly!$A:$A,"&gt;="&amp;$A83,monthly!$B:$B,"&lt;="&amp;$B83))</f>
        <v>67.42977650960286</v>
      </c>
      <c r="AH83">
        <f>IF(COUNTIFS(monthly!Z:Z,"",monthly!$A:$A,"&gt;="&amp;$A83,monthly!$B:$B,"&lt;="&amp;$B83)&gt;0,"NA",AVERAGEIFS(monthly!Z:Z,monthly!$A:$A,"&gt;="&amp;$A83,monthly!$B:$B,"&lt;="&amp;$B83))</f>
        <v>2.5965603068470955E-2</v>
      </c>
    </row>
    <row r="84" spans="1:34" x14ac:dyDescent="0.2">
      <c r="A84" s="1">
        <v>33055</v>
      </c>
      <c r="B84" s="1">
        <v>33146</v>
      </c>
      <c r="C84">
        <f>IF(ISBLANK(VLOOKUP($A84,quarterly_data,MATCH(C$1,quarterly!$1:$1,FALSE),FALSE)),"NA",VLOOKUP($A84,quarterly_data,MATCH(C$1,quarterly!$1:$1,FALSE),FALSE))</f>
        <v>120.72642978349886</v>
      </c>
      <c r="D84">
        <f>IF(ISBLANK(VLOOKUP($A84,quarterly_data,MATCH(D$1,quarterly!$1:$1,FALSE),FALSE)),"NA",VLOOKUP($A84,quarterly_data,MATCH(D$1,quarterly!$1:$1,FALSE),FALSE))</f>
        <v>55.4</v>
      </c>
      <c r="E84">
        <f>IF(ISBLANK(VLOOKUP($A84,quarterly_data,MATCH(E$1,quarterly!$1:$1,FALSE),FALSE)),"NA",VLOOKUP($A84,quarterly_data,MATCH(E$1,quarterly!$1:$1,FALSE),FALSE))</f>
        <v>0.42667319999999997</v>
      </c>
      <c r="F84">
        <f>IF(ISBLANK(VLOOKUP($A84,quarterly_data,MATCH(F$1,quarterly!$1:$1,FALSE),FALSE)),"NA",VLOOKUP($A84,quarterly_data,MATCH(F$1,quarterly!$1:$1,FALSE),FALSE))</f>
        <v>9.2147099999999996E-2</v>
      </c>
      <c r="G84">
        <f>IF(ISBLANK(VLOOKUP($A84,quarterly_data,MATCH(G$1,quarterly!$1:$1,FALSE),FALSE)),"NA",VLOOKUP($A84,quarterly_data,MATCH(G$1,quarterly!$1:$1,FALSE),FALSE))</f>
        <v>10090.569</v>
      </c>
      <c r="H84">
        <f>IF(ISBLANK(VLOOKUP($A84,quarterly_data,MATCH(H$1,quarterly!$1:$1,FALSE),FALSE)),"NA",VLOOKUP($A84,quarterly_data,MATCH(H$1,quarterly!$1:$1,FALSE),FALSE))</f>
        <v>252550</v>
      </c>
      <c r="I84">
        <f>IF(ISBLANK(VLOOKUP($A84,quarterly_data,MATCH(I$1,quarterly!$1:$1,FALSE),FALSE)),"NA",VLOOKUP($A84,quarterly_data,MATCH(I$1,quarterly!$1:$1,FALSE),FALSE))</f>
        <v>1.3</v>
      </c>
      <c r="J84">
        <f>IF(ISBLANK(VLOOKUP($A84,quarterly_data,MATCH(J$1,quarterly!$1:$1,FALSE),FALSE)),"NA",VLOOKUP($A84,quarterly_data,MATCH(J$1,quarterly!$1:$1,FALSE),FALSE))</f>
        <v>39.94</v>
      </c>
      <c r="K84">
        <f>IF(COUNTIFS(monthly!C:C,"",monthly!$A:$A,"&gt;="&amp;$A84,monthly!$B:$B,"&lt;="&amp;$B84)&gt;0,"NA",AVERAGEIFS(monthly!C:C,monthly!$A:$A,"&gt;="&amp;$A84,monthly!$B:$B,"&lt;="&amp;$B84))</f>
        <v>61.133333333333333</v>
      </c>
      <c r="L84">
        <f>IF(COUNTIFS(monthly!D:D,"",monthly!$A:$A,"&gt;="&amp;$A84,monthly!$B:$B,"&lt;="&amp;$B84)&gt;0,"NA",AVERAGEIFS(monthly!D:D,monthly!$A:$A,"&gt;="&amp;$A84,monthly!$B:$B,"&lt;="&amp;$B84))</f>
        <v>0.81093333333333339</v>
      </c>
      <c r="M84">
        <f>IF(COUNTIFS(monthly!E:E,"",monthly!$A:$A,"&gt;="&amp;$A84,monthly!$B:$B,"&lt;="&amp;$B84)&gt;0,"NA",AVERAGEIFS(monthly!E:E,monthly!$A:$A,"&gt;="&amp;$A84,monthly!$B:$B,"&lt;="&amp;$B84))</f>
        <v>36.15109913558377</v>
      </c>
      <c r="N84" t="str">
        <f>IF(COUNTIFS(monthly!F:F,"",monthly!$A:$A,"&gt;="&amp;$A84,monthly!$B:$B,"&lt;="&amp;$B84)&gt;0,"NA",AVERAGEIFS(monthly!F:F,monthly!$A:$A,"&gt;="&amp;$A84,monthly!$B:$B,"&lt;="&amp;$B84))</f>
        <v>NA</v>
      </c>
      <c r="O84">
        <f>IF(COUNTIFS(monthly!G:G,"",monthly!$A:$A,"&gt;="&amp;$A84,monthly!$B:$B,"&lt;="&amp;$B84)&gt;0,"NA",AVERAGEIFS(monthly!G:G,monthly!$A:$A,"&gt;="&amp;$A84,monthly!$B:$B,"&lt;="&amp;$B84))</f>
        <v>32.5</v>
      </c>
      <c r="P84">
        <f>IF(COUNTIFS(monthly!H:H,"",monthly!$A:$A,"&gt;="&amp;$A84,monthly!$B:$B,"&lt;="&amp;$B84)&gt;0,"NA",AVERAGEIFS(monthly!H:H,monthly!$A:$A,"&gt;="&amp;$A84,monthly!$B:$B,"&lt;="&amp;$B84))</f>
        <v>40.5</v>
      </c>
      <c r="Q84">
        <f>IF(COUNTIFS(monthly!I:I,"",monthly!$A:$A,"&gt;="&amp;$A84,monthly!$B:$B,"&lt;="&amp;$B84)&gt;0,"NA",AVERAGEIFS(monthly!I:I,monthly!$A:$A,"&gt;="&amp;$A84,monthly!$B:$B,"&lt;="&amp;$B84))</f>
        <v>26.266666666666669</v>
      </c>
      <c r="R84">
        <f>IF(COUNTIFS(monthly!J:J,"",monthly!$A:$A,"&gt;="&amp;$A84,monthly!$B:$B,"&lt;="&amp;$B84)&gt;0,"NA",AVERAGEIFS(monthly!J:J,monthly!$A:$A,"&gt;="&amp;$A84,monthly!$B:$B,"&lt;="&amp;$B84))</f>
        <v>3.64</v>
      </c>
      <c r="S84">
        <f>IF(COUNTIFS(monthly!K:K,"",monthly!$A:$A,"&gt;="&amp;$A84,monthly!$B:$B,"&lt;="&amp;$B84)&gt;0,"NA",AVERAGEIFS(monthly!K:K,monthly!$A:$A,"&gt;="&amp;$A84,monthly!$B:$B,"&lt;="&amp;$B84))</f>
        <v>14.315757575757575</v>
      </c>
      <c r="T84">
        <f>IF(COUNTIFS(monthly!L:L,"",monthly!$A:$A,"&gt;="&amp;$A84,monthly!$B:$B,"&lt;="&amp;$B84)&gt;0,"NA",AVERAGEIFS(monthly!L:L,monthly!$A:$A,"&gt;="&amp;$A84,monthly!$B:$B,"&lt;="&amp;$B84))</f>
        <v>8.1605913978494637</v>
      </c>
      <c r="U84">
        <f>IF(COUNTIFS(monthly!M:M,"",monthly!$A:$A,"&gt;="&amp;$A84,monthly!$B:$B,"&lt;="&amp;$B84)&gt;0,"NA",AVERAGEIFS(monthly!M:M,monthly!$A:$A,"&gt;="&amp;$A84,monthly!$B:$B,"&lt;="&amp;$B84))</f>
        <v>6.1551661779081117</v>
      </c>
      <c r="V84" t="str">
        <f>IF(COUNTIFS(monthly!N:N,"",monthly!$A:$A,"&gt;="&amp;$A84,monthly!$B:$B,"&lt;="&amp;$B84)&gt;0,"NA",AVERAGEIFS(monthly!N:N,monthly!$A:$A,"&gt;="&amp;$A84,monthly!$B:$B,"&lt;="&amp;$B84))</f>
        <v>NA</v>
      </c>
      <c r="W84">
        <f>IF(COUNTIFS(monthly!O:O,"",monthly!$A:$A,"&gt;="&amp;$A84,monthly!$B:$B,"&lt;="&amp;$B84)&gt;0,"NA",AVERAGEIFS(monthly!O:O,monthly!$A:$A,"&gt;="&amp;$A84,monthly!$B:$B,"&lt;="&amp;$B84))</f>
        <v>8.0993069630598242</v>
      </c>
      <c r="X84" t="str">
        <f>IF(COUNTIFS(monthly!P:P,"",monthly!$A:$A,"&gt;="&amp;$A84,monthly!$B:$B,"&lt;="&amp;$B84)&gt;0,"NA",AVERAGEIFS(monthly!P:P,monthly!$A:$A,"&gt;="&amp;$A84,monthly!$B:$B,"&lt;="&amp;$B84))</f>
        <v>NA</v>
      </c>
      <c r="Y84">
        <f>IF(COUNTIFS(monthly!Q:Q,"",monthly!$A:$A,"&gt;="&amp;$A84,monthly!$B:$B,"&lt;="&amp;$B84)&gt;0,"NA",AVERAGEIFS(monthly!Q:Q,monthly!$A:$A,"&gt;="&amp;$A84,monthly!$B:$B,"&lt;="&amp;$B84))</f>
        <v>13.426666666666668</v>
      </c>
      <c r="Z84">
        <f>IF(COUNTIFS(monthly!R:R,"",monthly!$A:$A,"&gt;="&amp;$A84,monthly!$B:$B,"&lt;="&amp;$B84)&gt;0,"NA",AVERAGEIFS(monthly!R:R,monthly!$A:$A,"&gt;="&amp;$A84,monthly!$B:$B,"&lt;="&amp;$B84))</f>
        <v>8.7057317206058631</v>
      </c>
      <c r="AA84">
        <f>IF(COUNTIFS(monthly!S:S,"",monthly!$A:$A,"&gt;="&amp;$A84,monthly!$B:$B,"&lt;="&amp;$B84)&gt;0,"NA",AVERAGEIFS(monthly!S:S,monthly!$A:$A,"&gt;="&amp;$A84,monthly!$B:$B,"&lt;="&amp;$B84))</f>
        <v>4.7209349460608037</v>
      </c>
      <c r="AB84">
        <f>IF(COUNTIFS(monthly!T:T,"",monthly!$A:$A,"&gt;="&amp;$A84,monthly!$B:$B,"&lt;="&amp;$B84)&gt;0,"NA",AVERAGEIFS(monthly!T:T,monthly!$A:$A,"&gt;="&amp;$A84,monthly!$B:$B,"&lt;="&amp;$B84))</f>
        <v>25.225147651738045</v>
      </c>
      <c r="AC84" t="str">
        <f>IF(COUNTIFS(monthly!U:U,"",monthly!$A:$A,"&gt;="&amp;$A84,monthly!$B:$B,"&lt;="&amp;$B84)&gt;0,"NA",AVERAGEIFS(monthly!U:U,monthly!$A:$A,"&gt;="&amp;$A84,monthly!$B:$B,"&lt;="&amp;$B84))</f>
        <v>NA</v>
      </c>
      <c r="AD84" t="str">
        <f>IF(COUNTIFS(monthly!V:V,"",monthly!$A:$A,"&gt;="&amp;$A84,monthly!$B:$B,"&lt;="&amp;$B84)&gt;0,"NA",AVERAGEIFS(monthly!V:V,monthly!$A:$A,"&gt;="&amp;$A84,monthly!$B:$B,"&lt;="&amp;$B84))</f>
        <v>NA</v>
      </c>
      <c r="AE84">
        <f>IF(COUNTIFS(monthly!W:W,"",monthly!$A:$A,"&gt;="&amp;$A84,monthly!$B:$B,"&lt;="&amp;$B84)&gt;0,"NA",AVERAGEIFS(monthly!W:W,monthly!$A:$A,"&gt;="&amp;$A84,monthly!$B:$B,"&lt;="&amp;$B84))</f>
        <v>174.96634928385416</v>
      </c>
      <c r="AF84">
        <f>IF(COUNTIFS(monthly!X:X,"",monthly!$A:$A,"&gt;="&amp;$A84,monthly!$B:$B,"&lt;="&amp;$B84)&gt;0,"NA",AVERAGEIFS(monthly!X:X,monthly!$A:$A,"&gt;="&amp;$A84,monthly!$B:$B,"&lt;="&amp;$B84))</f>
        <v>232.75200144449869</v>
      </c>
      <c r="AG84">
        <f>IF(COUNTIFS(monthly!Y:Y,"",monthly!$A:$A,"&gt;="&amp;$A84,monthly!$B:$B,"&lt;="&amp;$B84)&gt;0,"NA",AVERAGEIFS(monthly!Y:Y,monthly!$A:$A,"&gt;="&amp;$A84,monthly!$B:$B,"&lt;="&amp;$B84))</f>
        <v>105.68404897054036</v>
      </c>
      <c r="AH84">
        <f>IF(COUNTIFS(monthly!Z:Z,"",monthly!$A:$A,"&gt;="&amp;$A84,monthly!$B:$B,"&lt;="&amp;$B84)&gt;0,"NA",AVERAGEIFS(monthly!Z:Z,monthly!$A:$A,"&gt;="&amp;$A84,monthly!$B:$B,"&lt;="&amp;$B84))</f>
        <v>0.1423939106365045</v>
      </c>
    </row>
    <row r="85" spans="1:34" x14ac:dyDescent="0.2">
      <c r="A85" s="1">
        <v>33147</v>
      </c>
      <c r="B85" s="1">
        <v>33237</v>
      </c>
      <c r="C85">
        <f>IF(ISBLANK(VLOOKUP($A85,quarterly_data,MATCH(C$1,quarterly!$1:$1,FALSE),FALSE)),"NA",VLOOKUP($A85,quarterly_data,MATCH(C$1,quarterly!$1:$1,FALSE),FALSE))</f>
        <v>113.32673432082314</v>
      </c>
      <c r="D85">
        <f>IF(ISBLANK(VLOOKUP($A85,quarterly_data,MATCH(D$1,quarterly!$1:$1,FALSE),FALSE)),"NA",VLOOKUP($A85,quarterly_data,MATCH(D$1,quarterly!$1:$1,FALSE),FALSE))</f>
        <v>52.7</v>
      </c>
      <c r="E85">
        <f>IF(ISBLANK(VLOOKUP($A85,quarterly_data,MATCH(E$1,quarterly!$1:$1,FALSE),FALSE)),"NA",VLOOKUP($A85,quarterly_data,MATCH(E$1,quarterly!$1:$1,FALSE),FALSE))</f>
        <v>5.07202E-2</v>
      </c>
      <c r="F85">
        <f>IF(ISBLANK(VLOOKUP($A85,quarterly_data,MATCH(F$1,quarterly!$1:$1,FALSE),FALSE)),"NA",VLOOKUP($A85,quarterly_data,MATCH(F$1,quarterly!$1:$1,FALSE),FALSE))</f>
        <v>5.5082199999999998E-2</v>
      </c>
      <c r="G85">
        <f>IF(ISBLANK(VLOOKUP($A85,quarterly_data,MATCH(G$1,quarterly!$1:$1,FALSE),FALSE)),"NA",VLOOKUP($A85,quarterly_data,MATCH(G$1,quarterly!$1:$1,FALSE),FALSE))</f>
        <v>9998.7039999999997</v>
      </c>
      <c r="H85">
        <f>IF(ISBLANK(VLOOKUP($A85,quarterly_data,MATCH(H$1,quarterly!$1:$1,FALSE),FALSE)),"NA",VLOOKUP($A85,quarterly_data,MATCH(H$1,quarterly!$1:$1,FALSE),FALSE))</f>
        <v>253941</v>
      </c>
      <c r="I85">
        <f>IF(ISBLANK(VLOOKUP($A85,quarterly_data,MATCH(I$1,quarterly!$1:$1,FALSE),FALSE)),"NA",VLOOKUP($A85,quarterly_data,MATCH(I$1,quarterly!$1:$1,FALSE),FALSE))</f>
        <v>1.8</v>
      </c>
      <c r="J85">
        <f>IF(ISBLANK(VLOOKUP($A85,quarterly_data,MATCH(J$1,quarterly!$1:$1,FALSE),FALSE)),"NA",VLOOKUP($A85,quarterly_data,MATCH(J$1,quarterly!$1:$1,FALSE),FALSE))</f>
        <v>40.98</v>
      </c>
      <c r="K85">
        <f>IF(COUNTIFS(monthly!C:C,"",monthly!$A:$A,"&gt;="&amp;$A85,monthly!$B:$B,"&lt;="&amp;$B85)&gt;0,"NA",AVERAGEIFS(monthly!C:C,monthly!$A:$A,"&gt;="&amp;$A85,monthly!$B:$B,"&lt;="&amp;$B85))</f>
        <v>57.05</v>
      </c>
      <c r="L85">
        <f>IF(COUNTIFS(monthly!D:D,"",monthly!$A:$A,"&gt;="&amp;$A85,monthly!$B:$B,"&lt;="&amp;$B85)&gt;0,"NA",AVERAGEIFS(monthly!D:D,monthly!$A:$A,"&gt;="&amp;$A85,monthly!$B:$B,"&lt;="&amp;$B85))</f>
        <v>0.77959999999999996</v>
      </c>
      <c r="M85">
        <f>IF(COUNTIFS(monthly!E:E,"",monthly!$A:$A,"&gt;="&amp;$A85,monthly!$B:$B,"&lt;="&amp;$B85)&gt;0,"NA",AVERAGEIFS(monthly!E:E,monthly!$A:$A,"&gt;="&amp;$A85,monthly!$B:$B,"&lt;="&amp;$B85))</f>
        <v>34.352925907560504</v>
      </c>
      <c r="N85" t="str">
        <f>IF(COUNTIFS(monthly!F:F,"",monthly!$A:$A,"&gt;="&amp;$A85,monthly!$B:$B,"&lt;="&amp;$B85)&gt;0,"NA",AVERAGEIFS(monthly!F:F,monthly!$A:$A,"&gt;="&amp;$A85,monthly!$B:$B,"&lt;="&amp;$B85))</f>
        <v>NA</v>
      </c>
      <c r="O85">
        <f>IF(COUNTIFS(monthly!G:G,"",monthly!$A:$A,"&gt;="&amp;$A85,monthly!$B:$B,"&lt;="&amp;$B85)&gt;0,"NA",AVERAGEIFS(monthly!G:G,monthly!$A:$A,"&gt;="&amp;$A85,monthly!$B:$B,"&lt;="&amp;$B85))</f>
        <v>32.5</v>
      </c>
      <c r="P85">
        <f>IF(COUNTIFS(monthly!H:H,"",monthly!$A:$A,"&gt;="&amp;$A85,monthly!$B:$B,"&lt;="&amp;$B85)&gt;0,"NA",AVERAGEIFS(monthly!H:H,monthly!$A:$A,"&gt;="&amp;$A85,monthly!$B:$B,"&lt;="&amp;$B85))</f>
        <v>40.5</v>
      </c>
      <c r="Q85">
        <f>IF(COUNTIFS(monthly!I:I,"",monthly!$A:$A,"&gt;="&amp;$A85,monthly!$B:$B,"&lt;="&amp;$B85)&gt;0,"NA",AVERAGEIFS(monthly!I:I,monthly!$A:$A,"&gt;="&amp;$A85,monthly!$B:$B,"&lt;="&amp;$B85))</f>
        <v>34.549999999999997</v>
      </c>
      <c r="R85">
        <f>IF(COUNTIFS(monthly!J:J,"",monthly!$A:$A,"&gt;="&amp;$A85,monthly!$B:$B,"&lt;="&amp;$B85)&gt;0,"NA",AVERAGEIFS(monthly!J:J,monthly!$A:$A,"&gt;="&amp;$A85,monthly!$B:$B,"&lt;="&amp;$B85))</f>
        <v>3.64</v>
      </c>
      <c r="S85">
        <f>IF(COUNTIFS(monthly!K:K,"",monthly!$A:$A,"&gt;="&amp;$A85,monthly!$B:$B,"&lt;="&amp;$B85)&gt;0,"NA",AVERAGEIFS(monthly!K:K,monthly!$A:$A,"&gt;="&amp;$A85,monthly!$B:$B,"&lt;="&amp;$B85))</f>
        <v>13.217391304347849</v>
      </c>
      <c r="T85">
        <f>IF(COUNTIFS(monthly!L:L,"",monthly!$A:$A,"&gt;="&amp;$A85,monthly!$B:$B,"&lt;="&amp;$B85)&gt;0,"NA",AVERAGEIFS(monthly!L:L,monthly!$A:$A,"&gt;="&amp;$A85,monthly!$B:$B,"&lt;="&amp;$B85))</f>
        <v>7.9596236559139797</v>
      </c>
      <c r="U85">
        <f>IF(COUNTIFS(monthly!M:M,"",monthly!$A:$A,"&gt;="&amp;$A85,monthly!$B:$B,"&lt;="&amp;$B85)&gt;0,"NA",AVERAGEIFS(monthly!M:M,monthly!$A:$A,"&gt;="&amp;$A85,monthly!$B:$B,"&lt;="&amp;$B85))</f>
        <v>5.2577676484338705</v>
      </c>
      <c r="V85" t="str">
        <f>IF(COUNTIFS(monthly!N:N,"",monthly!$A:$A,"&gt;="&amp;$A85,monthly!$B:$B,"&lt;="&amp;$B85)&gt;0,"NA",AVERAGEIFS(monthly!N:N,monthly!$A:$A,"&gt;="&amp;$A85,monthly!$B:$B,"&lt;="&amp;$B85))</f>
        <v>NA</v>
      </c>
      <c r="W85">
        <f>IF(COUNTIFS(monthly!O:O,"",monthly!$A:$A,"&gt;="&amp;$A85,monthly!$B:$B,"&lt;="&amp;$B85)&gt;0,"NA",AVERAGEIFS(monthly!O:O,monthly!$A:$A,"&gt;="&amp;$A85,monthly!$B:$B,"&lt;="&amp;$B85))</f>
        <v>7.7386136363636364</v>
      </c>
      <c r="X85" t="str">
        <f>IF(COUNTIFS(monthly!P:P,"",monthly!$A:$A,"&gt;="&amp;$A85,monthly!$B:$B,"&lt;="&amp;$B85)&gt;0,"NA",AVERAGEIFS(monthly!P:P,monthly!$A:$A,"&gt;="&amp;$A85,monthly!$B:$B,"&lt;="&amp;$B85))</f>
        <v>NA</v>
      </c>
      <c r="Y85">
        <f>IF(COUNTIFS(monthly!Q:Q,"",monthly!$A:$A,"&gt;="&amp;$A85,monthly!$B:$B,"&lt;="&amp;$B85)&gt;0,"NA",AVERAGEIFS(monthly!Q:Q,monthly!$A:$A,"&gt;="&amp;$A85,monthly!$B:$B,"&lt;="&amp;$B85))</f>
        <v>12.79</v>
      </c>
      <c r="Z85">
        <f>IF(COUNTIFS(monthly!R:R,"",monthly!$A:$A,"&gt;="&amp;$A85,monthly!$B:$B,"&lt;="&amp;$B85)&gt;0,"NA",AVERAGEIFS(monthly!R:R,monthly!$A:$A,"&gt;="&amp;$A85,monthly!$B:$B,"&lt;="&amp;$B85))</f>
        <v>8.5557727272727266</v>
      </c>
      <c r="AA85">
        <f>IF(COUNTIFS(monthly!S:S,"",monthly!$A:$A,"&gt;="&amp;$A85,monthly!$B:$B,"&lt;="&amp;$B85)&gt;0,"NA",AVERAGEIFS(monthly!S:S,monthly!$A:$A,"&gt;="&amp;$A85,monthly!$B:$B,"&lt;="&amp;$B85))</f>
        <v>4.2342272727272734</v>
      </c>
      <c r="AB85">
        <f>IF(COUNTIFS(monthly!T:T,"",monthly!$A:$A,"&gt;="&amp;$A85,monthly!$B:$B,"&lt;="&amp;$B85)&gt;0,"NA",AVERAGEIFS(monthly!T:T,monthly!$A:$A,"&gt;="&amp;$A85,monthly!$B:$B,"&lt;="&amp;$B85))</f>
        <v>27.255683229813663</v>
      </c>
      <c r="AC85" t="str">
        <f>IF(COUNTIFS(monthly!U:U,"",monthly!$A:$A,"&gt;="&amp;$A85,monthly!$B:$B,"&lt;="&amp;$B85)&gt;0,"NA",AVERAGEIFS(monthly!U:U,monthly!$A:$A,"&gt;="&amp;$A85,monthly!$B:$B,"&lt;="&amp;$B85))</f>
        <v>NA</v>
      </c>
      <c r="AD85" t="str">
        <f>IF(COUNTIFS(monthly!V:V,"",monthly!$A:$A,"&gt;="&amp;$A85,monthly!$B:$B,"&lt;="&amp;$B85)&gt;0,"NA",AVERAGEIFS(monthly!V:V,monthly!$A:$A,"&gt;="&amp;$A85,monthly!$B:$B,"&lt;="&amp;$B85))</f>
        <v>NA</v>
      </c>
      <c r="AE85">
        <f>IF(COUNTIFS(monthly!W:W,"",monthly!$A:$A,"&gt;="&amp;$A85,monthly!$B:$B,"&lt;="&amp;$B85)&gt;0,"NA",AVERAGEIFS(monthly!W:W,monthly!$A:$A,"&gt;="&amp;$A85,monthly!$B:$B,"&lt;="&amp;$B85))</f>
        <v>151.29805755615234</v>
      </c>
      <c r="AF85">
        <f>IF(COUNTIFS(monthly!X:X,"",monthly!$A:$A,"&gt;="&amp;$A85,monthly!$B:$B,"&lt;="&amp;$B85)&gt;0,"NA",AVERAGEIFS(monthly!X:X,monthly!$A:$A,"&gt;="&amp;$A85,monthly!$B:$B,"&lt;="&amp;$B85))</f>
        <v>187.06371307373047</v>
      </c>
      <c r="AG85">
        <f>IF(COUNTIFS(monthly!Y:Y,"",monthly!$A:$A,"&gt;="&amp;$A85,monthly!$B:$B,"&lt;="&amp;$B85)&gt;0,"NA",AVERAGEIFS(monthly!Y:Y,monthly!$A:$A,"&gt;="&amp;$A85,monthly!$B:$B,"&lt;="&amp;$B85))</f>
        <v>110.25552368164062</v>
      </c>
      <c r="AH85">
        <f>IF(COUNTIFS(monthly!Z:Z,"",monthly!$A:$A,"&gt;="&amp;$A85,monthly!$B:$B,"&lt;="&amp;$B85)&gt;0,"NA",AVERAGEIFS(monthly!Z:Z,monthly!$A:$A,"&gt;="&amp;$A85,monthly!$B:$B,"&lt;="&amp;$B85))</f>
        <v>0.12660567089915276</v>
      </c>
    </row>
    <row r="86" spans="1:34" x14ac:dyDescent="0.2">
      <c r="A86" s="1">
        <v>33239</v>
      </c>
      <c r="B86" s="1">
        <v>33327</v>
      </c>
      <c r="C86">
        <f>IF(ISBLANK(VLOOKUP($A86,quarterly_data,MATCH(C$1,quarterly!$1:$1,FALSE),FALSE)),"NA",VLOOKUP($A86,quarterly_data,MATCH(C$1,quarterly!$1:$1,FALSE),FALSE))</f>
        <v>113.74431330891555</v>
      </c>
      <c r="D86">
        <f>IF(ISBLANK(VLOOKUP($A86,quarterly_data,MATCH(D$1,quarterly!$1:$1,FALSE),FALSE)),"NA",VLOOKUP($A86,quarterly_data,MATCH(D$1,quarterly!$1:$1,FALSE),FALSE))</f>
        <v>51.9</v>
      </c>
      <c r="E86">
        <f>IF(ISBLANK(VLOOKUP($A86,quarterly_data,MATCH(E$1,quarterly!$1:$1,FALSE),FALSE)),"NA",VLOOKUP($A86,quarterly_data,MATCH(E$1,quarterly!$1:$1,FALSE),FALSE))</f>
        <v>6.4086099999999993E-2</v>
      </c>
      <c r="F86">
        <f>IF(ISBLANK(VLOOKUP($A86,quarterly_data,MATCH(F$1,quarterly!$1:$1,FALSE),FALSE)),"NA",VLOOKUP($A86,quarterly_data,MATCH(F$1,quarterly!$1:$1,FALSE),FALSE))</f>
        <v>3.21117E-2</v>
      </c>
      <c r="G86">
        <f>IF(ISBLANK(VLOOKUP($A86,quarterly_data,MATCH(G$1,quarterly!$1:$1,FALSE),FALSE)),"NA",VLOOKUP($A86,quarterly_data,MATCH(G$1,quarterly!$1:$1,FALSE),FALSE))</f>
        <v>9951.9159999999993</v>
      </c>
      <c r="H86">
        <f>IF(ISBLANK(VLOOKUP($A86,quarterly_data,MATCH(H$1,quarterly!$1:$1,FALSE),FALSE)),"NA",VLOOKUP($A86,quarterly_data,MATCH(H$1,quarterly!$1:$1,FALSE),FALSE))</f>
        <v>250758</v>
      </c>
      <c r="I86">
        <f>IF(ISBLANK(VLOOKUP($A86,quarterly_data,MATCH(I$1,quarterly!$1:$1,FALSE),FALSE)),"NA",VLOOKUP($A86,quarterly_data,MATCH(I$1,quarterly!$1:$1,FALSE),FALSE))</f>
        <v>0.8</v>
      </c>
      <c r="J86">
        <f>IF(ISBLANK(VLOOKUP($A86,quarterly_data,MATCH(J$1,quarterly!$1:$1,FALSE),FALSE)),"NA",VLOOKUP($A86,quarterly_data,MATCH(J$1,quarterly!$1:$1,FALSE),FALSE))</f>
        <v>40.9</v>
      </c>
      <c r="K86">
        <f>IF(COUNTIFS(monthly!C:C,"",monthly!$A:$A,"&gt;="&amp;$A86,monthly!$B:$B,"&lt;="&amp;$B86)&gt;0,"NA",AVERAGEIFS(monthly!C:C,monthly!$A:$A,"&gt;="&amp;$A86,monthly!$B:$B,"&lt;="&amp;$B86))</f>
        <v>57.7</v>
      </c>
      <c r="L86">
        <f>IF(COUNTIFS(monthly!D:D,"",monthly!$A:$A,"&gt;="&amp;$A86,monthly!$B:$B,"&lt;="&amp;$B86)&gt;0,"NA",AVERAGEIFS(monthly!D:D,monthly!$A:$A,"&gt;="&amp;$A86,monthly!$B:$B,"&lt;="&amp;$B86))</f>
        <v>0.78500000000000003</v>
      </c>
      <c r="M86">
        <f>IF(COUNTIFS(monthly!E:E,"",monthly!$A:$A,"&gt;="&amp;$A86,monthly!$B:$B,"&lt;="&amp;$B86)&gt;0,"NA",AVERAGEIFS(monthly!E:E,monthly!$A:$A,"&gt;="&amp;$A86,monthly!$B:$B,"&lt;="&amp;$B86))</f>
        <v>32.035395633027903</v>
      </c>
      <c r="N86" t="str">
        <f>IF(COUNTIFS(monthly!F:F,"",monthly!$A:$A,"&gt;="&amp;$A86,monthly!$B:$B,"&lt;="&amp;$B86)&gt;0,"NA",AVERAGEIFS(monthly!F:F,monthly!$A:$A,"&gt;="&amp;$A86,monthly!$B:$B,"&lt;="&amp;$B86))</f>
        <v>NA</v>
      </c>
      <c r="O86">
        <f>IF(COUNTIFS(monthly!G:G,"",monthly!$A:$A,"&gt;="&amp;$A86,monthly!$B:$B,"&lt;="&amp;$B86)&gt;0,"NA",AVERAGEIFS(monthly!G:G,monthly!$A:$A,"&gt;="&amp;$A86,monthly!$B:$B,"&lt;="&amp;$B86))</f>
        <v>34.799999999999997</v>
      </c>
      <c r="P86">
        <f>IF(COUNTIFS(monthly!H:H,"",monthly!$A:$A,"&gt;="&amp;$A86,monthly!$B:$B,"&lt;="&amp;$B86)&gt;0,"NA",AVERAGEIFS(monthly!H:H,monthly!$A:$A,"&gt;="&amp;$A86,monthly!$B:$B,"&lt;="&amp;$B86))</f>
        <v>40.5</v>
      </c>
      <c r="Q86">
        <f>IF(COUNTIFS(monthly!I:I,"",monthly!$A:$A,"&gt;="&amp;$A86,monthly!$B:$B,"&lt;="&amp;$B86)&gt;0,"NA",AVERAGEIFS(monthly!I:I,monthly!$A:$A,"&gt;="&amp;$A86,monthly!$B:$B,"&lt;="&amp;$B86))</f>
        <v>21.549999999999997</v>
      </c>
      <c r="R86">
        <f>IF(COUNTIFS(monthly!J:J,"",monthly!$A:$A,"&gt;="&amp;$A86,monthly!$B:$B,"&lt;="&amp;$B86)&gt;0,"NA",AVERAGEIFS(monthly!J:J,monthly!$A:$A,"&gt;="&amp;$A86,monthly!$B:$B,"&lt;="&amp;$B86))</f>
        <v>3.99</v>
      </c>
      <c r="S86">
        <f>IF(COUNTIFS(monthly!K:K,"",monthly!$A:$A,"&gt;="&amp;$A86,monthly!$B:$B,"&lt;="&amp;$B86)&gt;0,"NA",AVERAGEIFS(monthly!K:K,monthly!$A:$A,"&gt;="&amp;$A86,monthly!$B:$B,"&lt;="&amp;$B86))</f>
        <v>12</v>
      </c>
      <c r="T86">
        <f>IF(COUNTIFS(monthly!L:L,"",monthly!$A:$A,"&gt;="&amp;$A86,monthly!$B:$B,"&lt;="&amp;$B86)&gt;0,"NA",AVERAGEIFS(monthly!L:L,monthly!$A:$A,"&gt;="&amp;$A86,monthly!$B:$B,"&lt;="&amp;$B86))</f>
        <v>6.5794758064516135</v>
      </c>
      <c r="U86">
        <f>IF(COUNTIFS(monthly!M:M,"",monthly!$A:$A,"&gt;="&amp;$A86,monthly!$B:$B,"&lt;="&amp;$B86)&gt;0,"NA",AVERAGEIFS(monthly!M:M,monthly!$A:$A,"&gt;="&amp;$A86,monthly!$B:$B,"&lt;="&amp;$B86))</f>
        <v>5.4205241935483865</v>
      </c>
      <c r="V86" t="str">
        <f>IF(COUNTIFS(monthly!N:N,"",monthly!$A:$A,"&gt;="&amp;$A86,monthly!$B:$B,"&lt;="&amp;$B86)&gt;0,"NA",AVERAGEIFS(monthly!N:N,monthly!$A:$A,"&gt;="&amp;$A86,monthly!$B:$B,"&lt;="&amp;$B86))</f>
        <v>NA</v>
      </c>
      <c r="W86">
        <f>IF(COUNTIFS(monthly!O:O,"",monthly!$A:$A,"&gt;="&amp;$A86,monthly!$B:$B,"&lt;="&amp;$B86)&gt;0,"NA",AVERAGEIFS(monthly!O:O,monthly!$A:$A,"&gt;="&amp;$A86,monthly!$B:$B,"&lt;="&amp;$B86))</f>
        <v>6.9960401002506272</v>
      </c>
      <c r="X86" t="str">
        <f>IF(COUNTIFS(monthly!P:P,"",monthly!$A:$A,"&gt;="&amp;$A86,monthly!$B:$B,"&lt;="&amp;$B86)&gt;0,"NA",AVERAGEIFS(monthly!P:P,monthly!$A:$A,"&gt;="&amp;$A86,monthly!$B:$B,"&lt;="&amp;$B86))</f>
        <v>NA</v>
      </c>
      <c r="Y86">
        <f>IF(COUNTIFS(monthly!Q:Q,"",monthly!$A:$A,"&gt;="&amp;$A86,monthly!$B:$B,"&lt;="&amp;$B86)&gt;0,"NA",AVERAGEIFS(monthly!Q:Q,monthly!$A:$A,"&gt;="&amp;$A86,monthly!$B:$B,"&lt;="&amp;$B86))</f>
        <v>11.524999999999999</v>
      </c>
      <c r="Z86">
        <f>IF(COUNTIFS(monthly!R:R,"",monthly!$A:$A,"&gt;="&amp;$A86,monthly!$B:$B,"&lt;="&amp;$B86)&gt;0,"NA",AVERAGEIFS(monthly!R:R,monthly!$A:$A,"&gt;="&amp;$A86,monthly!$B:$B,"&lt;="&amp;$B86))</f>
        <v>7.9733208020050128</v>
      </c>
      <c r="AA86">
        <f>IF(COUNTIFS(monthly!S:S,"",monthly!$A:$A,"&gt;="&amp;$A86,monthly!$B:$B,"&lt;="&amp;$B86)&gt;0,"NA",AVERAGEIFS(monthly!S:S,monthly!$A:$A,"&gt;="&amp;$A86,monthly!$B:$B,"&lt;="&amp;$B86))</f>
        <v>3.5516791979949871</v>
      </c>
      <c r="AB86">
        <f>IF(COUNTIFS(monthly!T:T,"",monthly!$A:$A,"&gt;="&amp;$A86,monthly!$B:$B,"&lt;="&amp;$B86)&gt;0,"NA",AVERAGEIFS(monthly!T:T,monthly!$A:$A,"&gt;="&amp;$A86,monthly!$B:$B,"&lt;="&amp;$B86))</f>
        <v>24.513755980861241</v>
      </c>
      <c r="AC86" t="str">
        <f>IF(COUNTIFS(monthly!U:U,"",monthly!$A:$A,"&gt;="&amp;$A86,monthly!$B:$B,"&lt;="&amp;$B86)&gt;0,"NA",AVERAGEIFS(monthly!U:U,monthly!$A:$A,"&gt;="&amp;$A86,monthly!$B:$B,"&lt;="&amp;$B86))</f>
        <v>NA</v>
      </c>
      <c r="AD86" t="str">
        <f>IF(COUNTIFS(monthly!V:V,"",monthly!$A:$A,"&gt;="&amp;$A86,monthly!$B:$B,"&lt;="&amp;$B86)&gt;0,"NA",AVERAGEIFS(monthly!V:V,monthly!$A:$A,"&gt;="&amp;$A86,monthly!$B:$B,"&lt;="&amp;$B86))</f>
        <v>NA</v>
      </c>
      <c r="AE86">
        <f>IF(COUNTIFS(monthly!W:W,"",monthly!$A:$A,"&gt;="&amp;$A86,monthly!$B:$B,"&lt;="&amp;$B86)&gt;0,"NA",AVERAGEIFS(monthly!W:W,monthly!$A:$A,"&gt;="&amp;$A86,monthly!$B:$B,"&lt;="&amp;$B86))</f>
        <v>359.30390930175781</v>
      </c>
      <c r="AF86">
        <f>IF(COUNTIFS(monthly!X:X,"",monthly!$A:$A,"&gt;="&amp;$A86,monthly!$B:$B,"&lt;="&amp;$B86)&gt;0,"NA",AVERAGEIFS(monthly!X:X,monthly!$A:$A,"&gt;="&amp;$A86,monthly!$B:$B,"&lt;="&amp;$B86))</f>
        <v>306.91221618652344</v>
      </c>
      <c r="AG86">
        <f>IF(COUNTIFS(monthly!Y:Y,"",monthly!$A:$A,"&gt;="&amp;$A86,monthly!$B:$B,"&lt;="&amp;$B86)&gt;0,"NA",AVERAGEIFS(monthly!Y:Y,monthly!$A:$A,"&gt;="&amp;$A86,monthly!$B:$B,"&lt;="&amp;$B86))</f>
        <v>484.99479675292969</v>
      </c>
      <c r="AH86">
        <f>IF(COUNTIFS(monthly!Z:Z,"",monthly!$A:$A,"&gt;="&amp;$A86,monthly!$B:$B,"&lt;="&amp;$B86)&gt;0,"NA",AVERAGEIFS(monthly!Z:Z,monthly!$A:$A,"&gt;="&amp;$A86,monthly!$B:$B,"&lt;="&amp;$B86))</f>
        <v>0.18683145195245743</v>
      </c>
    </row>
    <row r="87" spans="1:34" x14ac:dyDescent="0.2">
      <c r="A87" s="1">
        <v>33329</v>
      </c>
      <c r="B87" s="1">
        <v>33419</v>
      </c>
      <c r="C87">
        <f>IF(ISBLANK(VLOOKUP($A87,quarterly_data,MATCH(C$1,quarterly!$1:$1,FALSE),FALSE)),"NA",VLOOKUP($A87,quarterly_data,MATCH(C$1,quarterly!$1:$1,FALSE),FALSE))</f>
        <v>117.0980312332766</v>
      </c>
      <c r="D87">
        <f>IF(ISBLANK(VLOOKUP($A87,quarterly_data,MATCH(D$1,quarterly!$1:$1,FALSE),FALSE)),"NA",VLOOKUP($A87,quarterly_data,MATCH(D$1,quarterly!$1:$1,FALSE),FALSE))</f>
        <v>51.4</v>
      </c>
      <c r="E87">
        <f>IF(ISBLANK(VLOOKUP($A87,quarterly_data,MATCH(E$1,quarterly!$1:$1,FALSE),FALSE)),"NA",VLOOKUP($A87,quarterly_data,MATCH(E$1,quarterly!$1:$1,FALSE),FALSE))</f>
        <v>0.1433007</v>
      </c>
      <c r="F87">
        <f>IF(ISBLANK(VLOOKUP($A87,quarterly_data,MATCH(F$1,quarterly!$1:$1,FALSE),FALSE)),"NA",VLOOKUP($A87,quarterly_data,MATCH(F$1,quarterly!$1:$1,FALSE),FALSE))</f>
        <v>3.6759399999999998E-2</v>
      </c>
      <c r="G87">
        <f>IF(ISBLANK(VLOOKUP($A87,quarterly_data,MATCH(G$1,quarterly!$1:$1,FALSE),FALSE)),"NA",VLOOKUP($A87,quarterly_data,MATCH(G$1,quarterly!$1:$1,FALSE),FALSE))</f>
        <v>10029.51</v>
      </c>
      <c r="H87">
        <f>IF(ISBLANK(VLOOKUP($A87,quarterly_data,MATCH(H$1,quarterly!$1:$1,FALSE),FALSE)),"NA",VLOOKUP($A87,quarterly_data,MATCH(H$1,quarterly!$1:$1,FALSE),FALSE))</f>
        <v>250219</v>
      </c>
      <c r="I87">
        <f>IF(ISBLANK(VLOOKUP($A87,quarterly_data,MATCH(I$1,quarterly!$1:$1,FALSE),FALSE)),"NA",VLOOKUP($A87,quarterly_data,MATCH(I$1,quarterly!$1:$1,FALSE),FALSE))</f>
        <v>1.1000000000000001</v>
      </c>
      <c r="J87">
        <f>IF(ISBLANK(VLOOKUP($A87,quarterly_data,MATCH(J$1,quarterly!$1:$1,FALSE),FALSE)),"NA",VLOOKUP($A87,quarterly_data,MATCH(J$1,quarterly!$1:$1,FALSE),FALSE))</f>
        <v>40.98</v>
      </c>
      <c r="K87">
        <f>IF(COUNTIFS(monthly!C:C,"",monthly!$A:$A,"&gt;="&amp;$A87,monthly!$B:$B,"&lt;="&amp;$B87)&gt;0,"NA",AVERAGEIFS(monthly!C:C,monthly!$A:$A,"&gt;="&amp;$A87,monthly!$B:$B,"&lt;="&amp;$B87))</f>
        <v>59.466666666666669</v>
      </c>
      <c r="L87">
        <f>IF(COUNTIFS(monthly!D:D,"",monthly!$A:$A,"&gt;="&amp;$A87,monthly!$B:$B,"&lt;="&amp;$B87)&gt;0,"NA",AVERAGEIFS(monthly!D:D,monthly!$A:$A,"&gt;="&amp;$A87,monthly!$B:$B,"&lt;="&amp;$B87))</f>
        <v>0.77023333333333321</v>
      </c>
      <c r="M87">
        <f>IF(COUNTIFS(monthly!E:E,"",monthly!$A:$A,"&gt;="&amp;$A87,monthly!$B:$B,"&lt;="&amp;$B87)&gt;0,"NA",AVERAGEIFS(monthly!E:E,monthly!$A:$A,"&gt;="&amp;$A87,monthly!$B:$B,"&lt;="&amp;$B87))</f>
        <v>33.386024151436565</v>
      </c>
      <c r="N87" t="str">
        <f>IF(COUNTIFS(monthly!F:F,"",monthly!$A:$A,"&gt;="&amp;$A87,monthly!$B:$B,"&lt;="&amp;$B87)&gt;0,"NA",AVERAGEIFS(monthly!F:F,monthly!$A:$A,"&gt;="&amp;$A87,monthly!$B:$B,"&lt;="&amp;$B87))</f>
        <v>NA</v>
      </c>
      <c r="O87">
        <f>IF(COUNTIFS(monthly!G:G,"",monthly!$A:$A,"&gt;="&amp;$A87,monthly!$B:$B,"&lt;="&amp;$B87)&gt;0,"NA",AVERAGEIFS(monthly!G:G,monthly!$A:$A,"&gt;="&amp;$A87,monthly!$B:$B,"&lt;="&amp;$B87))</f>
        <v>34.799999999999997</v>
      </c>
      <c r="P87">
        <f>IF(COUNTIFS(monthly!H:H,"",monthly!$A:$A,"&gt;="&amp;$A87,monthly!$B:$B,"&lt;="&amp;$B87)&gt;0,"NA",AVERAGEIFS(monthly!H:H,monthly!$A:$A,"&gt;="&amp;$A87,monthly!$B:$B,"&lt;="&amp;$B87))</f>
        <v>39.5</v>
      </c>
      <c r="Q87">
        <f>IF(COUNTIFS(monthly!I:I,"",monthly!$A:$A,"&gt;="&amp;$A87,monthly!$B:$B,"&lt;="&amp;$B87)&gt;0,"NA",AVERAGEIFS(monthly!I:I,monthly!$A:$A,"&gt;="&amp;$A87,monthly!$B:$B,"&lt;="&amp;$B87))</f>
        <v>18.933333333333334</v>
      </c>
      <c r="R87">
        <f>IF(COUNTIFS(monthly!J:J,"",monthly!$A:$A,"&gt;="&amp;$A87,monthly!$B:$B,"&lt;="&amp;$B87)&gt;0,"NA",AVERAGEIFS(monthly!J:J,monthly!$A:$A,"&gt;="&amp;$A87,monthly!$B:$B,"&lt;="&amp;$B87))</f>
        <v>3.99</v>
      </c>
      <c r="S87">
        <f>IF(COUNTIFS(monthly!K:K,"",monthly!$A:$A,"&gt;="&amp;$A87,monthly!$B:$B,"&lt;="&amp;$B87)&gt;0,"NA",AVERAGEIFS(monthly!K:K,monthly!$A:$A,"&gt;="&amp;$A87,monthly!$B:$B,"&lt;="&amp;$B87))</f>
        <v>11.009420289855067</v>
      </c>
      <c r="T87">
        <f>IF(COUNTIFS(monthly!L:L,"",monthly!$A:$A,"&gt;="&amp;$A87,monthly!$B:$B,"&lt;="&amp;$B87)&gt;0,"NA",AVERAGEIFS(monthly!L:L,monthly!$A:$A,"&gt;="&amp;$A87,monthly!$B:$B,"&lt;="&amp;$B87))</f>
        <v>5.8649677419354838</v>
      </c>
      <c r="U87">
        <f>IF(COUNTIFS(monthly!M:M,"",monthly!$A:$A,"&gt;="&amp;$A87,monthly!$B:$B,"&lt;="&amp;$B87)&gt;0,"NA",AVERAGEIFS(monthly!M:M,monthly!$A:$A,"&gt;="&amp;$A87,monthly!$B:$B,"&lt;="&amp;$B87))</f>
        <v>5.1444525479195837</v>
      </c>
      <c r="V87" t="str">
        <f>IF(COUNTIFS(monthly!N:N,"",monthly!$A:$A,"&gt;="&amp;$A87,monthly!$B:$B,"&lt;="&amp;$B87)&gt;0,"NA",AVERAGEIFS(monthly!N:N,monthly!$A:$A,"&gt;="&amp;$A87,monthly!$B:$B,"&lt;="&amp;$B87))</f>
        <v>NA</v>
      </c>
      <c r="W87">
        <f>IF(COUNTIFS(monthly!O:O,"",monthly!$A:$A,"&gt;="&amp;$A87,monthly!$B:$B,"&lt;="&amp;$B87)&gt;0,"NA",AVERAGEIFS(monthly!O:O,monthly!$A:$A,"&gt;="&amp;$A87,monthly!$B:$B,"&lt;="&amp;$B87))</f>
        <v>6.8959393939393943</v>
      </c>
      <c r="X87" t="str">
        <f>IF(COUNTIFS(monthly!P:P,"",monthly!$A:$A,"&gt;="&amp;$A87,monthly!$B:$B,"&lt;="&amp;$B87)&gt;0,"NA",AVERAGEIFS(monthly!P:P,monthly!$A:$A,"&gt;="&amp;$A87,monthly!$B:$B,"&lt;="&amp;$B87))</f>
        <v>NA</v>
      </c>
      <c r="Y87">
        <f>IF(COUNTIFS(monthly!Q:Q,"",monthly!$A:$A,"&gt;="&amp;$A87,monthly!$B:$B,"&lt;="&amp;$B87)&gt;0,"NA",AVERAGEIFS(monthly!Q:Q,monthly!$A:$A,"&gt;="&amp;$A87,monthly!$B:$B,"&lt;="&amp;$B87))</f>
        <v>10.966666666666667</v>
      </c>
      <c r="Z87">
        <f>IF(COUNTIFS(monthly!R:R,"",monthly!$A:$A,"&gt;="&amp;$A87,monthly!$B:$B,"&lt;="&amp;$B87)&gt;0,"NA",AVERAGEIFS(monthly!R:R,monthly!$A:$A,"&gt;="&amp;$A87,monthly!$B:$B,"&lt;="&amp;$B87))</f>
        <v>8.1302727272727271</v>
      </c>
      <c r="AA87">
        <f>IF(COUNTIFS(monthly!S:S,"",monthly!$A:$A,"&gt;="&amp;$A87,monthly!$B:$B,"&lt;="&amp;$B87)&gt;0,"NA",AVERAGEIFS(monthly!S:S,monthly!$A:$A,"&gt;="&amp;$A87,monthly!$B:$B,"&lt;="&amp;$B87))</f>
        <v>2.8363939393939392</v>
      </c>
      <c r="AB87">
        <f>IF(COUNTIFS(monthly!T:T,"",monthly!$A:$A,"&gt;="&amp;$A87,monthly!$B:$B,"&lt;="&amp;$B87)&gt;0,"NA",AVERAGEIFS(monthly!T:T,monthly!$A:$A,"&gt;="&amp;$A87,monthly!$B:$B,"&lt;="&amp;$B87))</f>
        <v>17.146666666666668</v>
      </c>
      <c r="AC87" t="str">
        <f>IF(COUNTIFS(monthly!U:U,"",monthly!$A:$A,"&gt;="&amp;$A87,monthly!$B:$B,"&lt;="&amp;$B87)&gt;0,"NA",AVERAGEIFS(monthly!U:U,monthly!$A:$A,"&gt;="&amp;$A87,monthly!$B:$B,"&lt;="&amp;$B87))</f>
        <v>NA</v>
      </c>
      <c r="AD87" t="str">
        <f>IF(COUNTIFS(monthly!V:V,"",monthly!$A:$A,"&gt;="&amp;$A87,monthly!$B:$B,"&lt;="&amp;$B87)&gt;0,"NA",AVERAGEIFS(monthly!V:V,monthly!$A:$A,"&gt;="&amp;$A87,monthly!$B:$B,"&lt;="&amp;$B87))</f>
        <v>NA</v>
      </c>
      <c r="AE87">
        <f>IF(COUNTIFS(monthly!W:W,"",monthly!$A:$A,"&gt;="&amp;$A87,monthly!$B:$B,"&lt;="&amp;$B87)&gt;0,"NA",AVERAGEIFS(monthly!W:W,monthly!$A:$A,"&gt;="&amp;$A87,monthly!$B:$B,"&lt;="&amp;$B87))</f>
        <v>91.354288736979171</v>
      </c>
      <c r="AF87">
        <f>IF(COUNTIFS(monthly!X:X,"",monthly!$A:$A,"&gt;="&amp;$A87,monthly!$B:$B,"&lt;="&amp;$B87)&gt;0,"NA",AVERAGEIFS(monthly!X:X,monthly!$A:$A,"&gt;="&amp;$A87,monthly!$B:$B,"&lt;="&amp;$B87))</f>
        <v>98.677068074544266</v>
      </c>
      <c r="AG87">
        <f>IF(COUNTIFS(monthly!Y:Y,"",monthly!$A:$A,"&gt;="&amp;$A87,monthly!$B:$B,"&lt;="&amp;$B87)&gt;0,"NA",AVERAGEIFS(monthly!Y:Y,monthly!$A:$A,"&gt;="&amp;$A87,monthly!$B:$B,"&lt;="&amp;$B87))</f>
        <v>79.020606994628906</v>
      </c>
      <c r="AH87">
        <f>IF(COUNTIFS(monthly!Z:Z,"",monthly!$A:$A,"&gt;="&amp;$A87,monthly!$B:$B,"&lt;="&amp;$B87)&gt;0,"NA",AVERAGEIFS(monthly!Z:Z,monthly!$A:$A,"&gt;="&amp;$A87,monthly!$B:$B,"&lt;="&amp;$B87))</f>
        <v>2.9932175452510517E-2</v>
      </c>
    </row>
    <row r="88" spans="1:34" x14ac:dyDescent="0.2">
      <c r="A88" s="1">
        <v>33420</v>
      </c>
      <c r="B88" s="1">
        <v>33511</v>
      </c>
      <c r="C88">
        <f>IF(ISBLANK(VLOOKUP($A88,quarterly_data,MATCH(C$1,quarterly!$1:$1,FALSE),FALSE)),"NA",VLOOKUP($A88,quarterly_data,MATCH(C$1,quarterly!$1:$1,FALSE),FALSE))</f>
        <v>118.80022140362259</v>
      </c>
      <c r="D88">
        <f>IF(ISBLANK(VLOOKUP($A88,quarterly_data,MATCH(D$1,quarterly!$1:$1,FALSE),FALSE)),"NA",VLOOKUP($A88,quarterly_data,MATCH(D$1,quarterly!$1:$1,FALSE),FALSE))</f>
        <v>51.6</v>
      </c>
      <c r="E88">
        <f>IF(ISBLANK(VLOOKUP($A88,quarterly_data,MATCH(E$1,quarterly!$1:$1,FALSE),FALSE)),"NA",VLOOKUP($A88,quarterly_data,MATCH(E$1,quarterly!$1:$1,FALSE),FALSE))</f>
        <v>0.4162981</v>
      </c>
      <c r="F88">
        <f>IF(ISBLANK(VLOOKUP($A88,quarterly_data,MATCH(F$1,quarterly!$1:$1,FALSE),FALSE)),"NA",VLOOKUP($A88,quarterly_data,MATCH(F$1,quarterly!$1:$1,FALSE),FALSE))</f>
        <v>9.9725900000000006E-2</v>
      </c>
      <c r="G88">
        <f>IF(ISBLANK(VLOOKUP($A88,quarterly_data,MATCH(G$1,quarterly!$1:$1,FALSE),FALSE)),"NA",VLOOKUP($A88,quarterly_data,MATCH(G$1,quarterly!$1:$1,FALSE),FALSE))</f>
        <v>10080.195</v>
      </c>
      <c r="H88">
        <f>IF(ISBLANK(VLOOKUP($A88,quarterly_data,MATCH(H$1,quarterly!$1:$1,FALSE),FALSE)),"NA",VLOOKUP($A88,quarterly_data,MATCH(H$1,quarterly!$1:$1,FALSE),FALSE))</f>
        <v>251377</v>
      </c>
      <c r="I88">
        <f>IF(ISBLANK(VLOOKUP($A88,quarterly_data,MATCH(I$1,quarterly!$1:$1,FALSE),FALSE)),"NA",VLOOKUP($A88,quarterly_data,MATCH(I$1,quarterly!$1:$1,FALSE),FALSE))</f>
        <v>1.1000000000000001</v>
      </c>
      <c r="J88">
        <f>IF(ISBLANK(VLOOKUP($A88,quarterly_data,MATCH(J$1,quarterly!$1:$1,FALSE),FALSE)),"NA",VLOOKUP($A88,quarterly_data,MATCH(J$1,quarterly!$1:$1,FALSE),FALSE))</f>
        <v>41.21</v>
      </c>
      <c r="K88">
        <f>IF(COUNTIFS(monthly!C:C,"",monthly!$A:$A,"&gt;="&amp;$A88,monthly!$B:$B,"&lt;="&amp;$B88)&gt;0,"NA",AVERAGEIFS(monthly!C:C,monthly!$A:$A,"&gt;="&amp;$A88,monthly!$B:$B,"&lt;="&amp;$B88))</f>
        <v>60.4</v>
      </c>
      <c r="L88">
        <f>IF(COUNTIFS(monthly!D:D,"",monthly!$A:$A,"&gt;="&amp;$A88,monthly!$B:$B,"&lt;="&amp;$B88)&gt;0,"NA",AVERAGEIFS(monthly!D:D,monthly!$A:$A,"&gt;="&amp;$A88,monthly!$B:$B,"&lt;="&amp;$B88))</f>
        <v>0.78726666666666667</v>
      </c>
      <c r="M88">
        <f>IF(COUNTIFS(monthly!E:E,"",monthly!$A:$A,"&gt;="&amp;$A88,monthly!$B:$B,"&lt;="&amp;$B88)&gt;0,"NA",AVERAGEIFS(monthly!E:E,monthly!$A:$A,"&gt;="&amp;$A88,monthly!$B:$B,"&lt;="&amp;$B88))</f>
        <v>33.338146863453467</v>
      </c>
      <c r="N88" t="str">
        <f>IF(COUNTIFS(monthly!F:F,"",monthly!$A:$A,"&gt;="&amp;$A88,monthly!$B:$B,"&lt;="&amp;$B88)&gt;0,"NA",AVERAGEIFS(monthly!F:F,monthly!$A:$A,"&gt;="&amp;$A88,monthly!$B:$B,"&lt;="&amp;$B88))</f>
        <v>NA</v>
      </c>
      <c r="O88">
        <f>IF(COUNTIFS(monthly!G:G,"",monthly!$A:$A,"&gt;="&amp;$A88,monthly!$B:$B,"&lt;="&amp;$B88)&gt;0,"NA",AVERAGEIFS(monthly!G:G,monthly!$A:$A,"&gt;="&amp;$A88,monthly!$B:$B,"&lt;="&amp;$B88))</f>
        <v>34.799999999999997</v>
      </c>
      <c r="P88">
        <f>IF(COUNTIFS(monthly!H:H,"",monthly!$A:$A,"&gt;="&amp;$A88,monthly!$B:$B,"&lt;="&amp;$B88)&gt;0,"NA",AVERAGEIFS(monthly!H:H,monthly!$A:$A,"&gt;="&amp;$A88,monthly!$B:$B,"&lt;="&amp;$B88))</f>
        <v>39.5</v>
      </c>
      <c r="Q88">
        <f>IF(COUNTIFS(monthly!I:I,"",monthly!$A:$A,"&gt;="&amp;$A88,monthly!$B:$B,"&lt;="&amp;$B88)&gt;0,"NA",AVERAGEIFS(monthly!I:I,monthly!$A:$A,"&gt;="&amp;$A88,monthly!$B:$B,"&lt;="&amp;$B88))</f>
        <v>19.933333333333334</v>
      </c>
      <c r="R88">
        <f>IF(COUNTIFS(monthly!J:J,"",monthly!$A:$A,"&gt;="&amp;$A88,monthly!$B:$B,"&lt;="&amp;$B88)&gt;0,"NA",AVERAGEIFS(monthly!J:J,monthly!$A:$A,"&gt;="&amp;$A88,monthly!$B:$B,"&lt;="&amp;$B88))</f>
        <v>3.99</v>
      </c>
      <c r="S88">
        <f>IF(COUNTIFS(monthly!K:K,"",monthly!$A:$A,"&gt;="&amp;$A88,monthly!$B:$B,"&lt;="&amp;$B88)&gt;0,"NA",AVERAGEIFS(monthly!K:K,monthly!$A:$A,"&gt;="&amp;$A88,monthly!$B:$B,"&lt;="&amp;$B88))</f>
        <v>10.182539682539684</v>
      </c>
      <c r="T88">
        <f>IF(COUNTIFS(monthly!L:L,"",monthly!$A:$A,"&gt;="&amp;$A88,monthly!$B:$B,"&lt;="&amp;$B88)&gt;0,"NA",AVERAGEIFS(monthly!L:L,monthly!$A:$A,"&gt;="&amp;$A88,monthly!$B:$B,"&lt;="&amp;$B88))</f>
        <v>5.6430860215053755</v>
      </c>
      <c r="U88">
        <f>IF(COUNTIFS(monthly!M:M,"",monthly!$A:$A,"&gt;="&amp;$A88,monthly!$B:$B,"&lt;="&amp;$B88)&gt;0,"NA",AVERAGEIFS(monthly!M:M,monthly!$A:$A,"&gt;="&amp;$A88,monthly!$B:$B,"&lt;="&amp;$B88))</f>
        <v>4.5394536610343073</v>
      </c>
      <c r="V88" t="str">
        <f>IF(COUNTIFS(monthly!N:N,"",monthly!$A:$A,"&gt;="&amp;$A88,monthly!$B:$B,"&lt;="&amp;$B88)&gt;0,"NA",AVERAGEIFS(monthly!N:N,monthly!$A:$A,"&gt;="&amp;$A88,monthly!$B:$B,"&lt;="&amp;$B88))</f>
        <v>NA</v>
      </c>
      <c r="W88">
        <f>IF(COUNTIFS(monthly!O:O,"",monthly!$A:$A,"&gt;="&amp;$A88,monthly!$B:$B,"&lt;="&amp;$B88)&gt;0,"NA",AVERAGEIFS(monthly!O:O,monthly!$A:$A,"&gt;="&amp;$A88,monthly!$B:$B,"&lt;="&amp;$B88))</f>
        <v>6.5108030303030304</v>
      </c>
      <c r="X88" t="str">
        <f>IF(COUNTIFS(monthly!P:P,"",monthly!$A:$A,"&gt;="&amp;$A88,monthly!$B:$B,"&lt;="&amp;$B88)&gt;0,"NA",AVERAGEIFS(monthly!P:P,monthly!$A:$A,"&gt;="&amp;$A88,monthly!$B:$B,"&lt;="&amp;$B88))</f>
        <v>NA</v>
      </c>
      <c r="Y88">
        <f>IF(COUNTIFS(monthly!Q:Q,"",monthly!$A:$A,"&gt;="&amp;$A88,monthly!$B:$B,"&lt;="&amp;$B88)&gt;0,"NA",AVERAGEIFS(monthly!Q:Q,monthly!$A:$A,"&gt;="&amp;$A88,monthly!$B:$B,"&lt;="&amp;$B88))</f>
        <v>10.656666666666666</v>
      </c>
      <c r="Z88">
        <f>IF(COUNTIFS(monthly!R:R,"",monthly!$A:$A,"&gt;="&amp;$A88,monthly!$B:$B,"&lt;="&amp;$B88)&gt;0,"NA",AVERAGEIFS(monthly!R:R,monthly!$A:$A,"&gt;="&amp;$A88,monthly!$B:$B,"&lt;="&amp;$B88))</f>
        <v>7.9409090909090914</v>
      </c>
      <c r="AA88">
        <f>IF(COUNTIFS(monthly!S:S,"",monthly!$A:$A,"&gt;="&amp;$A88,monthly!$B:$B,"&lt;="&amp;$B88)&gt;0,"NA",AVERAGEIFS(monthly!S:S,monthly!$A:$A,"&gt;="&amp;$A88,monthly!$B:$B,"&lt;="&amp;$B88))</f>
        <v>2.7157575757575763</v>
      </c>
      <c r="AB88">
        <f>IF(COUNTIFS(monthly!T:T,"",monthly!$A:$A,"&gt;="&amp;$A88,monthly!$B:$B,"&lt;="&amp;$B88)&gt;0,"NA",AVERAGEIFS(monthly!T:T,monthly!$A:$A,"&gt;="&amp;$A88,monthly!$B:$B,"&lt;="&amp;$B88))</f>
        <v>16.643984848484852</v>
      </c>
      <c r="AC88" t="str">
        <f>IF(COUNTIFS(monthly!U:U,"",monthly!$A:$A,"&gt;="&amp;$A88,monthly!$B:$B,"&lt;="&amp;$B88)&gt;0,"NA",AVERAGEIFS(monthly!U:U,monthly!$A:$A,"&gt;="&amp;$A88,monthly!$B:$B,"&lt;="&amp;$B88))</f>
        <v>NA</v>
      </c>
      <c r="AD88" t="str">
        <f>IF(COUNTIFS(monthly!V:V,"",monthly!$A:$A,"&gt;="&amp;$A88,monthly!$B:$B,"&lt;="&amp;$B88)&gt;0,"NA",AVERAGEIFS(monthly!V:V,monthly!$A:$A,"&gt;="&amp;$A88,monthly!$B:$B,"&lt;="&amp;$B88))</f>
        <v>NA</v>
      </c>
      <c r="AE88">
        <f>IF(COUNTIFS(monthly!W:W,"",monthly!$A:$A,"&gt;="&amp;$A88,monthly!$B:$B,"&lt;="&amp;$B88)&gt;0,"NA",AVERAGEIFS(monthly!W:W,monthly!$A:$A,"&gt;="&amp;$A88,monthly!$B:$B,"&lt;="&amp;$B88))</f>
        <v>115.54063161214192</v>
      </c>
      <c r="AF88">
        <f>IF(COUNTIFS(monthly!X:X,"",monthly!$A:$A,"&gt;="&amp;$A88,monthly!$B:$B,"&lt;="&amp;$B88)&gt;0,"NA",AVERAGEIFS(monthly!X:X,monthly!$A:$A,"&gt;="&amp;$A88,monthly!$B:$B,"&lt;="&amp;$B88))</f>
        <v>144.06979370117188</v>
      </c>
      <c r="AG88">
        <f>IF(COUNTIFS(monthly!Y:Y,"",monthly!$A:$A,"&gt;="&amp;$A88,monthly!$B:$B,"&lt;="&amp;$B88)&gt;0,"NA",AVERAGEIFS(monthly!Y:Y,monthly!$A:$A,"&gt;="&amp;$A88,monthly!$B:$B,"&lt;="&amp;$B88))</f>
        <v>82.29104359944661</v>
      </c>
      <c r="AH88">
        <f>IF(COUNTIFS(monthly!Z:Z,"",monthly!$A:$A,"&gt;="&amp;$A88,monthly!$B:$B,"&lt;="&amp;$B88)&gt;0,"NA",AVERAGEIFS(monthly!Z:Z,monthly!$A:$A,"&gt;="&amp;$A88,monthly!$B:$B,"&lt;="&amp;$B88))</f>
        <v>7.0087725917498275E-2</v>
      </c>
    </row>
    <row r="89" spans="1:34" x14ac:dyDescent="0.2">
      <c r="A89" s="1">
        <v>33512</v>
      </c>
      <c r="B89" s="1">
        <v>33602</v>
      </c>
      <c r="C89">
        <f>IF(ISBLANK(VLOOKUP($A89,quarterly_data,MATCH(C$1,quarterly!$1:$1,FALSE),FALSE)),"NA",VLOOKUP($A89,quarterly_data,MATCH(C$1,quarterly!$1:$1,FALSE),FALSE))</f>
        <v>115.73288510113173</v>
      </c>
      <c r="D89">
        <f>IF(ISBLANK(VLOOKUP($A89,quarterly_data,MATCH(D$1,quarterly!$1:$1,FALSE),FALSE)),"NA",VLOOKUP($A89,quarterly_data,MATCH(D$1,quarterly!$1:$1,FALSE),FALSE))</f>
        <v>51</v>
      </c>
      <c r="E89">
        <f>IF(ISBLANK(VLOOKUP($A89,quarterly_data,MATCH(E$1,quarterly!$1:$1,FALSE),FALSE)),"NA",VLOOKUP($A89,quarterly_data,MATCH(E$1,quarterly!$1:$1,FALSE),FALSE))</f>
        <v>0.1957586</v>
      </c>
      <c r="F89">
        <f>IF(ISBLANK(VLOOKUP($A89,quarterly_data,MATCH(F$1,quarterly!$1:$1,FALSE),FALSE)),"NA",VLOOKUP($A89,quarterly_data,MATCH(F$1,quarterly!$1:$1,FALSE),FALSE))</f>
        <v>8.5558200000000001E-2</v>
      </c>
      <c r="G89">
        <f>IF(ISBLANK(VLOOKUP($A89,quarterly_data,MATCH(G$1,quarterly!$1:$1,FALSE),FALSE)),"NA",VLOOKUP($A89,quarterly_data,MATCH(G$1,quarterly!$1:$1,FALSE),FALSE))</f>
        <v>10115.329</v>
      </c>
      <c r="H89">
        <f>IF(ISBLANK(VLOOKUP($A89,quarterly_data,MATCH(H$1,quarterly!$1:$1,FALSE),FALSE)),"NA",VLOOKUP($A89,quarterly_data,MATCH(H$1,quarterly!$1:$1,FALSE),FALSE))</f>
        <v>251541</v>
      </c>
      <c r="I89">
        <f>IF(ISBLANK(VLOOKUP($A89,quarterly_data,MATCH(I$1,quarterly!$1:$1,FALSE),FALSE)),"NA",VLOOKUP($A89,quarterly_data,MATCH(I$1,quarterly!$1:$1,FALSE),FALSE))</f>
        <v>0.7</v>
      </c>
      <c r="J89">
        <f>IF(ISBLANK(VLOOKUP($A89,quarterly_data,MATCH(J$1,quarterly!$1:$1,FALSE),FALSE)),"NA",VLOOKUP($A89,quarterly_data,MATCH(J$1,quarterly!$1:$1,FALSE),FALSE))</f>
        <v>41.6</v>
      </c>
      <c r="K89">
        <f>IF(COUNTIFS(monthly!C:C,"",monthly!$A:$A,"&gt;="&amp;$A89,monthly!$B:$B,"&lt;="&amp;$B89)&gt;0,"NA",AVERAGEIFS(monthly!C:C,monthly!$A:$A,"&gt;="&amp;$A89,monthly!$B:$B,"&lt;="&amp;$B89))</f>
        <v>59.15</v>
      </c>
      <c r="L89">
        <f>IF(COUNTIFS(monthly!D:D,"",monthly!$A:$A,"&gt;="&amp;$A89,monthly!$B:$B,"&lt;="&amp;$B89)&gt;0,"NA",AVERAGEIFS(monthly!D:D,monthly!$A:$A,"&gt;="&amp;$A89,monthly!$B:$B,"&lt;="&amp;$B89))</f>
        <v>0.78425</v>
      </c>
      <c r="M89">
        <f>IF(COUNTIFS(monthly!E:E,"",monthly!$A:$A,"&gt;="&amp;$A89,monthly!$B:$B,"&lt;="&amp;$B89)&gt;0,"NA",AVERAGEIFS(monthly!E:E,monthly!$A:$A,"&gt;="&amp;$A89,monthly!$B:$B,"&lt;="&amp;$B89))</f>
        <v>32.574388135593196</v>
      </c>
      <c r="N89" t="str">
        <f>IF(COUNTIFS(monthly!F:F,"",monthly!$A:$A,"&gt;="&amp;$A89,monthly!$B:$B,"&lt;="&amp;$B89)&gt;0,"NA",AVERAGEIFS(monthly!F:F,monthly!$A:$A,"&gt;="&amp;$A89,monthly!$B:$B,"&lt;="&amp;$B89))</f>
        <v>NA</v>
      </c>
      <c r="O89">
        <f>IF(COUNTIFS(monthly!G:G,"",monthly!$A:$A,"&gt;="&amp;$A89,monthly!$B:$B,"&lt;="&amp;$B89)&gt;0,"NA",AVERAGEIFS(monthly!G:G,monthly!$A:$A,"&gt;="&amp;$A89,monthly!$B:$B,"&lt;="&amp;$B89))</f>
        <v>34.799999999999997</v>
      </c>
      <c r="P89">
        <f>IF(COUNTIFS(monthly!H:H,"",monthly!$A:$A,"&gt;="&amp;$A89,monthly!$B:$B,"&lt;="&amp;$B89)&gt;0,"NA",AVERAGEIFS(monthly!H:H,monthly!$A:$A,"&gt;="&amp;$A89,monthly!$B:$B,"&lt;="&amp;$B89))</f>
        <v>39.5</v>
      </c>
      <c r="Q89">
        <f>IF(COUNTIFS(monthly!I:I,"",monthly!$A:$A,"&gt;="&amp;$A89,monthly!$B:$B,"&lt;="&amp;$B89)&gt;0,"NA",AVERAGEIFS(monthly!I:I,monthly!$A:$A,"&gt;="&amp;$A89,monthly!$B:$B,"&lt;="&amp;$B89))</f>
        <v>21.75</v>
      </c>
      <c r="R89">
        <f>IF(COUNTIFS(monthly!J:J,"",monthly!$A:$A,"&gt;="&amp;$A89,monthly!$B:$B,"&lt;="&amp;$B89)&gt;0,"NA",AVERAGEIFS(monthly!J:J,monthly!$A:$A,"&gt;="&amp;$A89,monthly!$B:$B,"&lt;="&amp;$B89))</f>
        <v>3.99</v>
      </c>
      <c r="S89">
        <f>IF(COUNTIFS(monthly!K:K,"",monthly!$A:$A,"&gt;="&amp;$A89,monthly!$B:$B,"&lt;="&amp;$B89)&gt;0,"NA",AVERAGEIFS(monthly!K:K,monthly!$A:$A,"&gt;="&amp;$A89,monthly!$B:$B,"&lt;="&amp;$B89))</f>
        <v>9.0714285714285694</v>
      </c>
      <c r="T89">
        <f>IF(COUNTIFS(monthly!L:L,"",monthly!$A:$A,"&gt;="&amp;$A89,monthly!$B:$B,"&lt;="&amp;$B89)&gt;0,"NA",AVERAGEIFS(monthly!L:L,monthly!$A:$A,"&gt;="&amp;$A89,monthly!$B:$B,"&lt;="&amp;$B89))</f>
        <v>5.0105053763440868</v>
      </c>
      <c r="U89">
        <f>IF(COUNTIFS(monthly!M:M,"",monthly!$A:$A,"&gt;="&amp;$A89,monthly!$B:$B,"&lt;="&amp;$B89)&gt;0,"NA",AVERAGEIFS(monthly!M:M,monthly!$A:$A,"&gt;="&amp;$A89,monthly!$B:$B,"&lt;="&amp;$B89))</f>
        <v>4.0609231950844826</v>
      </c>
      <c r="V89" t="str">
        <f>IF(COUNTIFS(monthly!N:N,"",monthly!$A:$A,"&gt;="&amp;$A89,monthly!$B:$B,"&lt;="&amp;$B89)&gt;0,"NA",AVERAGEIFS(monthly!N:N,monthly!$A:$A,"&gt;="&amp;$A89,monthly!$B:$B,"&lt;="&amp;$B89))</f>
        <v>NA</v>
      </c>
      <c r="W89">
        <f>IF(COUNTIFS(monthly!O:O,"",monthly!$A:$A,"&gt;="&amp;$A89,monthly!$B:$B,"&lt;="&amp;$B89)&gt;0,"NA",AVERAGEIFS(monthly!O:O,monthly!$A:$A,"&gt;="&amp;$A89,monthly!$B:$B,"&lt;="&amp;$B89))</f>
        <v>5.7356100478468903</v>
      </c>
      <c r="X89" t="str">
        <f>IF(COUNTIFS(monthly!P:P,"",monthly!$A:$A,"&gt;="&amp;$A89,monthly!$B:$B,"&lt;="&amp;$B89)&gt;0,"NA",AVERAGEIFS(monthly!P:P,monthly!$A:$A,"&gt;="&amp;$A89,monthly!$B:$B,"&lt;="&amp;$B89))</f>
        <v>NA</v>
      </c>
      <c r="Y89">
        <f>IF(COUNTIFS(monthly!Q:Q,"",monthly!$A:$A,"&gt;="&amp;$A89,monthly!$B:$B,"&lt;="&amp;$B89)&gt;0,"NA",AVERAGEIFS(monthly!Q:Q,monthly!$A:$A,"&gt;="&amp;$A89,monthly!$B:$B,"&lt;="&amp;$B89))</f>
        <v>9.8000000000000007</v>
      </c>
      <c r="Z89">
        <f>IF(COUNTIFS(monthly!R:R,"",monthly!$A:$A,"&gt;="&amp;$A89,monthly!$B:$B,"&lt;="&amp;$B89)&gt;0,"NA",AVERAGEIFS(monthly!R:R,monthly!$A:$A,"&gt;="&amp;$A89,monthly!$B:$B,"&lt;="&amp;$B89))</f>
        <v>7.472320574162679</v>
      </c>
      <c r="AA89">
        <f>IF(COUNTIFS(monthly!S:S,"",monthly!$A:$A,"&gt;="&amp;$A89,monthly!$B:$B,"&lt;="&amp;$B89)&gt;0,"NA",AVERAGEIFS(monthly!S:S,monthly!$A:$A,"&gt;="&amp;$A89,monthly!$B:$B,"&lt;="&amp;$B89))</f>
        <v>2.3276794258373208</v>
      </c>
      <c r="AB89">
        <f>IF(COUNTIFS(monthly!T:T,"",monthly!$A:$A,"&gt;="&amp;$A89,monthly!$B:$B,"&lt;="&amp;$B89)&gt;0,"NA",AVERAGEIFS(monthly!T:T,monthly!$A:$A,"&gt;="&amp;$A89,monthly!$B:$B,"&lt;="&amp;$B89))</f>
        <v>17.068706521739131</v>
      </c>
      <c r="AC89" t="str">
        <f>IF(COUNTIFS(monthly!U:U,"",monthly!$A:$A,"&gt;="&amp;$A89,monthly!$B:$B,"&lt;="&amp;$B89)&gt;0,"NA",AVERAGEIFS(monthly!U:U,monthly!$A:$A,"&gt;="&amp;$A89,monthly!$B:$B,"&lt;="&amp;$B89))</f>
        <v>NA</v>
      </c>
      <c r="AD89" t="str">
        <f>IF(COUNTIFS(monthly!V:V,"",monthly!$A:$A,"&gt;="&amp;$A89,monthly!$B:$B,"&lt;="&amp;$B89)&gt;0,"NA",AVERAGEIFS(monthly!V:V,monthly!$A:$A,"&gt;="&amp;$A89,monthly!$B:$B,"&lt;="&amp;$B89))</f>
        <v>NA</v>
      </c>
      <c r="AE89">
        <f>IF(COUNTIFS(monthly!W:W,"",monthly!$A:$A,"&gt;="&amp;$A89,monthly!$B:$B,"&lt;="&amp;$B89)&gt;0,"NA",AVERAGEIFS(monthly!W:W,monthly!$A:$A,"&gt;="&amp;$A89,monthly!$B:$B,"&lt;="&amp;$B89))</f>
        <v>100.78707122802734</v>
      </c>
      <c r="AF89">
        <f>IF(COUNTIFS(monthly!X:X,"",monthly!$A:$A,"&gt;="&amp;$A89,monthly!$B:$B,"&lt;="&amp;$B89)&gt;0,"NA",AVERAGEIFS(monthly!X:X,monthly!$A:$A,"&gt;="&amp;$A89,monthly!$B:$B,"&lt;="&amp;$B89))</f>
        <v>121.48732757568359</v>
      </c>
      <c r="AG89">
        <f>IF(COUNTIFS(monthly!Y:Y,"",monthly!$A:$A,"&gt;="&amp;$A89,monthly!$B:$B,"&lt;="&amp;$B89)&gt;0,"NA",AVERAGEIFS(monthly!Y:Y,monthly!$A:$A,"&gt;="&amp;$A89,monthly!$B:$B,"&lt;="&amp;$B89))</f>
        <v>77.769271850585938</v>
      </c>
      <c r="AH89">
        <f>IF(COUNTIFS(monthly!Z:Z,"",monthly!$A:$A,"&gt;="&amp;$A89,monthly!$B:$B,"&lt;="&amp;$B89)&gt;0,"NA",AVERAGEIFS(monthly!Z:Z,monthly!$A:$A,"&gt;="&amp;$A89,monthly!$B:$B,"&lt;="&amp;$B89))</f>
        <v>4.3430235236883163E-2</v>
      </c>
    </row>
    <row r="90" spans="1:34" x14ac:dyDescent="0.2">
      <c r="A90" s="1">
        <v>33604</v>
      </c>
      <c r="B90" s="1">
        <v>33693</v>
      </c>
      <c r="C90">
        <f>IF(ISBLANK(VLOOKUP($A90,quarterly_data,MATCH(C$1,quarterly!$1:$1,FALSE),FALSE)),"NA",VLOOKUP($A90,quarterly_data,MATCH(C$1,quarterly!$1:$1,FALSE),FALSE))</f>
        <v>110.47056331244316</v>
      </c>
      <c r="D90">
        <f>IF(ISBLANK(VLOOKUP($A90,quarterly_data,MATCH(D$1,quarterly!$1:$1,FALSE),FALSE)),"NA",VLOOKUP($A90,quarterly_data,MATCH(D$1,quarterly!$1:$1,FALSE),FALSE))</f>
        <v>51.2</v>
      </c>
      <c r="E90">
        <f>IF(ISBLANK(VLOOKUP($A90,quarterly_data,MATCH(E$1,quarterly!$1:$1,FALSE),FALSE)),"NA",VLOOKUP($A90,quarterly_data,MATCH(E$1,quarterly!$1:$1,FALSE),FALSE))</f>
        <v>0.88483529999999999</v>
      </c>
      <c r="F90">
        <f>IF(ISBLANK(VLOOKUP($A90,quarterly_data,MATCH(F$1,quarterly!$1:$1,FALSE),FALSE)),"NA",VLOOKUP($A90,quarterly_data,MATCH(F$1,quarterly!$1:$1,FALSE),FALSE))</f>
        <v>0.21041950000000001</v>
      </c>
      <c r="G90">
        <f>IF(ISBLANK(VLOOKUP($A90,quarterly_data,MATCH(G$1,quarterly!$1:$1,FALSE),FALSE)),"NA",VLOOKUP($A90,quarterly_data,MATCH(G$1,quarterly!$1:$1,FALSE),FALSE))</f>
        <v>10236.434999999999</v>
      </c>
      <c r="H90">
        <f>IF(ISBLANK(VLOOKUP($A90,quarterly_data,MATCH(H$1,quarterly!$1:$1,FALSE),FALSE)),"NA",VLOOKUP($A90,quarterly_data,MATCH(H$1,quarterly!$1:$1,FALSE),FALSE))</f>
        <v>253547</v>
      </c>
      <c r="I90">
        <f>IF(ISBLANK(VLOOKUP($A90,quarterly_data,MATCH(I$1,quarterly!$1:$1,FALSE),FALSE)),"NA",VLOOKUP($A90,quarterly_data,MATCH(I$1,quarterly!$1:$1,FALSE),FALSE))</f>
        <v>0.4</v>
      </c>
      <c r="J90">
        <f>IF(ISBLANK(VLOOKUP($A90,quarterly_data,MATCH(J$1,quarterly!$1:$1,FALSE),FALSE)),"NA",VLOOKUP($A90,quarterly_data,MATCH(J$1,quarterly!$1:$1,FALSE),FALSE))</f>
        <v>41.6</v>
      </c>
      <c r="K90">
        <f>IF(COUNTIFS(monthly!C:C,"",monthly!$A:$A,"&gt;="&amp;$A90,monthly!$B:$B,"&lt;="&amp;$B90)&gt;0,"NA",AVERAGEIFS(monthly!C:C,monthly!$A:$A,"&gt;="&amp;$A90,monthly!$B:$B,"&lt;="&amp;$B90))</f>
        <v>56.3</v>
      </c>
      <c r="L90">
        <f>IF(COUNTIFS(monthly!D:D,"",monthly!$A:$A,"&gt;="&amp;$A90,monthly!$B:$B,"&lt;="&amp;$B90)&gt;0,"NA",AVERAGEIFS(monthly!D:D,monthly!$A:$A,"&gt;="&amp;$A90,monthly!$B:$B,"&lt;="&amp;$B90))</f>
        <v>0.75219999999999998</v>
      </c>
      <c r="M90">
        <f>IF(COUNTIFS(monthly!E:E,"",monthly!$A:$A,"&gt;="&amp;$A90,monthly!$B:$B,"&lt;="&amp;$B90)&gt;0,"NA",AVERAGEIFS(monthly!E:E,monthly!$A:$A,"&gt;="&amp;$A90,monthly!$B:$B,"&lt;="&amp;$B90))</f>
        <v>32.417647065543747</v>
      </c>
      <c r="N90" t="str">
        <f>IF(COUNTIFS(monthly!F:F,"",monthly!$A:$A,"&gt;="&amp;$A90,monthly!$B:$B,"&lt;="&amp;$B90)&gt;0,"NA",AVERAGEIFS(monthly!F:F,monthly!$A:$A,"&gt;="&amp;$A90,monthly!$B:$B,"&lt;="&amp;$B90))</f>
        <v>NA</v>
      </c>
      <c r="O90">
        <f>IF(COUNTIFS(monthly!G:G,"",monthly!$A:$A,"&gt;="&amp;$A90,monthly!$B:$B,"&lt;="&amp;$B90)&gt;0,"NA",AVERAGEIFS(monthly!G:G,monthly!$A:$A,"&gt;="&amp;$A90,monthly!$B:$B,"&lt;="&amp;$B90))</f>
        <v>33.1</v>
      </c>
      <c r="P90">
        <f>IF(COUNTIFS(monthly!H:H,"",monthly!$A:$A,"&gt;="&amp;$A90,monthly!$B:$B,"&lt;="&amp;$B90)&gt;0,"NA",AVERAGEIFS(monthly!H:H,monthly!$A:$A,"&gt;="&amp;$A90,monthly!$B:$B,"&lt;="&amp;$B90))</f>
        <v>39.5</v>
      </c>
      <c r="Q90">
        <f>IF(COUNTIFS(monthly!I:I,"",monthly!$A:$A,"&gt;="&amp;$A90,monthly!$B:$B,"&lt;="&amp;$B90)&gt;0,"NA",AVERAGEIFS(monthly!I:I,monthly!$A:$A,"&gt;="&amp;$A90,monthly!$B:$B,"&lt;="&amp;$B90))</f>
        <v>18.149999999999999</v>
      </c>
      <c r="R90">
        <f>IF(COUNTIFS(monthly!J:J,"",monthly!$A:$A,"&gt;="&amp;$A90,monthly!$B:$B,"&lt;="&amp;$B90)&gt;0,"NA",AVERAGEIFS(monthly!J:J,monthly!$A:$A,"&gt;="&amp;$A90,monthly!$B:$B,"&lt;="&amp;$B90))</f>
        <v>3.5549999999999997</v>
      </c>
      <c r="S90">
        <f>IF(COUNTIFS(monthly!K:K,"",monthly!$A:$A,"&gt;="&amp;$A90,monthly!$B:$B,"&lt;="&amp;$B90)&gt;0,"NA",AVERAGEIFS(monthly!K:K,monthly!$A:$A,"&gt;="&amp;$A90,monthly!$B:$B,"&lt;="&amp;$B90))</f>
        <v>7.5952380952380949</v>
      </c>
      <c r="T90">
        <f>IF(COUNTIFS(monthly!L:L,"",monthly!$A:$A,"&gt;="&amp;$A90,monthly!$B:$B,"&lt;="&amp;$B90)&gt;0,"NA",AVERAGEIFS(monthly!L:L,monthly!$A:$A,"&gt;="&amp;$A90,monthly!$B:$B,"&lt;="&amp;$B90))</f>
        <v>4.0458898776418248</v>
      </c>
      <c r="U90">
        <f>IF(COUNTIFS(monthly!M:M,"",monthly!$A:$A,"&gt;="&amp;$A90,monthly!$B:$B,"&lt;="&amp;$B90)&gt;0,"NA",AVERAGEIFS(monthly!M:M,monthly!$A:$A,"&gt;="&amp;$A90,monthly!$B:$B,"&lt;="&amp;$B90))</f>
        <v>3.5493482175962705</v>
      </c>
      <c r="V90" t="str">
        <f>IF(COUNTIFS(monthly!N:N,"",monthly!$A:$A,"&gt;="&amp;$A90,monthly!$B:$B,"&lt;="&amp;$B90)&gt;0,"NA",AVERAGEIFS(monthly!N:N,monthly!$A:$A,"&gt;="&amp;$A90,monthly!$B:$B,"&lt;="&amp;$B90))</f>
        <v>NA</v>
      </c>
      <c r="W90">
        <f>IF(COUNTIFS(monthly!O:O,"",monthly!$A:$A,"&gt;="&amp;$A90,monthly!$B:$B,"&lt;="&amp;$B90)&gt;0,"NA",AVERAGEIFS(monthly!O:O,monthly!$A:$A,"&gt;="&amp;$A90,monthly!$B:$B,"&lt;="&amp;$B90))</f>
        <v>5.0851002506265655</v>
      </c>
      <c r="X90" t="str">
        <f>IF(COUNTIFS(monthly!P:P,"",monthly!$A:$A,"&gt;="&amp;$A90,monthly!$B:$B,"&lt;="&amp;$B90)&gt;0,"NA",AVERAGEIFS(monthly!P:P,monthly!$A:$A,"&gt;="&amp;$A90,monthly!$B:$B,"&lt;="&amp;$B90))</f>
        <v>NA</v>
      </c>
      <c r="Y90">
        <f>IF(COUNTIFS(monthly!Q:Q,"",monthly!$A:$A,"&gt;="&amp;$A90,monthly!$B:$B,"&lt;="&amp;$B90)&gt;0,"NA",AVERAGEIFS(monthly!Q:Q,monthly!$A:$A,"&gt;="&amp;$A90,monthly!$B:$B,"&lt;="&amp;$B90))</f>
        <v>10.074999999999999</v>
      </c>
      <c r="Z90">
        <f>IF(COUNTIFS(monthly!R:R,"",monthly!$A:$A,"&gt;="&amp;$A90,monthly!$B:$B,"&lt;="&amp;$B90)&gt;0,"NA",AVERAGEIFS(monthly!R:R,monthly!$A:$A,"&gt;="&amp;$A90,monthly!$B:$B,"&lt;="&amp;$B90))</f>
        <v>7.1851378446115293</v>
      </c>
      <c r="AA90">
        <f>IF(COUNTIFS(monthly!S:S,"",monthly!$A:$A,"&gt;="&amp;$A90,monthly!$B:$B,"&lt;="&amp;$B90)&gt;0,"NA",AVERAGEIFS(monthly!S:S,monthly!$A:$A,"&gt;="&amp;$A90,monthly!$B:$B,"&lt;="&amp;$B90))</f>
        <v>2.88986215538847</v>
      </c>
      <c r="AB90">
        <f>IF(COUNTIFS(monthly!T:T,"",monthly!$A:$A,"&gt;="&amp;$A90,monthly!$B:$B,"&lt;="&amp;$B90)&gt;0,"NA",AVERAGEIFS(monthly!T:T,monthly!$A:$A,"&gt;="&amp;$A90,monthly!$B:$B,"&lt;="&amp;$B90))</f>
        <v>17.580275119617227</v>
      </c>
      <c r="AC90" t="str">
        <f>IF(COUNTIFS(monthly!U:U,"",monthly!$A:$A,"&gt;="&amp;$A90,monthly!$B:$B,"&lt;="&amp;$B90)&gt;0,"NA",AVERAGEIFS(monthly!U:U,monthly!$A:$A,"&gt;="&amp;$A90,monthly!$B:$B,"&lt;="&amp;$B90))</f>
        <v>NA</v>
      </c>
      <c r="AD90" t="str">
        <f>IF(COUNTIFS(monthly!V:V,"",monthly!$A:$A,"&gt;="&amp;$A90,monthly!$B:$B,"&lt;="&amp;$B90)&gt;0,"NA",AVERAGEIFS(monthly!V:V,monthly!$A:$A,"&gt;="&amp;$A90,monthly!$B:$B,"&lt;="&amp;$B90))</f>
        <v>NA</v>
      </c>
      <c r="AE90">
        <f>IF(COUNTIFS(monthly!W:W,"",monthly!$A:$A,"&gt;="&amp;$A90,monthly!$B:$B,"&lt;="&amp;$B90)&gt;0,"NA",AVERAGEIFS(monthly!W:W,monthly!$A:$A,"&gt;="&amp;$A90,monthly!$B:$B,"&lt;="&amp;$B90))</f>
        <v>95.080551147460938</v>
      </c>
      <c r="AF90">
        <f>IF(COUNTIFS(monthly!X:X,"",monthly!$A:$A,"&gt;="&amp;$A90,monthly!$B:$B,"&lt;="&amp;$B90)&gt;0,"NA",AVERAGEIFS(monthly!X:X,monthly!$A:$A,"&gt;="&amp;$A90,monthly!$B:$B,"&lt;="&amp;$B90))</f>
        <v>113.626220703125</v>
      </c>
      <c r="AG90">
        <f>IF(COUNTIFS(monthly!Y:Y,"",monthly!$A:$A,"&gt;="&amp;$A90,monthly!$B:$B,"&lt;="&amp;$B90)&gt;0,"NA",AVERAGEIFS(monthly!Y:Y,monthly!$A:$A,"&gt;="&amp;$A90,monthly!$B:$B,"&lt;="&amp;$B90))</f>
        <v>66.158592224121094</v>
      </c>
      <c r="AH90">
        <f>IF(COUNTIFS(monthly!Z:Z,"",monthly!$A:$A,"&gt;="&amp;$A90,monthly!$B:$B,"&lt;="&amp;$B90)&gt;0,"NA",AVERAGEIFS(monthly!Z:Z,monthly!$A:$A,"&gt;="&amp;$A90,monthly!$B:$B,"&lt;="&amp;$B90))</f>
        <v>4.2428217828273773E-2</v>
      </c>
    </row>
    <row r="91" spans="1:34" x14ac:dyDescent="0.2">
      <c r="A91" s="1">
        <v>33695</v>
      </c>
      <c r="B91" s="1">
        <v>33785</v>
      </c>
      <c r="C91">
        <f>IF(ISBLANK(VLOOKUP($A91,quarterly_data,MATCH(C$1,quarterly!$1:$1,FALSE),FALSE)),"NA",VLOOKUP($A91,quarterly_data,MATCH(C$1,quarterly!$1:$1,FALSE),FALSE))</f>
        <v>111.53803449079022</v>
      </c>
      <c r="D91">
        <f>IF(ISBLANK(VLOOKUP($A91,quarterly_data,MATCH(D$1,quarterly!$1:$1,FALSE),FALSE)),"NA",VLOOKUP($A91,quarterly_data,MATCH(D$1,quarterly!$1:$1,FALSE),FALSE))</f>
        <v>50.7</v>
      </c>
      <c r="E91">
        <f>IF(ISBLANK(VLOOKUP($A91,quarterly_data,MATCH(E$1,quarterly!$1:$1,FALSE),FALSE)),"NA",VLOOKUP($A91,quarterly_data,MATCH(E$1,quarterly!$1:$1,FALSE),FALSE))</f>
        <v>5.9998799999999998E-2</v>
      </c>
      <c r="F91">
        <f>IF(ISBLANK(VLOOKUP($A91,quarterly_data,MATCH(F$1,quarterly!$1:$1,FALSE),FALSE)),"NA",VLOOKUP($A91,quarterly_data,MATCH(F$1,quarterly!$1:$1,FALSE),FALSE))</f>
        <v>0.1070086</v>
      </c>
      <c r="G91">
        <f>IF(ISBLANK(VLOOKUP($A91,quarterly_data,MATCH(G$1,quarterly!$1:$1,FALSE),FALSE)),"NA",VLOOKUP($A91,quarterly_data,MATCH(G$1,quarterly!$1:$1,FALSE),FALSE))</f>
        <v>10347.429</v>
      </c>
      <c r="H91">
        <f>IF(ISBLANK(VLOOKUP($A91,quarterly_data,MATCH(H$1,quarterly!$1:$1,FALSE),FALSE)),"NA",VLOOKUP($A91,quarterly_data,MATCH(H$1,quarterly!$1:$1,FALSE),FALSE))</f>
        <v>255366</v>
      </c>
      <c r="I91">
        <f>IF(ISBLANK(VLOOKUP($A91,quarterly_data,MATCH(I$1,quarterly!$1:$1,FALSE),FALSE)),"NA",VLOOKUP($A91,quarterly_data,MATCH(I$1,quarterly!$1:$1,FALSE),FALSE))</f>
        <v>0.6</v>
      </c>
      <c r="J91">
        <f>IF(ISBLANK(VLOOKUP($A91,quarterly_data,MATCH(J$1,quarterly!$1:$1,FALSE),FALSE)),"NA",VLOOKUP($A91,quarterly_data,MATCH(J$1,quarterly!$1:$1,FALSE),FALSE))</f>
        <v>41.48</v>
      </c>
      <c r="K91">
        <f>IF(COUNTIFS(monthly!C:C,"",monthly!$A:$A,"&gt;="&amp;$A91,monthly!$B:$B,"&lt;="&amp;$B91)&gt;0,"NA",AVERAGEIFS(monthly!C:C,monthly!$A:$A,"&gt;="&amp;$A91,monthly!$B:$B,"&lt;="&amp;$B91))</f>
        <v>56.666666666666664</v>
      </c>
      <c r="L91">
        <f>IF(COUNTIFS(monthly!D:D,"",monthly!$A:$A,"&gt;="&amp;$A91,monthly!$B:$B,"&lt;="&amp;$B91)&gt;0,"NA",AVERAGEIFS(monthly!D:D,monthly!$A:$A,"&gt;="&amp;$A91,monthly!$B:$B,"&lt;="&amp;$B91))</f>
        <v>0.7556666666666666</v>
      </c>
      <c r="M91">
        <f>IF(COUNTIFS(monthly!E:E,"",monthly!$A:$A,"&gt;="&amp;$A91,monthly!$B:$B,"&lt;="&amp;$B91)&gt;0,"NA",AVERAGEIFS(monthly!E:E,monthly!$A:$A,"&gt;="&amp;$A91,monthly!$B:$B,"&lt;="&amp;$B91))</f>
        <v>32.070727882653834</v>
      </c>
      <c r="N91" t="str">
        <f>IF(COUNTIFS(monthly!F:F,"",monthly!$A:$A,"&gt;="&amp;$A91,monthly!$B:$B,"&lt;="&amp;$B91)&gt;0,"NA",AVERAGEIFS(monthly!F:F,monthly!$A:$A,"&gt;="&amp;$A91,monthly!$B:$B,"&lt;="&amp;$B91))</f>
        <v>NA</v>
      </c>
      <c r="O91">
        <f>IF(COUNTIFS(monthly!G:G,"",monthly!$A:$A,"&gt;="&amp;$A91,monthly!$B:$B,"&lt;="&amp;$B91)&gt;0,"NA",AVERAGEIFS(monthly!G:G,monthly!$A:$A,"&gt;="&amp;$A91,monthly!$B:$B,"&lt;="&amp;$B91))</f>
        <v>33.1</v>
      </c>
      <c r="P91">
        <f>IF(COUNTIFS(monthly!H:H,"",monthly!$A:$A,"&gt;="&amp;$A91,monthly!$B:$B,"&lt;="&amp;$B91)&gt;0,"NA",AVERAGEIFS(monthly!H:H,monthly!$A:$A,"&gt;="&amp;$A91,monthly!$B:$B,"&lt;="&amp;$B91))</f>
        <v>39.5</v>
      </c>
      <c r="Q91">
        <f>IF(COUNTIFS(monthly!I:I,"",monthly!$A:$A,"&gt;="&amp;$A91,monthly!$B:$B,"&lt;="&amp;$B91)&gt;0,"NA",AVERAGEIFS(monthly!I:I,monthly!$A:$A,"&gt;="&amp;$A91,monthly!$B:$B,"&lt;="&amp;$B91))</f>
        <v>20.033333333333331</v>
      </c>
      <c r="R91">
        <f>IF(COUNTIFS(monthly!J:J,"",monthly!$A:$A,"&gt;="&amp;$A91,monthly!$B:$B,"&lt;="&amp;$B91)&gt;0,"NA",AVERAGEIFS(monthly!J:J,monthly!$A:$A,"&gt;="&amp;$A91,monthly!$B:$B,"&lt;="&amp;$B91))</f>
        <v>3.4966666666666666</v>
      </c>
      <c r="S91">
        <f>IF(COUNTIFS(monthly!K:K,"",monthly!$A:$A,"&gt;="&amp;$A91,monthly!$B:$B,"&lt;="&amp;$B91)&gt;0,"NA",AVERAGEIFS(monthly!K:K,monthly!$A:$A,"&gt;="&amp;$A91,monthly!$B:$B,"&lt;="&amp;$B91))</f>
        <v>6.8809523809523796</v>
      </c>
      <c r="T91">
        <f>IF(COUNTIFS(monthly!L:L,"",monthly!$A:$A,"&gt;="&amp;$A91,monthly!$B:$B,"&lt;="&amp;$B91)&gt;0,"NA",AVERAGEIFS(monthly!L:L,monthly!$A:$A,"&gt;="&amp;$A91,monthly!$B:$B,"&lt;="&amp;$B91))</f>
        <v>3.7735197132616478</v>
      </c>
      <c r="U91">
        <f>IF(COUNTIFS(monthly!M:M,"",monthly!$A:$A,"&gt;="&amp;$A91,monthly!$B:$B,"&lt;="&amp;$B91)&gt;0,"NA",AVERAGEIFS(monthly!M:M,monthly!$A:$A,"&gt;="&amp;$A91,monthly!$B:$B,"&lt;="&amp;$B91))</f>
        <v>3.1074326676907318</v>
      </c>
      <c r="V91" t="str">
        <f>IF(COUNTIFS(monthly!N:N,"",monthly!$A:$A,"&gt;="&amp;$A91,monthly!$B:$B,"&lt;="&amp;$B91)&gt;0,"NA",AVERAGEIFS(monthly!N:N,monthly!$A:$A,"&gt;="&amp;$A91,monthly!$B:$B,"&lt;="&amp;$B91))</f>
        <v>NA</v>
      </c>
      <c r="W91">
        <f>IF(COUNTIFS(monthly!O:O,"",monthly!$A:$A,"&gt;="&amp;$A91,monthly!$B:$B,"&lt;="&amp;$B91)&gt;0,"NA",AVERAGEIFS(monthly!O:O,monthly!$A:$A,"&gt;="&amp;$A91,monthly!$B:$B,"&lt;="&amp;$B91))</f>
        <v>5.205989177489176</v>
      </c>
      <c r="X91" t="str">
        <f>IF(COUNTIFS(monthly!P:P,"",monthly!$A:$A,"&gt;="&amp;$A91,monthly!$B:$B,"&lt;="&amp;$B91)&gt;0,"NA",AVERAGEIFS(monthly!P:P,monthly!$A:$A,"&gt;="&amp;$A91,monthly!$B:$B,"&lt;="&amp;$B91))</f>
        <v>NA</v>
      </c>
      <c r="Y91">
        <f>IF(COUNTIFS(monthly!Q:Q,"",monthly!$A:$A,"&gt;="&amp;$A91,monthly!$B:$B,"&lt;="&amp;$B91)&gt;0,"NA",AVERAGEIFS(monthly!Q:Q,monthly!$A:$A,"&gt;="&amp;$A91,monthly!$B:$B,"&lt;="&amp;$B91))</f>
        <v>9.1499999999999986</v>
      </c>
      <c r="Z91">
        <f>IF(COUNTIFS(monthly!R:R,"",monthly!$A:$A,"&gt;="&amp;$A91,monthly!$B:$B,"&lt;="&amp;$B91)&gt;0,"NA",AVERAGEIFS(monthly!R:R,monthly!$A:$A,"&gt;="&amp;$A91,monthly!$B:$B,"&lt;="&amp;$B91))</f>
        <v>7.3780981240981234</v>
      </c>
      <c r="AA91">
        <f>IF(COUNTIFS(monthly!S:S,"",monthly!$A:$A,"&gt;="&amp;$A91,monthly!$B:$B,"&lt;="&amp;$B91)&gt;0,"NA",AVERAGEIFS(monthly!S:S,monthly!$A:$A,"&gt;="&amp;$A91,monthly!$B:$B,"&lt;="&amp;$B91))</f>
        <v>1.7719018759018759</v>
      </c>
      <c r="AB91">
        <f>IF(COUNTIFS(monthly!T:T,"",monthly!$A:$A,"&gt;="&amp;$A91,monthly!$B:$B,"&lt;="&amp;$B91)&gt;0,"NA",AVERAGEIFS(monthly!T:T,monthly!$A:$A,"&gt;="&amp;$A91,monthly!$B:$B,"&lt;="&amp;$B91))</f>
        <v>15.61434632034632</v>
      </c>
      <c r="AC91" t="str">
        <f>IF(COUNTIFS(monthly!U:U,"",monthly!$A:$A,"&gt;="&amp;$A91,monthly!$B:$B,"&lt;="&amp;$B91)&gt;0,"NA",AVERAGEIFS(monthly!U:U,monthly!$A:$A,"&gt;="&amp;$A91,monthly!$B:$B,"&lt;="&amp;$B91))</f>
        <v>NA</v>
      </c>
      <c r="AD91" t="str">
        <f>IF(COUNTIFS(monthly!V:V,"",monthly!$A:$A,"&gt;="&amp;$A91,monthly!$B:$B,"&lt;="&amp;$B91)&gt;0,"NA",AVERAGEIFS(monthly!V:V,monthly!$A:$A,"&gt;="&amp;$A91,monthly!$B:$B,"&lt;="&amp;$B91))</f>
        <v>NA</v>
      </c>
      <c r="AE91">
        <f>IF(COUNTIFS(monthly!W:W,"",monthly!$A:$A,"&gt;="&amp;$A91,monthly!$B:$B,"&lt;="&amp;$B91)&gt;0,"NA",AVERAGEIFS(monthly!W:W,monthly!$A:$A,"&gt;="&amp;$A91,monthly!$B:$B,"&lt;="&amp;$B91))</f>
        <v>86.224286397298172</v>
      </c>
      <c r="AF91">
        <f>IF(COUNTIFS(monthly!X:X,"",monthly!$A:$A,"&gt;="&amp;$A91,monthly!$B:$B,"&lt;="&amp;$B91)&gt;0,"NA",AVERAGEIFS(monthly!X:X,monthly!$A:$A,"&gt;="&amp;$A91,monthly!$B:$B,"&lt;="&amp;$B91))</f>
        <v>103.35320790608723</v>
      </c>
      <c r="AG91">
        <f>IF(COUNTIFS(monthly!Y:Y,"",monthly!$A:$A,"&gt;="&amp;$A91,monthly!$B:$B,"&lt;="&amp;$B91)&gt;0,"NA",AVERAGEIFS(monthly!Y:Y,monthly!$A:$A,"&gt;="&amp;$A91,monthly!$B:$B,"&lt;="&amp;$B91))</f>
        <v>60.188886006673179</v>
      </c>
      <c r="AH91">
        <f>IF(COUNTIFS(monthly!Z:Z,"",monthly!$A:$A,"&gt;="&amp;$A91,monthly!$B:$B,"&lt;="&amp;$B91)&gt;0,"NA",AVERAGEIFS(monthly!Z:Z,monthly!$A:$A,"&gt;="&amp;$A91,monthly!$B:$B,"&lt;="&amp;$B91))</f>
        <v>3.0366352448860805E-2</v>
      </c>
    </row>
    <row r="92" spans="1:34" x14ac:dyDescent="0.2">
      <c r="A92" s="1">
        <v>33786</v>
      </c>
      <c r="B92" s="1">
        <v>33877</v>
      </c>
      <c r="C92">
        <f>IF(ISBLANK(VLOOKUP($A92,quarterly_data,MATCH(C$1,quarterly!$1:$1,FALSE),FALSE)),"NA",VLOOKUP($A92,quarterly_data,MATCH(C$1,quarterly!$1:$1,FALSE),FALSE))</f>
        <v>104.20372843964687</v>
      </c>
      <c r="D92">
        <f>IF(ISBLANK(VLOOKUP($A92,quarterly_data,MATCH(D$1,quarterly!$1:$1,FALSE),FALSE)),"NA",VLOOKUP($A92,quarterly_data,MATCH(D$1,quarterly!$1:$1,FALSE),FALSE))</f>
        <v>49.9</v>
      </c>
      <c r="E92">
        <f>IF(ISBLANK(VLOOKUP($A92,quarterly_data,MATCH(E$1,quarterly!$1:$1,FALSE),FALSE)),"NA",VLOOKUP($A92,quarterly_data,MATCH(E$1,quarterly!$1:$1,FALSE),FALSE))</f>
        <v>6.4913999999999999E-2</v>
      </c>
      <c r="F92">
        <f>IF(ISBLANK(VLOOKUP($A92,quarterly_data,MATCH(F$1,quarterly!$1:$1,FALSE),FALSE)),"NA",VLOOKUP($A92,quarterly_data,MATCH(F$1,quarterly!$1:$1,FALSE),FALSE))</f>
        <v>4.8477199999999998E-2</v>
      </c>
      <c r="G92">
        <f>IF(ISBLANK(VLOOKUP($A92,quarterly_data,MATCH(G$1,quarterly!$1:$1,FALSE),FALSE)),"NA",VLOOKUP($A92,quarterly_data,MATCH(G$1,quarterly!$1:$1,FALSE),FALSE))</f>
        <v>10449.673000000001</v>
      </c>
      <c r="H92">
        <f>IF(ISBLANK(VLOOKUP($A92,quarterly_data,MATCH(H$1,quarterly!$1:$1,FALSE),FALSE)),"NA",VLOOKUP($A92,quarterly_data,MATCH(H$1,quarterly!$1:$1,FALSE),FALSE))</f>
        <v>257852</v>
      </c>
      <c r="I92">
        <f>IF(ISBLANK(VLOOKUP($A92,quarterly_data,MATCH(I$1,quarterly!$1:$1,FALSE),FALSE)),"NA",VLOOKUP($A92,quarterly_data,MATCH(I$1,quarterly!$1:$1,FALSE),FALSE))</f>
        <v>0.5</v>
      </c>
      <c r="J92">
        <f>IF(ISBLANK(VLOOKUP($A92,quarterly_data,MATCH(J$1,quarterly!$1:$1,FALSE),FALSE)),"NA",VLOOKUP($A92,quarterly_data,MATCH(J$1,quarterly!$1:$1,FALSE),FALSE))</f>
        <v>41.52</v>
      </c>
      <c r="K92">
        <f>IF(COUNTIFS(monthly!C:C,"",monthly!$A:$A,"&gt;="&amp;$A92,monthly!$B:$B,"&lt;="&amp;$B92)&gt;0,"NA",AVERAGEIFS(monthly!C:C,monthly!$A:$A,"&gt;="&amp;$A92,monthly!$B:$B,"&lt;="&amp;$B92))</f>
        <v>52.666666666666664</v>
      </c>
      <c r="L92">
        <f>IF(COUNTIFS(monthly!D:D,"",monthly!$A:$A,"&gt;="&amp;$A92,monthly!$B:$B,"&lt;="&amp;$B92)&gt;0,"NA",AVERAGEIFS(monthly!D:D,monthly!$A:$A,"&gt;="&amp;$A92,monthly!$B:$B,"&lt;="&amp;$B92))</f>
        <v>0.72386666666666655</v>
      </c>
      <c r="M92">
        <f>IF(COUNTIFS(monthly!E:E,"",monthly!$A:$A,"&gt;="&amp;$A92,monthly!$B:$B,"&lt;="&amp;$B92)&gt;0,"NA",AVERAGEIFS(monthly!E:E,monthly!$A:$A,"&gt;="&amp;$A92,monthly!$B:$B,"&lt;="&amp;$B92))</f>
        <v>30.543823834785631</v>
      </c>
      <c r="N92" t="str">
        <f>IF(COUNTIFS(monthly!F:F,"",monthly!$A:$A,"&gt;="&amp;$A92,monthly!$B:$B,"&lt;="&amp;$B92)&gt;0,"NA",AVERAGEIFS(monthly!F:F,monthly!$A:$A,"&gt;="&amp;$A92,monthly!$B:$B,"&lt;="&amp;$B92))</f>
        <v>NA</v>
      </c>
      <c r="O92">
        <f>IF(COUNTIFS(monthly!G:G,"",monthly!$A:$A,"&gt;="&amp;$A92,monthly!$B:$B,"&lt;="&amp;$B92)&gt;0,"NA",AVERAGEIFS(monthly!G:G,monthly!$A:$A,"&gt;="&amp;$A92,monthly!$B:$B,"&lt;="&amp;$B92))</f>
        <v>33.1</v>
      </c>
      <c r="P92">
        <f>IF(COUNTIFS(monthly!H:H,"",monthly!$A:$A,"&gt;="&amp;$A92,monthly!$B:$B,"&lt;="&amp;$B92)&gt;0,"NA",AVERAGEIFS(monthly!H:H,monthly!$A:$A,"&gt;="&amp;$A92,monthly!$B:$B,"&lt;="&amp;$B92))</f>
        <v>39.5</v>
      </c>
      <c r="Q92">
        <f>IF(COUNTIFS(monthly!I:I,"",monthly!$A:$A,"&gt;="&amp;$A92,monthly!$B:$B,"&lt;="&amp;$B92)&gt;0,"NA",AVERAGEIFS(monthly!I:I,monthly!$A:$A,"&gt;="&amp;$A92,monthly!$B:$B,"&lt;="&amp;$B92))</f>
        <v>20.133333333333336</v>
      </c>
      <c r="R92">
        <f>IF(COUNTIFS(monthly!J:J,"",monthly!$A:$A,"&gt;="&amp;$A92,monthly!$B:$B,"&lt;="&amp;$B92)&gt;0,"NA",AVERAGEIFS(monthly!J:J,monthly!$A:$A,"&gt;="&amp;$A92,monthly!$B:$B,"&lt;="&amp;$B92))</f>
        <v>3.6300000000000003</v>
      </c>
      <c r="S92">
        <f>IF(COUNTIFS(monthly!K:K,"",monthly!$A:$A,"&gt;="&amp;$A92,monthly!$B:$B,"&lt;="&amp;$B92)&gt;0,"NA",AVERAGEIFS(monthly!K:K,monthly!$A:$A,"&gt;="&amp;$A92,monthly!$B:$B,"&lt;="&amp;$B92))</f>
        <v>5.804347826086957</v>
      </c>
      <c r="T92">
        <f>IF(COUNTIFS(monthly!L:L,"",monthly!$A:$A,"&gt;="&amp;$A92,monthly!$B:$B,"&lt;="&amp;$B92)&gt;0,"NA",AVERAGEIFS(monthly!L:L,monthly!$A:$A,"&gt;="&amp;$A92,monthly!$B:$B,"&lt;="&amp;$B92))</f>
        <v>3.2588136200716851</v>
      </c>
      <c r="U92">
        <f>IF(COUNTIFS(monthly!M:M,"",monthly!$A:$A,"&gt;="&amp;$A92,monthly!$B:$B,"&lt;="&amp;$B92)&gt;0,"NA",AVERAGEIFS(monthly!M:M,monthly!$A:$A,"&gt;="&amp;$A92,monthly!$B:$B,"&lt;="&amp;$B92))</f>
        <v>2.5455342060152719</v>
      </c>
      <c r="V92" t="str">
        <f>IF(COUNTIFS(monthly!N:N,"",monthly!$A:$A,"&gt;="&amp;$A92,monthly!$B:$B,"&lt;="&amp;$B92)&gt;0,"NA",AVERAGEIFS(monthly!N:N,monthly!$A:$A,"&gt;="&amp;$A92,monthly!$B:$B,"&lt;="&amp;$B92))</f>
        <v>NA</v>
      </c>
      <c r="W92">
        <f>IF(COUNTIFS(monthly!O:O,"",monthly!$A:$A,"&gt;="&amp;$A92,monthly!$B:$B,"&lt;="&amp;$B92)&gt;0,"NA",AVERAGEIFS(monthly!O:O,monthly!$A:$A,"&gt;="&amp;$A92,monthly!$B:$B,"&lt;="&amp;$B92))</f>
        <v>4.147532467532467</v>
      </c>
      <c r="X92" t="str">
        <f>IF(COUNTIFS(monthly!P:P,"",monthly!$A:$A,"&gt;="&amp;$A92,monthly!$B:$B,"&lt;="&amp;$B92)&gt;0,"NA",AVERAGEIFS(monthly!P:P,monthly!$A:$A,"&gt;="&amp;$A92,monthly!$B:$B,"&lt;="&amp;$B92))</f>
        <v>NA</v>
      </c>
      <c r="Y92">
        <f>IF(COUNTIFS(monthly!Q:Q,"",monthly!$A:$A,"&gt;="&amp;$A92,monthly!$B:$B,"&lt;="&amp;$B92)&gt;0,"NA",AVERAGEIFS(monthly!Q:Q,monthly!$A:$A,"&gt;="&amp;$A92,monthly!$B:$B,"&lt;="&amp;$B92))</f>
        <v>8.7366666666666664</v>
      </c>
      <c r="Z92">
        <f>IF(COUNTIFS(monthly!R:R,"",monthly!$A:$A,"&gt;="&amp;$A92,monthly!$B:$B,"&lt;="&amp;$B92)&gt;0,"NA",AVERAGEIFS(monthly!R:R,monthly!$A:$A,"&gt;="&amp;$A92,monthly!$B:$B,"&lt;="&amp;$B92))</f>
        <v>6.6151659451659457</v>
      </c>
      <c r="AA92">
        <f>IF(COUNTIFS(monthly!S:S,"",monthly!$A:$A,"&gt;="&amp;$A92,monthly!$B:$B,"&lt;="&amp;$B92)&gt;0,"NA",AVERAGEIFS(monthly!S:S,monthly!$A:$A,"&gt;="&amp;$A92,monthly!$B:$B,"&lt;="&amp;$B92))</f>
        <v>2.1215007215007211</v>
      </c>
      <c r="AB92">
        <f>IF(COUNTIFS(monthly!T:T,"",monthly!$A:$A,"&gt;="&amp;$A92,monthly!$B:$B,"&lt;="&amp;$B92)&gt;0,"NA",AVERAGEIFS(monthly!T:T,monthly!$A:$A,"&gt;="&amp;$A92,monthly!$B:$B,"&lt;="&amp;$B92))</f>
        <v>13.90679653679654</v>
      </c>
      <c r="AC92" t="str">
        <f>IF(COUNTIFS(monthly!U:U,"",monthly!$A:$A,"&gt;="&amp;$A92,monthly!$B:$B,"&lt;="&amp;$B92)&gt;0,"NA",AVERAGEIFS(monthly!U:U,monthly!$A:$A,"&gt;="&amp;$A92,monthly!$B:$B,"&lt;="&amp;$B92))</f>
        <v>NA</v>
      </c>
      <c r="AD92" t="str">
        <f>IF(COUNTIFS(monthly!V:V,"",monthly!$A:$A,"&gt;="&amp;$A92,monthly!$B:$B,"&lt;="&amp;$B92)&gt;0,"NA",AVERAGEIFS(monthly!V:V,monthly!$A:$A,"&gt;="&amp;$A92,monthly!$B:$B,"&lt;="&amp;$B92))</f>
        <v>NA</v>
      </c>
      <c r="AE92">
        <f>IF(COUNTIFS(monthly!W:W,"",monthly!$A:$A,"&gt;="&amp;$A92,monthly!$B:$B,"&lt;="&amp;$B92)&gt;0,"NA",AVERAGEIFS(monthly!W:W,monthly!$A:$A,"&gt;="&amp;$A92,monthly!$B:$B,"&lt;="&amp;$B92))</f>
        <v>77.150561014811203</v>
      </c>
      <c r="AF92">
        <f>IF(COUNTIFS(monthly!X:X,"",monthly!$A:$A,"&gt;="&amp;$A92,monthly!$B:$B,"&lt;="&amp;$B92)&gt;0,"NA",AVERAGEIFS(monthly!X:X,monthly!$A:$A,"&gt;="&amp;$A92,monthly!$B:$B,"&lt;="&amp;$B92))</f>
        <v>90.891639709472656</v>
      </c>
      <c r="AG92">
        <f>IF(COUNTIFS(monthly!Y:Y,"",monthly!$A:$A,"&gt;="&amp;$A92,monthly!$B:$B,"&lt;="&amp;$B92)&gt;0,"NA",AVERAGEIFS(monthly!Y:Y,monthly!$A:$A,"&gt;="&amp;$A92,monthly!$B:$B,"&lt;="&amp;$B92))</f>
        <v>55.84706242879232</v>
      </c>
      <c r="AH92">
        <f>IF(COUNTIFS(monthly!Z:Z,"",monthly!$A:$A,"&gt;="&amp;$A92,monthly!$B:$B,"&lt;="&amp;$B92)&gt;0,"NA",AVERAGEIFS(monthly!Z:Z,monthly!$A:$A,"&gt;="&amp;$A92,monthly!$B:$B,"&lt;="&amp;$B92))</f>
        <v>1.918659048775832E-2</v>
      </c>
    </row>
    <row r="93" spans="1:34" x14ac:dyDescent="0.2">
      <c r="A93" s="1">
        <v>33878</v>
      </c>
      <c r="B93" s="1">
        <v>33968</v>
      </c>
      <c r="C93">
        <f>IF(ISBLANK(VLOOKUP($A93,quarterly_data,MATCH(C$1,quarterly!$1:$1,FALSE),FALSE)),"NA",VLOOKUP($A93,quarterly_data,MATCH(C$1,quarterly!$1:$1,FALSE),FALSE))</f>
        <v>101.57853734620592</v>
      </c>
      <c r="D93">
        <f>IF(ISBLANK(VLOOKUP($A93,quarterly_data,MATCH(D$1,quarterly!$1:$1,FALSE),FALSE)),"NA",VLOOKUP($A93,quarterly_data,MATCH(D$1,quarterly!$1:$1,FALSE),FALSE))</f>
        <v>49.2</v>
      </c>
      <c r="E93">
        <f>IF(ISBLANK(VLOOKUP($A93,quarterly_data,MATCH(E$1,quarterly!$1:$1,FALSE),FALSE)),"NA",VLOOKUP($A93,quarterly_data,MATCH(E$1,quarterly!$1:$1,FALSE),FALSE))</f>
        <v>0</v>
      </c>
      <c r="F93">
        <f>IF(ISBLANK(VLOOKUP($A93,quarterly_data,MATCH(F$1,quarterly!$1:$1,FALSE),FALSE)),"NA",VLOOKUP($A93,quarterly_data,MATCH(F$1,quarterly!$1:$1,FALSE),FALSE))</f>
        <v>8.4913999999999996E-3</v>
      </c>
      <c r="G93">
        <f>IF(ISBLANK(VLOOKUP($A93,quarterly_data,MATCH(G$1,quarterly!$1:$1,FALSE),FALSE)),"NA",VLOOKUP($A93,quarterly_data,MATCH(G$1,quarterly!$1:$1,FALSE),FALSE))</f>
        <v>10558.647999999999</v>
      </c>
      <c r="H93">
        <f>IF(ISBLANK(VLOOKUP($A93,quarterly_data,MATCH(H$1,quarterly!$1:$1,FALSE),FALSE)),"NA",VLOOKUP($A93,quarterly_data,MATCH(H$1,quarterly!$1:$1,FALSE),FALSE))</f>
        <v>263251</v>
      </c>
      <c r="I93">
        <f>IF(ISBLANK(VLOOKUP($A93,quarterly_data,MATCH(I$1,quarterly!$1:$1,FALSE),FALSE)),"NA",VLOOKUP($A93,quarterly_data,MATCH(I$1,quarterly!$1:$1,FALSE),FALSE))</f>
        <v>0.5</v>
      </c>
      <c r="J93">
        <f>IF(ISBLANK(VLOOKUP($A93,quarterly_data,MATCH(J$1,quarterly!$1:$1,FALSE),FALSE)),"NA",VLOOKUP($A93,quarterly_data,MATCH(J$1,quarterly!$1:$1,FALSE),FALSE))</f>
        <v>41.71</v>
      </c>
      <c r="K93">
        <f>IF(COUNTIFS(monthly!C:C,"",monthly!$A:$A,"&gt;="&amp;$A93,monthly!$B:$B,"&lt;="&amp;$B93)&gt;0,"NA",AVERAGEIFS(monthly!C:C,monthly!$A:$A,"&gt;="&amp;$A93,monthly!$B:$B,"&lt;="&amp;$B93))</f>
        <v>51.849999999999994</v>
      </c>
      <c r="L93">
        <f>IF(COUNTIFS(monthly!D:D,"",monthly!$A:$A,"&gt;="&amp;$A93,monthly!$B:$B,"&lt;="&amp;$B93)&gt;0,"NA",AVERAGEIFS(monthly!D:D,monthly!$A:$A,"&gt;="&amp;$A93,monthly!$B:$B,"&lt;="&amp;$B93))</f>
        <v>0.68884999999999996</v>
      </c>
      <c r="M93">
        <f>IF(COUNTIFS(monthly!E:E,"",monthly!$A:$A,"&gt;="&amp;$A93,monthly!$B:$B,"&lt;="&amp;$B93)&gt;0,"NA",AVERAGEIFS(monthly!E:E,monthly!$A:$A,"&gt;="&amp;$A93,monthly!$B:$B,"&lt;="&amp;$B93))</f>
        <v>30.3756149865001</v>
      </c>
      <c r="N93" t="str">
        <f>IF(COUNTIFS(monthly!F:F,"",monthly!$A:$A,"&gt;="&amp;$A93,monthly!$B:$B,"&lt;="&amp;$B93)&gt;0,"NA",AVERAGEIFS(monthly!F:F,monthly!$A:$A,"&gt;="&amp;$A93,monthly!$B:$B,"&lt;="&amp;$B93))</f>
        <v>NA</v>
      </c>
      <c r="O93">
        <f>IF(COUNTIFS(monthly!G:G,"",monthly!$A:$A,"&gt;="&amp;$A93,monthly!$B:$B,"&lt;="&amp;$B93)&gt;0,"NA",AVERAGEIFS(monthly!G:G,monthly!$A:$A,"&gt;="&amp;$A93,monthly!$B:$B,"&lt;="&amp;$B93))</f>
        <v>33.1</v>
      </c>
      <c r="P93">
        <f>IF(COUNTIFS(monthly!H:H,"",monthly!$A:$A,"&gt;="&amp;$A93,monthly!$B:$B,"&lt;="&amp;$B93)&gt;0,"NA",AVERAGEIFS(monthly!H:H,monthly!$A:$A,"&gt;="&amp;$A93,monthly!$B:$B,"&lt;="&amp;$B93))</f>
        <v>36.15</v>
      </c>
      <c r="Q93">
        <f>IF(COUNTIFS(monthly!I:I,"",monthly!$A:$A,"&gt;="&amp;$A93,monthly!$B:$B,"&lt;="&amp;$B93)&gt;0,"NA",AVERAGEIFS(monthly!I:I,monthly!$A:$A,"&gt;="&amp;$A93,monthly!$B:$B,"&lt;="&amp;$B93))</f>
        <v>19.75</v>
      </c>
      <c r="R93">
        <f>IF(COUNTIFS(monthly!J:J,"",monthly!$A:$A,"&gt;="&amp;$A93,monthly!$B:$B,"&lt;="&amp;$B93)&gt;0,"NA",AVERAGEIFS(monthly!J:J,monthly!$A:$A,"&gt;="&amp;$A93,monthly!$B:$B,"&lt;="&amp;$B93))</f>
        <v>3.6749999999999998</v>
      </c>
      <c r="S93">
        <f>IF(COUNTIFS(monthly!K:K,"",monthly!$A:$A,"&gt;="&amp;$A93,monthly!$B:$B,"&lt;="&amp;$B93)&gt;0,"NA",AVERAGEIFS(monthly!K:K,monthly!$A:$A,"&gt;="&amp;$A93,monthly!$B:$B,"&lt;="&amp;$B93))</f>
        <v>5.75</v>
      </c>
      <c r="T93">
        <f>IF(COUNTIFS(monthly!L:L,"",monthly!$A:$A,"&gt;="&amp;$A93,monthly!$B:$B,"&lt;="&amp;$B93)&gt;0,"NA",AVERAGEIFS(monthly!L:L,monthly!$A:$A,"&gt;="&amp;$A93,monthly!$B:$B,"&lt;="&amp;$B93))</f>
        <v>3.0933494623655911</v>
      </c>
      <c r="U93">
        <f>IF(COUNTIFS(monthly!M:M,"",monthly!$A:$A,"&gt;="&amp;$A93,monthly!$B:$B,"&lt;="&amp;$B93)&gt;0,"NA",AVERAGEIFS(monthly!M:M,monthly!$A:$A,"&gt;="&amp;$A93,monthly!$B:$B,"&lt;="&amp;$B93))</f>
        <v>2.6566505376344089</v>
      </c>
      <c r="V93" t="str">
        <f>IF(COUNTIFS(monthly!N:N,"",monthly!$A:$A,"&gt;="&amp;$A93,monthly!$B:$B,"&lt;="&amp;$B93)&gt;0,"NA",AVERAGEIFS(monthly!N:N,monthly!$A:$A,"&gt;="&amp;$A93,monthly!$B:$B,"&lt;="&amp;$B93))</f>
        <v>NA</v>
      </c>
      <c r="W93">
        <f>IF(COUNTIFS(monthly!O:O,"",monthly!$A:$A,"&gt;="&amp;$A93,monthly!$B:$B,"&lt;="&amp;$B93)&gt;0,"NA",AVERAGEIFS(monthly!O:O,monthly!$A:$A,"&gt;="&amp;$A93,monthly!$B:$B,"&lt;="&amp;$B93))</f>
        <v>4.3311654135338342</v>
      </c>
      <c r="X93" t="str">
        <f>IF(COUNTIFS(monthly!P:P,"",monthly!$A:$A,"&gt;="&amp;$A93,monthly!$B:$B,"&lt;="&amp;$B93)&gt;0,"NA",AVERAGEIFS(monthly!P:P,monthly!$A:$A,"&gt;="&amp;$A93,monthly!$B:$B,"&lt;="&amp;$B93))</f>
        <v>NA</v>
      </c>
      <c r="Y93">
        <f>IF(COUNTIFS(monthly!Q:Q,"",monthly!$A:$A,"&gt;="&amp;$A93,monthly!$B:$B,"&lt;="&amp;$B93)&gt;0,"NA",AVERAGEIFS(monthly!Q:Q,monthly!$A:$A,"&gt;="&amp;$A93,monthly!$B:$B,"&lt;="&amp;$B93))</f>
        <v>9</v>
      </c>
      <c r="Z93">
        <f>IF(COUNTIFS(monthly!R:R,"",monthly!$A:$A,"&gt;="&amp;$A93,monthly!$B:$B,"&lt;="&amp;$B93)&gt;0,"NA",AVERAGEIFS(monthly!R:R,monthly!$A:$A,"&gt;="&amp;$A93,monthly!$B:$B,"&lt;="&amp;$B93))</f>
        <v>6.7311027568922306</v>
      </c>
      <c r="AA93">
        <f>IF(COUNTIFS(monthly!S:S,"",monthly!$A:$A,"&gt;="&amp;$A93,monthly!$B:$B,"&lt;="&amp;$B93)&gt;0,"NA",AVERAGEIFS(monthly!S:S,monthly!$A:$A,"&gt;="&amp;$A93,monthly!$B:$B,"&lt;="&amp;$B93))</f>
        <v>2.2688972431077694</v>
      </c>
      <c r="AB93">
        <f>IF(COUNTIFS(monthly!T:T,"",monthly!$A:$A,"&gt;="&amp;$A93,monthly!$B:$B,"&lt;="&amp;$B93)&gt;0,"NA",AVERAGEIFS(monthly!T:T,monthly!$A:$A,"&gt;="&amp;$A93,monthly!$B:$B,"&lt;="&amp;$B93))</f>
        <v>16.03065909090909</v>
      </c>
      <c r="AC93" t="str">
        <f>IF(COUNTIFS(monthly!U:U,"",monthly!$A:$A,"&gt;="&amp;$A93,monthly!$B:$B,"&lt;="&amp;$B93)&gt;0,"NA",AVERAGEIFS(monthly!U:U,monthly!$A:$A,"&gt;="&amp;$A93,monthly!$B:$B,"&lt;="&amp;$B93))</f>
        <v>NA</v>
      </c>
      <c r="AD93" t="str">
        <f>IF(COUNTIFS(monthly!V:V,"",monthly!$A:$A,"&gt;="&amp;$A93,monthly!$B:$B,"&lt;="&amp;$B93)&gt;0,"NA",AVERAGEIFS(monthly!V:V,monthly!$A:$A,"&gt;="&amp;$A93,monthly!$B:$B,"&lt;="&amp;$B93))</f>
        <v>NA</v>
      </c>
      <c r="AE93">
        <f>IF(COUNTIFS(monthly!W:W,"",monthly!$A:$A,"&gt;="&amp;$A93,monthly!$B:$B,"&lt;="&amp;$B93)&gt;0,"NA",AVERAGEIFS(monthly!W:W,monthly!$A:$A,"&gt;="&amp;$A93,monthly!$B:$B,"&lt;="&amp;$B93))</f>
        <v>79.59588623046875</v>
      </c>
      <c r="AF93">
        <f>IF(COUNTIFS(monthly!X:X,"",monthly!$A:$A,"&gt;="&amp;$A93,monthly!$B:$B,"&lt;="&amp;$B93)&gt;0,"NA",AVERAGEIFS(monthly!X:X,monthly!$A:$A,"&gt;="&amp;$A93,monthly!$B:$B,"&lt;="&amp;$B93))</f>
        <v>90.479591369628906</v>
      </c>
      <c r="AG93">
        <f>IF(COUNTIFS(monthly!Y:Y,"",monthly!$A:$A,"&gt;="&amp;$A93,monthly!$B:$B,"&lt;="&amp;$B93)&gt;0,"NA",AVERAGEIFS(monthly!Y:Y,monthly!$A:$A,"&gt;="&amp;$A93,monthly!$B:$B,"&lt;="&amp;$B93))</f>
        <v>63.774984359741211</v>
      </c>
      <c r="AH93">
        <f>IF(COUNTIFS(monthly!Z:Z,"",monthly!$A:$A,"&gt;="&amp;$A93,monthly!$B:$B,"&lt;="&amp;$B93)&gt;0,"NA",AVERAGEIFS(monthly!Z:Z,monthly!$A:$A,"&gt;="&amp;$A93,monthly!$B:$B,"&lt;="&amp;$B93))</f>
        <v>5.0240609794855118E-2</v>
      </c>
    </row>
    <row r="94" spans="1:34" x14ac:dyDescent="0.2">
      <c r="A94" s="1">
        <v>33970</v>
      </c>
      <c r="B94" s="1">
        <v>34058</v>
      </c>
      <c r="C94">
        <f>IF(ISBLANK(VLOOKUP($A94,quarterly_data,MATCH(C$1,quarterly!$1:$1,FALSE),FALSE)),"NA",VLOOKUP($A94,quarterly_data,MATCH(C$1,quarterly!$1:$1,FALSE),FALSE))</f>
        <v>101.12837752975817</v>
      </c>
      <c r="D94">
        <f>IF(ISBLANK(VLOOKUP($A94,quarterly_data,MATCH(D$1,quarterly!$1:$1,FALSE),FALSE)),"NA",VLOOKUP($A94,quarterly_data,MATCH(D$1,quarterly!$1:$1,FALSE),FALSE))</f>
        <v>49.3</v>
      </c>
      <c r="E94">
        <f>IF(ISBLANK(VLOOKUP($A94,quarterly_data,MATCH(E$1,quarterly!$1:$1,FALSE),FALSE)),"NA",VLOOKUP($A94,quarterly_data,MATCH(E$1,quarterly!$1:$1,FALSE),FALSE))</f>
        <v>0.15658440000000001</v>
      </c>
      <c r="F94">
        <f>IF(ISBLANK(VLOOKUP($A94,quarterly_data,MATCH(F$1,quarterly!$1:$1,FALSE),FALSE)),"NA",VLOOKUP($A94,quarterly_data,MATCH(F$1,quarterly!$1:$1,FALSE),FALSE))</f>
        <v>3.3480700000000002E-2</v>
      </c>
      <c r="G94">
        <f>IF(ISBLANK(VLOOKUP($A94,quarterly_data,MATCH(G$1,quarterly!$1:$1,FALSE),FALSE)),"NA",VLOOKUP($A94,quarterly_data,MATCH(G$1,quarterly!$1:$1,FALSE),FALSE))</f>
        <v>10576.275</v>
      </c>
      <c r="H94">
        <f>IF(ISBLANK(VLOOKUP($A94,quarterly_data,MATCH(H$1,quarterly!$1:$1,FALSE),FALSE)),"NA",VLOOKUP($A94,quarterly_data,MATCH(H$1,quarterly!$1:$1,FALSE),FALSE))</f>
        <v>265081</v>
      </c>
      <c r="I94">
        <f>IF(ISBLANK(VLOOKUP($A94,quarterly_data,MATCH(I$1,quarterly!$1:$1,FALSE),FALSE)),"NA",VLOOKUP($A94,quarterly_data,MATCH(I$1,quarterly!$1:$1,FALSE),FALSE))</f>
        <v>0.5</v>
      </c>
      <c r="J94">
        <f>IF(ISBLANK(VLOOKUP($A94,quarterly_data,MATCH(J$1,quarterly!$1:$1,FALSE),FALSE)),"NA",VLOOKUP($A94,quarterly_data,MATCH(J$1,quarterly!$1:$1,FALSE),FALSE))</f>
        <v>42.1</v>
      </c>
      <c r="K94">
        <f>IF(COUNTIFS(monthly!C:C,"",monthly!$A:$A,"&gt;="&amp;$A94,monthly!$B:$B,"&lt;="&amp;$B94)&gt;0,"NA",AVERAGEIFS(monthly!C:C,monthly!$A:$A,"&gt;="&amp;$A94,monthly!$B:$B,"&lt;="&amp;$B94))</f>
        <v>52.150000000000006</v>
      </c>
      <c r="L94">
        <f>IF(COUNTIFS(monthly!D:D,"",monthly!$A:$A,"&gt;="&amp;$A94,monthly!$B:$B,"&lt;="&amp;$B94)&gt;0,"NA",AVERAGEIFS(monthly!D:D,monthly!$A:$A,"&gt;="&amp;$A94,monthly!$B:$B,"&lt;="&amp;$B94))</f>
        <v>0.68714999999999993</v>
      </c>
      <c r="M94">
        <f>IF(COUNTIFS(monthly!E:E,"",monthly!$A:$A,"&gt;="&amp;$A94,monthly!$B:$B,"&lt;="&amp;$B94)&gt;0,"NA",AVERAGEIFS(monthly!E:E,monthly!$A:$A,"&gt;="&amp;$A94,monthly!$B:$B,"&lt;="&amp;$B94))</f>
        <v>30.896508515051998</v>
      </c>
      <c r="N94" t="str">
        <f>IF(COUNTIFS(monthly!F:F,"",monthly!$A:$A,"&gt;="&amp;$A94,monthly!$B:$B,"&lt;="&amp;$B94)&gt;0,"NA",AVERAGEIFS(monthly!F:F,monthly!$A:$A,"&gt;="&amp;$A94,monthly!$B:$B,"&lt;="&amp;$B94))</f>
        <v>NA</v>
      </c>
      <c r="O94">
        <f>IF(COUNTIFS(monthly!G:G,"",monthly!$A:$A,"&gt;="&amp;$A94,monthly!$B:$B,"&lt;="&amp;$B94)&gt;0,"NA",AVERAGEIFS(monthly!G:G,monthly!$A:$A,"&gt;="&amp;$A94,monthly!$B:$B,"&lt;="&amp;$B94))</f>
        <v>29.1</v>
      </c>
      <c r="P94">
        <f>IF(COUNTIFS(monthly!H:H,"",monthly!$A:$A,"&gt;="&amp;$A94,monthly!$B:$B,"&lt;="&amp;$B94)&gt;0,"NA",AVERAGEIFS(monthly!H:H,monthly!$A:$A,"&gt;="&amp;$A94,monthly!$B:$B,"&lt;="&amp;$B94))</f>
        <v>33</v>
      </c>
      <c r="Q94">
        <f>IF(COUNTIFS(monthly!I:I,"",monthly!$A:$A,"&gt;="&amp;$A94,monthly!$B:$B,"&lt;="&amp;$B94)&gt;0,"NA",AVERAGEIFS(monthly!I:I,monthly!$A:$A,"&gt;="&amp;$A94,monthly!$B:$B,"&lt;="&amp;$B94))</f>
        <v>17.95</v>
      </c>
      <c r="R94">
        <f>IF(COUNTIFS(monthly!J:J,"",monthly!$A:$A,"&gt;="&amp;$A94,monthly!$B:$B,"&lt;="&amp;$B94)&gt;0,"NA",AVERAGEIFS(monthly!J:J,monthly!$A:$A,"&gt;="&amp;$A94,monthly!$B:$B,"&lt;="&amp;$B94))</f>
        <v>3.625</v>
      </c>
      <c r="S94">
        <f>IF(COUNTIFS(monthly!K:K,"",monthly!$A:$A,"&gt;="&amp;$A94,monthly!$B:$B,"&lt;="&amp;$B94)&gt;0,"NA",AVERAGEIFS(monthly!K:K,monthly!$A:$A,"&gt;="&amp;$A94,monthly!$B:$B,"&lt;="&amp;$B94))</f>
        <v>5.75</v>
      </c>
      <c r="T94">
        <f>IF(COUNTIFS(monthly!L:L,"",monthly!$A:$A,"&gt;="&amp;$A94,monthly!$B:$B,"&lt;="&amp;$B94)&gt;0,"NA",AVERAGEIFS(monthly!L:L,monthly!$A:$A,"&gt;="&amp;$A94,monthly!$B:$B,"&lt;="&amp;$B94))</f>
        <v>3.0256682027649777</v>
      </c>
      <c r="U94">
        <f>IF(COUNTIFS(monthly!M:M,"",monthly!$A:$A,"&gt;="&amp;$A94,monthly!$B:$B,"&lt;="&amp;$B94)&gt;0,"NA",AVERAGEIFS(monthly!M:M,monthly!$A:$A,"&gt;="&amp;$A94,monthly!$B:$B,"&lt;="&amp;$B94))</f>
        <v>2.7243317972350223</v>
      </c>
      <c r="V94" t="str">
        <f>IF(COUNTIFS(monthly!N:N,"",monthly!$A:$A,"&gt;="&amp;$A94,monthly!$B:$B,"&lt;="&amp;$B94)&gt;0,"NA",AVERAGEIFS(monthly!N:N,monthly!$A:$A,"&gt;="&amp;$A94,monthly!$B:$B,"&lt;="&amp;$B94))</f>
        <v>NA</v>
      </c>
      <c r="W94">
        <f>IF(COUNTIFS(monthly!O:O,"",monthly!$A:$A,"&gt;="&amp;$A94,monthly!$B:$B,"&lt;="&amp;$B94)&gt;0,"NA",AVERAGEIFS(monthly!O:O,monthly!$A:$A,"&gt;="&amp;$A94,monthly!$B:$B,"&lt;="&amp;$B94))</f>
        <v>4.2442105263157899</v>
      </c>
      <c r="X94" t="str">
        <f>IF(COUNTIFS(monthly!P:P,"",monthly!$A:$A,"&gt;="&amp;$A94,monthly!$B:$B,"&lt;="&amp;$B94)&gt;0,"NA",AVERAGEIFS(monthly!P:P,monthly!$A:$A,"&gt;="&amp;$A94,monthly!$B:$B,"&lt;="&amp;$B94))</f>
        <v>NA</v>
      </c>
      <c r="Y94">
        <f>IF(COUNTIFS(monthly!Q:Q,"",monthly!$A:$A,"&gt;="&amp;$A94,monthly!$B:$B,"&lt;="&amp;$B94)&gt;0,"NA",AVERAGEIFS(monthly!Q:Q,monthly!$A:$A,"&gt;="&amp;$A94,monthly!$B:$B,"&lt;="&amp;$B94))</f>
        <v>8.2899999999999991</v>
      </c>
      <c r="Z94">
        <f>IF(COUNTIFS(monthly!R:R,"",monthly!$A:$A,"&gt;="&amp;$A94,monthly!$B:$B,"&lt;="&amp;$B94)&gt;0,"NA",AVERAGEIFS(monthly!R:R,monthly!$A:$A,"&gt;="&amp;$A94,monthly!$B:$B,"&lt;="&amp;$B94))</f>
        <v>6.4294736842105262</v>
      </c>
      <c r="AA94">
        <f>IF(COUNTIFS(monthly!S:S,"",monthly!$A:$A,"&gt;="&amp;$A94,monthly!$B:$B,"&lt;="&amp;$B94)&gt;0,"NA",AVERAGEIFS(monthly!S:S,monthly!$A:$A,"&gt;="&amp;$A94,monthly!$B:$B,"&lt;="&amp;$B94))</f>
        <v>1.8605263157894734</v>
      </c>
      <c r="AB94">
        <f>IF(COUNTIFS(monthly!T:T,"",monthly!$A:$A,"&gt;="&amp;$A94,monthly!$B:$B,"&lt;="&amp;$B94)&gt;0,"NA",AVERAGEIFS(monthly!T:T,monthly!$A:$A,"&gt;="&amp;$A94,monthly!$B:$B,"&lt;="&amp;$B94))</f>
        <v>13.06528947368421</v>
      </c>
      <c r="AC94" t="str">
        <f>IF(COUNTIFS(monthly!U:U,"",monthly!$A:$A,"&gt;="&amp;$A94,monthly!$B:$B,"&lt;="&amp;$B94)&gt;0,"NA",AVERAGEIFS(monthly!U:U,monthly!$A:$A,"&gt;="&amp;$A94,monthly!$B:$B,"&lt;="&amp;$B94))</f>
        <v>NA</v>
      </c>
      <c r="AD94" t="str">
        <f>IF(COUNTIFS(monthly!V:V,"",monthly!$A:$A,"&gt;="&amp;$A94,monthly!$B:$B,"&lt;="&amp;$B94)&gt;0,"NA",AVERAGEIFS(monthly!V:V,monthly!$A:$A,"&gt;="&amp;$A94,monthly!$B:$B,"&lt;="&amp;$B94))</f>
        <v>NA</v>
      </c>
      <c r="AE94">
        <f>IF(COUNTIFS(monthly!W:W,"",monthly!$A:$A,"&gt;="&amp;$A94,monthly!$B:$B,"&lt;="&amp;$B94)&gt;0,"NA",AVERAGEIFS(monthly!W:W,monthly!$A:$A,"&gt;="&amp;$A94,monthly!$B:$B,"&lt;="&amp;$B94))</f>
        <v>109.69306945800781</v>
      </c>
      <c r="AF94">
        <f>IF(COUNTIFS(monthly!X:X,"",monthly!$A:$A,"&gt;="&amp;$A94,monthly!$B:$B,"&lt;="&amp;$B94)&gt;0,"NA",AVERAGEIFS(monthly!X:X,monthly!$A:$A,"&gt;="&amp;$A94,monthly!$B:$B,"&lt;="&amp;$B94))</f>
        <v>125.0772705078125</v>
      </c>
      <c r="AG94">
        <f>IF(COUNTIFS(monthly!Y:Y,"",monthly!$A:$A,"&gt;="&amp;$A94,monthly!$B:$B,"&lt;="&amp;$B94)&gt;0,"NA",AVERAGEIFS(monthly!Y:Y,monthly!$A:$A,"&gt;="&amp;$A94,monthly!$B:$B,"&lt;="&amp;$B94))</f>
        <v>89.732589721679688</v>
      </c>
      <c r="AH94">
        <f>IF(COUNTIFS(monthly!Z:Z,"",monthly!$A:$A,"&gt;="&amp;$A94,monthly!$B:$B,"&lt;="&amp;$B94)&gt;0,"NA",AVERAGEIFS(monthly!Z:Z,monthly!$A:$A,"&gt;="&amp;$A94,monthly!$B:$B,"&lt;="&amp;$B94))</f>
        <v>6.7671280354261398E-2</v>
      </c>
    </row>
    <row r="95" spans="1:34" x14ac:dyDescent="0.2">
      <c r="A95" s="1">
        <v>34060</v>
      </c>
      <c r="B95" s="1">
        <v>34150</v>
      </c>
      <c r="C95">
        <f>IF(ISBLANK(VLOOKUP($A95,quarterly_data,MATCH(C$1,quarterly!$1:$1,FALSE),FALSE)),"NA",VLOOKUP($A95,quarterly_data,MATCH(C$1,quarterly!$1:$1,FALSE),FALSE))</f>
        <v>98.577171275870739</v>
      </c>
      <c r="D95">
        <f>IF(ISBLANK(VLOOKUP($A95,quarterly_data,MATCH(D$1,quarterly!$1:$1,FALSE),FALSE)),"NA",VLOOKUP($A95,quarterly_data,MATCH(D$1,quarterly!$1:$1,FALSE),FALSE))</f>
        <v>47.9</v>
      </c>
      <c r="E95">
        <f>IF(ISBLANK(VLOOKUP($A95,quarterly_data,MATCH(E$1,quarterly!$1:$1,FALSE),FALSE)),"NA",VLOOKUP($A95,quarterly_data,MATCH(E$1,quarterly!$1:$1,FALSE),FALSE))</f>
        <v>0.24487300000000001</v>
      </c>
      <c r="F95">
        <f>IF(ISBLANK(VLOOKUP($A95,quarterly_data,MATCH(F$1,quarterly!$1:$1,FALSE),FALSE)),"NA",VLOOKUP($A95,quarterly_data,MATCH(F$1,quarterly!$1:$1,FALSE),FALSE))</f>
        <v>6.4632999999999996E-2</v>
      </c>
      <c r="G95">
        <f>IF(ISBLANK(VLOOKUP($A95,quarterly_data,MATCH(G$1,quarterly!$1:$1,FALSE),FALSE)),"NA",VLOOKUP($A95,quarterly_data,MATCH(G$1,quarterly!$1:$1,FALSE),FALSE))</f>
        <v>10637.847</v>
      </c>
      <c r="H95">
        <f>IF(ISBLANK(VLOOKUP($A95,quarterly_data,MATCH(H$1,quarterly!$1:$1,FALSE),FALSE)),"NA",VLOOKUP($A95,quarterly_data,MATCH(H$1,quarterly!$1:$1,FALSE),FALSE))</f>
        <v>266583</v>
      </c>
      <c r="I95">
        <f>IF(ISBLANK(VLOOKUP($A95,quarterly_data,MATCH(I$1,quarterly!$1:$1,FALSE),FALSE)),"NA",VLOOKUP($A95,quarterly_data,MATCH(I$1,quarterly!$1:$1,FALSE),FALSE))</f>
        <v>0.6</v>
      </c>
      <c r="J95">
        <f>IF(ISBLANK(VLOOKUP($A95,quarterly_data,MATCH(J$1,quarterly!$1:$1,FALSE),FALSE)),"NA",VLOOKUP($A95,quarterly_data,MATCH(J$1,quarterly!$1:$1,FALSE),FALSE))</f>
        <v>42.25</v>
      </c>
      <c r="K95">
        <f>IF(COUNTIFS(monthly!C:C,"",monthly!$A:$A,"&gt;="&amp;$A95,monthly!$B:$B,"&lt;="&amp;$B95)&gt;0,"NA",AVERAGEIFS(monthly!C:C,monthly!$A:$A,"&gt;="&amp;$A95,monthly!$B:$B,"&lt;="&amp;$B95))</f>
        <v>50.4</v>
      </c>
      <c r="L95">
        <f>IF(COUNTIFS(monthly!D:D,"",monthly!$A:$A,"&gt;="&amp;$A95,monthly!$B:$B,"&lt;="&amp;$B95)&gt;0,"NA",AVERAGEIFS(monthly!D:D,monthly!$A:$A,"&gt;="&amp;$A95,monthly!$B:$B,"&lt;="&amp;$B95))</f>
        <v>0.68690000000000007</v>
      </c>
      <c r="M95">
        <f>IF(COUNTIFS(monthly!E:E,"",monthly!$A:$A,"&gt;="&amp;$A95,monthly!$B:$B,"&lt;="&amp;$B95)&gt;0,"NA",AVERAGEIFS(monthly!E:E,monthly!$A:$A,"&gt;="&amp;$A95,monthly!$B:$B,"&lt;="&amp;$B95))</f>
        <v>29.259258682568333</v>
      </c>
      <c r="N95" t="str">
        <f>IF(COUNTIFS(monthly!F:F,"",monthly!$A:$A,"&gt;="&amp;$A95,monthly!$B:$B,"&lt;="&amp;$B95)&gt;0,"NA",AVERAGEIFS(monthly!F:F,monthly!$A:$A,"&gt;="&amp;$A95,monthly!$B:$B,"&lt;="&amp;$B95))</f>
        <v>NA</v>
      </c>
      <c r="O95">
        <f>IF(COUNTIFS(monthly!G:G,"",monthly!$A:$A,"&gt;="&amp;$A95,monthly!$B:$B,"&lt;="&amp;$B95)&gt;0,"NA",AVERAGEIFS(monthly!G:G,monthly!$A:$A,"&gt;="&amp;$A95,monthly!$B:$B,"&lt;="&amp;$B95))</f>
        <v>29.100000000000005</v>
      </c>
      <c r="P95">
        <f>IF(COUNTIFS(monthly!H:H,"",monthly!$A:$A,"&gt;="&amp;$A95,monthly!$B:$B,"&lt;="&amp;$B95)&gt;0,"NA",AVERAGEIFS(monthly!H:H,monthly!$A:$A,"&gt;="&amp;$A95,monthly!$B:$B,"&lt;="&amp;$B95))</f>
        <v>31</v>
      </c>
      <c r="Q95">
        <f>IF(COUNTIFS(monthly!I:I,"",monthly!$A:$A,"&gt;="&amp;$A95,monthly!$B:$B,"&lt;="&amp;$B95)&gt;0,"NA",AVERAGEIFS(monthly!I:I,monthly!$A:$A,"&gt;="&amp;$A95,monthly!$B:$B,"&lt;="&amp;$B95))</f>
        <v>18.3</v>
      </c>
      <c r="R95">
        <f>IF(COUNTIFS(monthly!J:J,"",monthly!$A:$A,"&gt;="&amp;$A95,monthly!$B:$B,"&lt;="&amp;$B95)&gt;0,"NA",AVERAGEIFS(monthly!J:J,monthly!$A:$A,"&gt;="&amp;$A95,monthly!$B:$B,"&lt;="&amp;$B95))</f>
        <v>3.5766666666666667</v>
      </c>
      <c r="S95">
        <f>IF(COUNTIFS(monthly!K:K,"",monthly!$A:$A,"&gt;="&amp;$A95,monthly!$B:$B,"&lt;="&amp;$B95)&gt;0,"NA",AVERAGEIFS(monthly!K:K,monthly!$A:$A,"&gt;="&amp;$A95,monthly!$B:$B,"&lt;="&amp;$B95))</f>
        <v>5.25</v>
      </c>
      <c r="T95">
        <f>IF(COUNTIFS(monthly!L:L,"",monthly!$A:$A,"&gt;="&amp;$A95,monthly!$B:$B,"&lt;="&amp;$B95)&gt;0,"NA",AVERAGEIFS(monthly!L:L,monthly!$A:$A,"&gt;="&amp;$A95,monthly!$B:$B,"&lt;="&amp;$B95))</f>
        <v>2.9972652329749092</v>
      </c>
      <c r="U95">
        <f>IF(COUNTIFS(monthly!M:M,"",monthly!$A:$A,"&gt;="&amp;$A95,monthly!$B:$B,"&lt;="&amp;$B95)&gt;0,"NA",AVERAGEIFS(monthly!M:M,monthly!$A:$A,"&gt;="&amp;$A95,monthly!$B:$B,"&lt;="&amp;$B95))</f>
        <v>2.2527347670250908</v>
      </c>
      <c r="V95" t="str">
        <f>IF(COUNTIFS(monthly!N:N,"",monthly!$A:$A,"&gt;="&amp;$A95,monthly!$B:$B,"&lt;="&amp;$B95)&gt;0,"NA",AVERAGEIFS(monthly!N:N,monthly!$A:$A,"&gt;="&amp;$A95,monthly!$B:$B,"&lt;="&amp;$B95))</f>
        <v>NA</v>
      </c>
      <c r="W95">
        <f>IF(COUNTIFS(monthly!O:O,"",monthly!$A:$A,"&gt;="&amp;$A95,monthly!$B:$B,"&lt;="&amp;$B95)&gt;0,"NA",AVERAGEIFS(monthly!O:O,monthly!$A:$A,"&gt;="&amp;$A95,monthly!$B:$B,"&lt;="&amp;$B95))</f>
        <v>3.9927518037518035</v>
      </c>
      <c r="X95" t="str">
        <f>IF(COUNTIFS(monthly!P:P,"",monthly!$A:$A,"&gt;="&amp;$A95,monthly!$B:$B,"&lt;="&amp;$B95)&gt;0,"NA",AVERAGEIFS(monthly!P:P,monthly!$A:$A,"&gt;="&amp;$A95,monthly!$B:$B,"&lt;="&amp;$B95))</f>
        <v>NA</v>
      </c>
      <c r="Y95">
        <f>IF(COUNTIFS(monthly!Q:Q,"",monthly!$A:$A,"&gt;="&amp;$A95,monthly!$B:$B,"&lt;="&amp;$B95)&gt;0,"NA",AVERAGEIFS(monthly!Q:Q,monthly!$A:$A,"&gt;="&amp;$A95,monthly!$B:$B,"&lt;="&amp;$B95))</f>
        <v>7.543333333333333</v>
      </c>
      <c r="Z95">
        <f>IF(COUNTIFS(monthly!R:R,"",monthly!$A:$A,"&gt;="&amp;$A95,monthly!$B:$B,"&lt;="&amp;$B95)&gt;0,"NA",AVERAGEIFS(monthly!R:R,monthly!$A:$A,"&gt;="&amp;$A95,monthly!$B:$B,"&lt;="&amp;$B95))</f>
        <v>5.9892503607503604</v>
      </c>
      <c r="AA95">
        <f>IF(COUNTIFS(monthly!S:S,"",monthly!$A:$A,"&gt;="&amp;$A95,monthly!$B:$B,"&lt;="&amp;$B95)&gt;0,"NA",AVERAGEIFS(monthly!S:S,monthly!$A:$A,"&gt;="&amp;$A95,monthly!$B:$B,"&lt;="&amp;$B95))</f>
        <v>1.5540829725829732</v>
      </c>
      <c r="AB95">
        <f>IF(COUNTIFS(monthly!T:T,"",monthly!$A:$A,"&gt;="&amp;$A95,monthly!$B:$B,"&lt;="&amp;$B95)&gt;0,"NA",AVERAGEIFS(monthly!T:T,monthly!$A:$A,"&gt;="&amp;$A95,monthly!$B:$B,"&lt;="&amp;$B95))</f>
        <v>12.990347763347764</v>
      </c>
      <c r="AC95" t="str">
        <f>IF(COUNTIFS(monthly!U:U,"",monthly!$A:$A,"&gt;="&amp;$A95,monthly!$B:$B,"&lt;="&amp;$B95)&gt;0,"NA",AVERAGEIFS(monthly!U:U,monthly!$A:$A,"&gt;="&amp;$A95,monthly!$B:$B,"&lt;="&amp;$B95))</f>
        <v>NA</v>
      </c>
      <c r="AD95" t="str">
        <f>IF(COUNTIFS(monthly!V:V,"",monthly!$A:$A,"&gt;="&amp;$A95,monthly!$B:$B,"&lt;="&amp;$B95)&gt;0,"NA",AVERAGEIFS(monthly!V:V,monthly!$A:$A,"&gt;="&amp;$A95,monthly!$B:$B,"&lt;="&amp;$B95))</f>
        <v>NA</v>
      </c>
      <c r="AE95">
        <f>IF(COUNTIFS(monthly!W:W,"",monthly!$A:$A,"&gt;="&amp;$A95,monthly!$B:$B,"&lt;="&amp;$B95)&gt;0,"NA",AVERAGEIFS(monthly!W:W,monthly!$A:$A,"&gt;="&amp;$A95,monthly!$B:$B,"&lt;="&amp;$B95))</f>
        <v>109.21555582682292</v>
      </c>
      <c r="AF95">
        <f>IF(COUNTIFS(monthly!X:X,"",monthly!$A:$A,"&gt;="&amp;$A95,monthly!$B:$B,"&lt;="&amp;$B95)&gt;0,"NA",AVERAGEIFS(monthly!X:X,monthly!$A:$A,"&gt;="&amp;$A95,monthly!$B:$B,"&lt;="&amp;$B95))</f>
        <v>135.62978617350259</v>
      </c>
      <c r="AG95">
        <f>IF(COUNTIFS(monthly!Y:Y,"",monthly!$A:$A,"&gt;="&amp;$A95,monthly!$B:$B,"&lt;="&amp;$B95)&gt;0,"NA",AVERAGEIFS(monthly!Y:Y,monthly!$A:$A,"&gt;="&amp;$A95,monthly!$B:$B,"&lt;="&amp;$B95))</f>
        <v>74.643297831217453</v>
      </c>
      <c r="AH95">
        <f>IF(COUNTIFS(monthly!Z:Z,"",monthly!$A:$A,"&gt;="&amp;$A95,monthly!$B:$B,"&lt;="&amp;$B95)&gt;0,"NA",AVERAGEIFS(monthly!Z:Z,monthly!$A:$A,"&gt;="&amp;$A95,monthly!$B:$B,"&lt;="&amp;$B95))</f>
        <v>3.6749688287576042E-2</v>
      </c>
    </row>
    <row r="96" spans="1:34" x14ac:dyDescent="0.2">
      <c r="A96" s="1">
        <v>34151</v>
      </c>
      <c r="B96" s="1">
        <v>34242</v>
      </c>
      <c r="C96">
        <f>IF(ISBLANK(VLOOKUP($A96,quarterly_data,MATCH(C$1,quarterly!$1:$1,FALSE),FALSE)),"NA",VLOOKUP($A96,quarterly_data,MATCH(C$1,quarterly!$1:$1,FALSE),FALSE))</f>
        <v>94.580448359171342</v>
      </c>
      <c r="D96">
        <f>IF(ISBLANK(VLOOKUP($A96,quarterly_data,MATCH(D$1,quarterly!$1:$1,FALSE),FALSE)),"NA",VLOOKUP($A96,quarterly_data,MATCH(D$1,quarterly!$1:$1,FALSE),FALSE))</f>
        <v>47.6</v>
      </c>
      <c r="E96">
        <f>IF(ISBLANK(VLOOKUP($A96,quarterly_data,MATCH(E$1,quarterly!$1:$1,FALSE),FALSE)),"NA",VLOOKUP($A96,quarterly_data,MATCH(E$1,quarterly!$1:$1,FALSE),FALSE))</f>
        <v>0.1594981</v>
      </c>
      <c r="F96">
        <f>IF(ISBLANK(VLOOKUP($A96,quarterly_data,MATCH(F$1,quarterly!$1:$1,FALSE),FALSE)),"NA",VLOOKUP($A96,quarterly_data,MATCH(F$1,quarterly!$1:$1,FALSE),FALSE))</f>
        <v>6.1606399999999999E-2</v>
      </c>
      <c r="G96">
        <f>IF(ISBLANK(VLOOKUP($A96,quarterly_data,MATCH(G$1,quarterly!$1:$1,FALSE),FALSE)),"NA",VLOOKUP($A96,quarterly_data,MATCH(G$1,quarterly!$1:$1,FALSE),FALSE))</f>
        <v>10688.606</v>
      </c>
      <c r="H96">
        <f>IF(ISBLANK(VLOOKUP($A96,quarterly_data,MATCH(H$1,quarterly!$1:$1,FALSE),FALSE)),"NA",VLOOKUP($A96,quarterly_data,MATCH(H$1,quarterly!$1:$1,FALSE),FALSE))</f>
        <v>266905</v>
      </c>
      <c r="I96">
        <f>IF(ISBLANK(VLOOKUP($A96,quarterly_data,MATCH(I$1,quarterly!$1:$1,FALSE),FALSE)),"NA",VLOOKUP($A96,quarterly_data,MATCH(I$1,quarterly!$1:$1,FALSE),FALSE))</f>
        <v>0.5</v>
      </c>
      <c r="J96">
        <f>IF(ISBLANK(VLOOKUP($A96,quarterly_data,MATCH(J$1,quarterly!$1:$1,FALSE),FALSE)),"NA",VLOOKUP($A96,quarterly_data,MATCH(J$1,quarterly!$1:$1,FALSE),FALSE))</f>
        <v>42.45</v>
      </c>
      <c r="K96">
        <f>IF(COUNTIFS(monthly!C:C,"",monthly!$A:$A,"&gt;="&amp;$A96,monthly!$B:$B,"&lt;="&amp;$B96)&gt;0,"NA",AVERAGEIFS(monthly!C:C,monthly!$A:$A,"&gt;="&amp;$A96,monthly!$B:$B,"&lt;="&amp;$B96))</f>
        <v>49.166666666666664</v>
      </c>
      <c r="L96">
        <f>IF(COUNTIFS(monthly!D:D,"",monthly!$A:$A,"&gt;="&amp;$A96,monthly!$B:$B,"&lt;="&amp;$B96)&gt;0,"NA",AVERAGEIFS(monthly!D:D,monthly!$A:$A,"&gt;="&amp;$A96,monthly!$B:$B,"&lt;="&amp;$B96))</f>
        <v>0.66649999999999998</v>
      </c>
      <c r="M96">
        <f>IF(COUNTIFS(monthly!E:E,"",monthly!$A:$A,"&gt;="&amp;$A96,monthly!$B:$B,"&lt;="&amp;$B96)&gt;0,"NA",AVERAGEIFS(monthly!E:E,monthly!$A:$A,"&gt;="&amp;$A96,monthly!$B:$B,"&lt;="&amp;$B96))</f>
        <v>29.373566156504666</v>
      </c>
      <c r="N96" t="str">
        <f>IF(COUNTIFS(monthly!F:F,"",monthly!$A:$A,"&gt;="&amp;$A96,monthly!$B:$B,"&lt;="&amp;$B96)&gt;0,"NA",AVERAGEIFS(monthly!F:F,monthly!$A:$A,"&gt;="&amp;$A96,monthly!$B:$B,"&lt;="&amp;$B96))</f>
        <v>NA</v>
      </c>
      <c r="O96">
        <f>IF(COUNTIFS(monthly!G:G,"",monthly!$A:$A,"&gt;="&amp;$A96,monthly!$B:$B,"&lt;="&amp;$B96)&gt;0,"NA",AVERAGEIFS(monthly!G:G,monthly!$A:$A,"&gt;="&amp;$A96,monthly!$B:$B,"&lt;="&amp;$B96))</f>
        <v>29.100000000000005</v>
      </c>
      <c r="P96">
        <f>IF(COUNTIFS(monthly!H:H,"",monthly!$A:$A,"&gt;="&amp;$A96,monthly!$B:$B,"&lt;="&amp;$B96)&gt;0,"NA",AVERAGEIFS(monthly!H:H,monthly!$A:$A,"&gt;="&amp;$A96,monthly!$B:$B,"&lt;="&amp;$B96))</f>
        <v>31</v>
      </c>
      <c r="Q96">
        <f>IF(COUNTIFS(monthly!I:I,"",monthly!$A:$A,"&gt;="&amp;$A96,monthly!$B:$B,"&lt;="&amp;$B96)&gt;0,"NA",AVERAGEIFS(monthly!I:I,monthly!$A:$A,"&gt;="&amp;$A96,monthly!$B:$B,"&lt;="&amp;$B96))</f>
        <v>16.5</v>
      </c>
      <c r="R96">
        <f>IF(COUNTIFS(monthly!J:J,"",monthly!$A:$A,"&gt;="&amp;$A96,monthly!$B:$B,"&lt;="&amp;$B96)&gt;0,"NA",AVERAGEIFS(monthly!J:J,monthly!$A:$A,"&gt;="&amp;$A96,monthly!$B:$B,"&lt;="&amp;$B96))</f>
        <v>3.5033333333333334</v>
      </c>
      <c r="S96">
        <f>IF(COUNTIFS(monthly!K:K,"",monthly!$A:$A,"&gt;="&amp;$A96,monthly!$B:$B,"&lt;="&amp;$B96)&gt;0,"NA",AVERAGEIFS(monthly!K:K,monthly!$A:$A,"&gt;="&amp;$A96,monthly!$B:$B,"&lt;="&amp;$B96))</f>
        <v>4.9090909090909101</v>
      </c>
      <c r="T96">
        <f>IF(COUNTIFS(monthly!L:L,"",monthly!$A:$A,"&gt;="&amp;$A96,monthly!$B:$B,"&lt;="&amp;$B96)&gt;0,"NA",AVERAGEIFS(monthly!L:L,monthly!$A:$A,"&gt;="&amp;$A96,monthly!$B:$B,"&lt;="&amp;$B96))</f>
        <v>3.0580250896057346</v>
      </c>
      <c r="U96">
        <f>IF(COUNTIFS(monthly!M:M,"",monthly!$A:$A,"&gt;="&amp;$A96,monthly!$B:$B,"&lt;="&amp;$B96)&gt;0,"NA",AVERAGEIFS(monthly!M:M,monthly!$A:$A,"&gt;="&amp;$A96,monthly!$B:$B,"&lt;="&amp;$B96))</f>
        <v>1.8510658194851757</v>
      </c>
      <c r="V96" t="str">
        <f>IF(COUNTIFS(monthly!N:N,"",monthly!$A:$A,"&gt;="&amp;$A96,monthly!$B:$B,"&lt;="&amp;$B96)&gt;0,"NA",AVERAGEIFS(monthly!N:N,monthly!$A:$A,"&gt;="&amp;$A96,monthly!$B:$B,"&lt;="&amp;$B96))</f>
        <v>NA</v>
      </c>
      <c r="W96">
        <f>IF(COUNTIFS(monthly!O:O,"",monthly!$A:$A,"&gt;="&amp;$A96,monthly!$B:$B,"&lt;="&amp;$B96)&gt;0,"NA",AVERAGEIFS(monthly!O:O,monthly!$A:$A,"&gt;="&amp;$A96,monthly!$B:$B,"&lt;="&amp;$B96))</f>
        <v>3.9734704184704186</v>
      </c>
      <c r="X96" t="str">
        <f>IF(COUNTIFS(monthly!P:P,"",monthly!$A:$A,"&gt;="&amp;$A96,monthly!$B:$B,"&lt;="&amp;$B96)&gt;0,"NA",AVERAGEIFS(monthly!P:P,monthly!$A:$A,"&gt;="&amp;$A96,monthly!$B:$B,"&lt;="&amp;$B96))</f>
        <v>NA</v>
      </c>
      <c r="Y96">
        <f>IF(COUNTIFS(monthly!Q:Q,"",monthly!$A:$A,"&gt;="&amp;$A96,monthly!$B:$B,"&lt;="&amp;$B96)&gt;0,"NA",AVERAGEIFS(monthly!Q:Q,monthly!$A:$A,"&gt;="&amp;$A96,monthly!$B:$B,"&lt;="&amp;$B96))</f>
        <v>6.7866666666666662</v>
      </c>
      <c r="Z96">
        <f>IF(COUNTIFS(monthly!R:R,"",monthly!$A:$A,"&gt;="&amp;$A96,monthly!$B:$B,"&lt;="&amp;$B96)&gt;0,"NA",AVERAGEIFS(monthly!R:R,monthly!$A:$A,"&gt;="&amp;$A96,monthly!$B:$B,"&lt;="&amp;$B96))</f>
        <v>5.6143217893217896</v>
      </c>
      <c r="AA96">
        <f>IF(COUNTIFS(monthly!S:S,"",monthly!$A:$A,"&gt;="&amp;$A96,monthly!$B:$B,"&lt;="&amp;$B96)&gt;0,"NA",AVERAGEIFS(monthly!S:S,monthly!$A:$A,"&gt;="&amp;$A96,monthly!$B:$B,"&lt;="&amp;$B96))</f>
        <v>1.1723448773448764</v>
      </c>
      <c r="AB96">
        <f>IF(COUNTIFS(monthly!T:T,"",monthly!$A:$A,"&gt;="&amp;$A96,monthly!$B:$B,"&lt;="&amp;$B96)&gt;0,"NA",AVERAGEIFS(monthly!T:T,monthly!$A:$A,"&gt;="&amp;$A96,monthly!$B:$B,"&lt;="&amp;$B96))</f>
        <v>12.120180375180377</v>
      </c>
      <c r="AC96" t="str">
        <f>IF(COUNTIFS(monthly!U:U,"",monthly!$A:$A,"&gt;="&amp;$A96,monthly!$B:$B,"&lt;="&amp;$B96)&gt;0,"NA",AVERAGEIFS(monthly!U:U,monthly!$A:$A,"&gt;="&amp;$A96,monthly!$B:$B,"&lt;="&amp;$B96))</f>
        <v>NA</v>
      </c>
      <c r="AD96" t="str">
        <f>IF(COUNTIFS(monthly!V:V,"",monthly!$A:$A,"&gt;="&amp;$A96,monthly!$B:$B,"&lt;="&amp;$B96)&gt;0,"NA",AVERAGEIFS(monthly!V:V,monthly!$A:$A,"&gt;="&amp;$A96,monthly!$B:$B,"&lt;="&amp;$B96))</f>
        <v>NA</v>
      </c>
      <c r="AE96">
        <f>IF(COUNTIFS(monthly!W:W,"",monthly!$A:$A,"&gt;="&amp;$A96,monthly!$B:$B,"&lt;="&amp;$B96)&gt;0,"NA",AVERAGEIFS(monthly!W:W,monthly!$A:$A,"&gt;="&amp;$A96,monthly!$B:$B,"&lt;="&amp;$B96))</f>
        <v>103.24041493733723</v>
      </c>
      <c r="AF96">
        <f>IF(COUNTIFS(monthly!X:X,"",monthly!$A:$A,"&gt;="&amp;$A96,monthly!$B:$B,"&lt;="&amp;$B96)&gt;0,"NA",AVERAGEIFS(monthly!X:X,monthly!$A:$A,"&gt;="&amp;$A96,monthly!$B:$B,"&lt;="&amp;$B96))</f>
        <v>108.76687622070312</v>
      </c>
      <c r="AG96">
        <f>IF(COUNTIFS(monthly!Y:Y,"",monthly!$A:$A,"&gt;="&amp;$A96,monthly!$B:$B,"&lt;="&amp;$B96)&gt;0,"NA",AVERAGEIFS(monthly!Y:Y,monthly!$A:$A,"&gt;="&amp;$A96,monthly!$B:$B,"&lt;="&amp;$B96))</f>
        <v>92.915969848632812</v>
      </c>
      <c r="AH96">
        <f>IF(COUNTIFS(monthly!Z:Z,"",monthly!$A:$A,"&gt;="&amp;$A96,monthly!$B:$B,"&lt;="&amp;$B96)&gt;0,"NA",AVERAGEIFS(monthly!Z:Z,monthly!$A:$A,"&gt;="&amp;$A96,monthly!$B:$B,"&lt;="&amp;$B96))</f>
        <v>4.6480124195416771E-2</v>
      </c>
    </row>
    <row r="97" spans="1:34" x14ac:dyDescent="0.2">
      <c r="A97" s="1">
        <v>34243</v>
      </c>
      <c r="B97" s="1">
        <v>34333</v>
      </c>
      <c r="C97">
        <f>IF(ISBLANK(VLOOKUP($A97,quarterly_data,MATCH(C$1,quarterly!$1:$1,FALSE),FALSE)),"NA",VLOOKUP($A97,quarterly_data,MATCH(C$1,quarterly!$1:$1,FALSE),FALSE))</f>
        <v>94.679414240515925</v>
      </c>
      <c r="D97">
        <f>IF(ISBLANK(VLOOKUP($A97,quarterly_data,MATCH(D$1,quarterly!$1:$1,FALSE),FALSE)),"NA",VLOOKUP($A97,quarterly_data,MATCH(D$1,quarterly!$1:$1,FALSE),FALSE))</f>
        <v>47.4</v>
      </c>
      <c r="E97">
        <f>IF(ISBLANK(VLOOKUP($A97,quarterly_data,MATCH(E$1,quarterly!$1:$1,FALSE),FALSE)),"NA",VLOOKUP($A97,quarterly_data,MATCH(E$1,quarterly!$1:$1,FALSE),FALSE))</f>
        <v>5.2487899999999997E-2</v>
      </c>
      <c r="F97">
        <f>IF(ISBLANK(VLOOKUP($A97,quarterly_data,MATCH(F$1,quarterly!$1:$1,FALSE),FALSE)),"NA",VLOOKUP($A97,quarterly_data,MATCH(F$1,quarterly!$1:$1,FALSE),FALSE))</f>
        <v>3.4609800000000003E-2</v>
      </c>
      <c r="G97">
        <f>IF(ISBLANK(VLOOKUP($A97,quarterly_data,MATCH(G$1,quarterly!$1:$1,FALSE),FALSE)),"NA",VLOOKUP($A97,quarterly_data,MATCH(G$1,quarterly!$1:$1,FALSE),FALSE))</f>
        <v>10833.986999999999</v>
      </c>
      <c r="H97">
        <f>IF(ISBLANK(VLOOKUP($A97,quarterly_data,MATCH(H$1,quarterly!$1:$1,FALSE),FALSE)),"NA",VLOOKUP($A97,quarterly_data,MATCH(H$1,quarterly!$1:$1,FALSE),FALSE))</f>
        <v>271805</v>
      </c>
      <c r="I97">
        <f>IF(ISBLANK(VLOOKUP($A97,quarterly_data,MATCH(I$1,quarterly!$1:$1,FALSE),FALSE)),"NA",VLOOKUP($A97,quarterly_data,MATCH(I$1,quarterly!$1:$1,FALSE),FALSE))</f>
        <v>0.6</v>
      </c>
      <c r="J97">
        <f>IF(ISBLANK(VLOOKUP($A97,quarterly_data,MATCH(J$1,quarterly!$1:$1,FALSE),FALSE)),"NA",VLOOKUP($A97,quarterly_data,MATCH(J$1,quarterly!$1:$1,FALSE),FALSE))</f>
        <v>42.53</v>
      </c>
      <c r="K97">
        <f>IF(COUNTIFS(monthly!C:C,"",monthly!$A:$A,"&gt;="&amp;$A97,monthly!$B:$B,"&lt;="&amp;$B97)&gt;0,"NA",AVERAGEIFS(monthly!C:C,monthly!$A:$A,"&gt;="&amp;$A97,monthly!$B:$B,"&lt;="&amp;$B97))</f>
        <v>49.25</v>
      </c>
      <c r="L97">
        <f>IF(COUNTIFS(monthly!D:D,"",monthly!$A:$A,"&gt;="&amp;$A97,monthly!$B:$B,"&lt;="&amp;$B97)&gt;0,"NA",AVERAGEIFS(monthly!D:D,monthly!$A:$A,"&gt;="&amp;$A97,monthly!$B:$B,"&lt;="&amp;$B97))</f>
        <v>0.66234999999999999</v>
      </c>
      <c r="M97">
        <f>IF(COUNTIFS(monthly!E:E,"",monthly!$A:$A,"&gt;="&amp;$A97,monthly!$B:$B,"&lt;="&amp;$B97)&gt;0,"NA",AVERAGEIFS(monthly!E:E,monthly!$A:$A,"&gt;="&amp;$A97,monthly!$B:$B,"&lt;="&amp;$B97))</f>
        <v>29.008325626548952</v>
      </c>
      <c r="N97" t="str">
        <f>IF(COUNTIFS(monthly!F:F,"",monthly!$A:$A,"&gt;="&amp;$A97,monthly!$B:$B,"&lt;="&amp;$B97)&gt;0,"NA",AVERAGEIFS(monthly!F:F,monthly!$A:$A,"&gt;="&amp;$A97,monthly!$B:$B,"&lt;="&amp;$B97))</f>
        <v>NA</v>
      </c>
      <c r="O97">
        <f>IF(COUNTIFS(monthly!G:G,"",monthly!$A:$A,"&gt;="&amp;$A97,monthly!$B:$B,"&lt;="&amp;$B97)&gt;0,"NA",AVERAGEIFS(monthly!G:G,monthly!$A:$A,"&gt;="&amp;$A97,monthly!$B:$B,"&lt;="&amp;$B97))</f>
        <v>29.1</v>
      </c>
      <c r="P97">
        <f>IF(COUNTIFS(monthly!H:H,"",monthly!$A:$A,"&gt;="&amp;$A97,monthly!$B:$B,"&lt;="&amp;$B97)&gt;0,"NA",AVERAGEIFS(monthly!H:H,monthly!$A:$A,"&gt;="&amp;$A97,monthly!$B:$B,"&lt;="&amp;$B97))</f>
        <v>31</v>
      </c>
      <c r="Q97">
        <f>IF(COUNTIFS(monthly!I:I,"",monthly!$A:$A,"&gt;="&amp;$A97,monthly!$B:$B,"&lt;="&amp;$B97)&gt;0,"NA",AVERAGEIFS(monthly!I:I,monthly!$A:$A,"&gt;="&amp;$A97,monthly!$B:$B,"&lt;="&amp;$B97))</f>
        <v>15.9</v>
      </c>
      <c r="R97">
        <f>IF(COUNTIFS(monthly!J:J,"",monthly!$A:$A,"&gt;="&amp;$A97,monthly!$B:$B,"&lt;="&amp;$B97)&gt;0,"NA",AVERAGEIFS(monthly!J:J,monthly!$A:$A,"&gt;="&amp;$A97,monthly!$B:$B,"&lt;="&amp;$B97))</f>
        <v>3.375</v>
      </c>
      <c r="S97">
        <f>IF(COUNTIFS(monthly!K:K,"",monthly!$A:$A,"&gt;="&amp;$A97,monthly!$B:$B,"&lt;="&amp;$B97)&gt;0,"NA",AVERAGEIFS(monthly!K:K,monthly!$A:$A,"&gt;="&amp;$A97,monthly!$B:$B,"&lt;="&amp;$B97))</f>
        <v>4.75</v>
      </c>
      <c r="T97">
        <f>IF(COUNTIFS(monthly!L:L,"",monthly!$A:$A,"&gt;="&amp;$A97,monthly!$B:$B,"&lt;="&amp;$B97)&gt;0,"NA",AVERAGEIFS(monthly!L:L,monthly!$A:$A,"&gt;="&amp;$A97,monthly!$B:$B,"&lt;="&amp;$B97))</f>
        <v>3.0052903225806453</v>
      </c>
      <c r="U97">
        <f>IF(COUNTIFS(monthly!M:M,"",monthly!$A:$A,"&gt;="&amp;$A97,monthly!$B:$B,"&lt;="&amp;$B97)&gt;0,"NA",AVERAGEIFS(monthly!M:M,monthly!$A:$A,"&gt;="&amp;$A97,monthly!$B:$B,"&lt;="&amp;$B97))</f>
        <v>1.7447096774193545</v>
      </c>
      <c r="V97" t="str">
        <f>IF(COUNTIFS(monthly!N:N,"",monthly!$A:$A,"&gt;="&amp;$A97,monthly!$B:$B,"&lt;="&amp;$B97)&gt;0,"NA",AVERAGEIFS(monthly!N:N,monthly!$A:$A,"&gt;="&amp;$A97,monthly!$B:$B,"&lt;="&amp;$B97))</f>
        <v>NA</v>
      </c>
      <c r="W97">
        <f>IF(COUNTIFS(monthly!O:O,"",monthly!$A:$A,"&gt;="&amp;$A97,monthly!$B:$B,"&lt;="&amp;$B97)&gt;0,"NA",AVERAGEIFS(monthly!O:O,monthly!$A:$A,"&gt;="&amp;$A97,monthly!$B:$B,"&lt;="&amp;$B97))</f>
        <v>4.0149999999999997</v>
      </c>
      <c r="X97" t="str">
        <f>IF(COUNTIFS(monthly!P:P,"",monthly!$A:$A,"&gt;="&amp;$A97,monthly!$B:$B,"&lt;="&amp;$B97)&gt;0,"NA",AVERAGEIFS(monthly!P:P,monthly!$A:$A,"&gt;="&amp;$A97,monthly!$B:$B,"&lt;="&amp;$B97))</f>
        <v>NA</v>
      </c>
      <c r="Y97">
        <f>IF(COUNTIFS(monthly!Q:Q,"",monthly!$A:$A,"&gt;="&amp;$A97,monthly!$B:$B,"&lt;="&amp;$B97)&gt;0,"NA",AVERAGEIFS(monthly!Q:Q,monthly!$A:$A,"&gt;="&amp;$A97,monthly!$B:$B,"&lt;="&amp;$B97))</f>
        <v>6.65</v>
      </c>
      <c r="Z97">
        <f>IF(COUNTIFS(monthly!R:R,"",monthly!$A:$A,"&gt;="&amp;$A97,monthly!$B:$B,"&lt;="&amp;$B97)&gt;0,"NA",AVERAGEIFS(monthly!R:R,monthly!$A:$A,"&gt;="&amp;$A97,monthly!$B:$B,"&lt;="&amp;$B97))</f>
        <v>5.5289999999999999</v>
      </c>
      <c r="AA97">
        <f>IF(COUNTIFS(monthly!S:S,"",monthly!$A:$A,"&gt;="&amp;$A97,monthly!$B:$B,"&lt;="&amp;$B97)&gt;0,"NA",AVERAGEIFS(monthly!S:S,monthly!$A:$A,"&gt;="&amp;$A97,monthly!$B:$B,"&lt;="&amp;$B97))</f>
        <v>1.121</v>
      </c>
      <c r="AB97">
        <f>IF(COUNTIFS(monthly!T:T,"",monthly!$A:$A,"&gt;="&amp;$A97,monthly!$B:$B,"&lt;="&amp;$B97)&gt;0,"NA",AVERAGEIFS(monthly!T:T,monthly!$A:$A,"&gt;="&amp;$A97,monthly!$B:$B,"&lt;="&amp;$B97))</f>
        <v>12.979523809523808</v>
      </c>
      <c r="AC97" t="str">
        <f>IF(COUNTIFS(monthly!U:U,"",monthly!$A:$A,"&gt;="&amp;$A97,monthly!$B:$B,"&lt;="&amp;$B97)&gt;0,"NA",AVERAGEIFS(monthly!U:U,monthly!$A:$A,"&gt;="&amp;$A97,monthly!$B:$B,"&lt;="&amp;$B97))</f>
        <v>NA</v>
      </c>
      <c r="AD97" t="str">
        <f>IF(COUNTIFS(monthly!V:V,"",monthly!$A:$A,"&gt;="&amp;$A97,monthly!$B:$B,"&lt;="&amp;$B97)&gt;0,"NA",AVERAGEIFS(monthly!V:V,monthly!$A:$A,"&gt;="&amp;$A97,monthly!$B:$B,"&lt;="&amp;$B97))</f>
        <v>NA</v>
      </c>
      <c r="AE97">
        <f>IF(COUNTIFS(monthly!W:W,"",monthly!$A:$A,"&gt;="&amp;$A97,monthly!$B:$B,"&lt;="&amp;$B97)&gt;0,"NA",AVERAGEIFS(monthly!W:W,monthly!$A:$A,"&gt;="&amp;$A97,monthly!$B:$B,"&lt;="&amp;$B97))</f>
        <v>94.823043823242188</v>
      </c>
      <c r="AF97">
        <f>IF(COUNTIFS(monthly!X:X,"",monthly!$A:$A,"&gt;="&amp;$A97,monthly!$B:$B,"&lt;="&amp;$B97)&gt;0,"NA",AVERAGEIFS(monthly!X:X,monthly!$A:$A,"&gt;="&amp;$A97,monthly!$B:$B,"&lt;="&amp;$B97))</f>
        <v>117.7188835144043</v>
      </c>
      <c r="AG97">
        <f>IF(COUNTIFS(monthly!Y:Y,"",monthly!$A:$A,"&gt;="&amp;$A97,monthly!$B:$B,"&lt;="&amp;$B97)&gt;0,"NA",AVERAGEIFS(monthly!Y:Y,monthly!$A:$A,"&gt;="&amp;$A97,monthly!$B:$B,"&lt;="&amp;$B97))</f>
        <v>58.289854049682617</v>
      </c>
      <c r="AH97">
        <f>IF(COUNTIFS(monthly!Z:Z,"",monthly!$A:$A,"&gt;="&amp;$A97,monthly!$B:$B,"&lt;="&amp;$B97)&gt;0,"NA",AVERAGEIFS(monthly!Z:Z,monthly!$A:$A,"&gt;="&amp;$A97,monthly!$B:$B,"&lt;="&amp;$B97))</f>
        <v>2.9810181818902493E-2</v>
      </c>
    </row>
    <row r="98" spans="1:34" x14ac:dyDescent="0.2">
      <c r="A98" s="1">
        <v>34335</v>
      </c>
      <c r="B98" s="1">
        <v>34423</v>
      </c>
      <c r="C98">
        <f>IF(ISBLANK(VLOOKUP($A98,quarterly_data,MATCH(C$1,quarterly!$1:$1,FALSE),FALSE)),"NA",VLOOKUP($A98,quarterly_data,MATCH(C$1,quarterly!$1:$1,FALSE),FALSE))</f>
        <v>101.85091637971546</v>
      </c>
      <c r="D98">
        <f>IF(ISBLANK(VLOOKUP($A98,quarterly_data,MATCH(D$1,quarterly!$1:$1,FALSE),FALSE)),"NA",VLOOKUP($A98,quarterly_data,MATCH(D$1,quarterly!$1:$1,FALSE),FALSE))</f>
        <v>48</v>
      </c>
      <c r="E98">
        <f>IF(ISBLANK(VLOOKUP($A98,quarterly_data,MATCH(E$1,quarterly!$1:$1,FALSE),FALSE)),"NA",VLOOKUP($A98,quarterly_data,MATCH(E$1,quarterly!$1:$1,FALSE),FALSE))</f>
        <v>0.20150460000000001</v>
      </c>
      <c r="F98">
        <f>IF(ISBLANK(VLOOKUP($A98,quarterly_data,MATCH(F$1,quarterly!$1:$1,FALSE),FALSE)),"NA",VLOOKUP($A98,quarterly_data,MATCH(F$1,quarterly!$1:$1,FALSE),FALSE))</f>
        <v>5.0866300000000003E-2</v>
      </c>
      <c r="G98">
        <f>IF(ISBLANK(VLOOKUP($A98,quarterly_data,MATCH(G$1,quarterly!$1:$1,FALSE),FALSE)),"NA",VLOOKUP($A98,quarterly_data,MATCH(G$1,quarterly!$1:$1,FALSE),FALSE))</f>
        <v>10939.116</v>
      </c>
      <c r="H98">
        <f>IF(ISBLANK(VLOOKUP($A98,quarterly_data,MATCH(H$1,quarterly!$1:$1,FALSE),FALSE)),"NA",VLOOKUP($A98,quarterly_data,MATCH(H$1,quarterly!$1:$1,FALSE),FALSE))</f>
        <v>276336</v>
      </c>
      <c r="I98">
        <f>IF(ISBLANK(VLOOKUP($A98,quarterly_data,MATCH(I$1,quarterly!$1:$1,FALSE),FALSE)),"NA",VLOOKUP($A98,quarterly_data,MATCH(I$1,quarterly!$1:$1,FALSE),FALSE))</f>
        <v>0.5</v>
      </c>
      <c r="J98">
        <f>IF(ISBLANK(VLOOKUP($A98,quarterly_data,MATCH(J$1,quarterly!$1:$1,FALSE),FALSE)),"NA",VLOOKUP($A98,quarterly_data,MATCH(J$1,quarterly!$1:$1,FALSE),FALSE))</f>
        <v>42.68</v>
      </c>
      <c r="K98">
        <f>IF(COUNTIFS(monthly!C:C,"",monthly!$A:$A,"&gt;="&amp;$A98,monthly!$B:$B,"&lt;="&amp;$B98)&gt;0,"NA",AVERAGEIFS(monthly!C:C,monthly!$A:$A,"&gt;="&amp;$A98,monthly!$B:$B,"&lt;="&amp;$B98))</f>
        <v>53.8</v>
      </c>
      <c r="L98">
        <f>IF(COUNTIFS(monthly!D:D,"",monthly!$A:$A,"&gt;="&amp;$A98,monthly!$B:$B,"&lt;="&amp;$B98)&gt;0,"NA",AVERAGEIFS(monthly!D:D,monthly!$A:$A,"&gt;="&amp;$A98,monthly!$B:$B,"&lt;="&amp;$B98))</f>
        <v>0.71450000000000002</v>
      </c>
      <c r="M98">
        <f>IF(COUNTIFS(monthly!E:E,"",monthly!$A:$A,"&gt;="&amp;$A98,monthly!$B:$B,"&lt;="&amp;$B98)&gt;0,"NA",AVERAGEIFS(monthly!E:E,monthly!$A:$A,"&gt;="&amp;$A98,monthly!$B:$B,"&lt;="&amp;$B98))</f>
        <v>30.853209777101902</v>
      </c>
      <c r="N98" t="str">
        <f>IF(COUNTIFS(monthly!F:F,"",monthly!$A:$A,"&gt;="&amp;$A98,monthly!$B:$B,"&lt;="&amp;$B98)&gt;0,"NA",AVERAGEIFS(monthly!F:F,monthly!$A:$A,"&gt;="&amp;$A98,monthly!$B:$B,"&lt;="&amp;$B98))</f>
        <v>NA</v>
      </c>
      <c r="O98">
        <f>IF(COUNTIFS(monthly!G:G,"",monthly!$A:$A,"&gt;="&amp;$A98,monthly!$B:$B,"&lt;="&amp;$B98)&gt;0,"NA",AVERAGEIFS(monthly!G:G,monthly!$A:$A,"&gt;="&amp;$A98,monthly!$B:$B,"&lt;="&amp;$B98))</f>
        <v>26.5</v>
      </c>
      <c r="P98">
        <f>IF(COUNTIFS(monthly!H:H,"",monthly!$A:$A,"&gt;="&amp;$A98,monthly!$B:$B,"&lt;="&amp;$B98)&gt;0,"NA",AVERAGEIFS(monthly!H:H,monthly!$A:$A,"&gt;="&amp;$A98,monthly!$B:$B,"&lt;="&amp;$B98))</f>
        <v>31</v>
      </c>
      <c r="Q98">
        <f>IF(COUNTIFS(monthly!I:I,"",monthly!$A:$A,"&gt;="&amp;$A98,monthly!$B:$B,"&lt;="&amp;$B98)&gt;0,"NA",AVERAGEIFS(monthly!I:I,monthly!$A:$A,"&gt;="&amp;$A98,monthly!$B:$B,"&lt;="&amp;$B98))</f>
        <v>14.05</v>
      </c>
      <c r="R98">
        <f>IF(COUNTIFS(monthly!J:J,"",monthly!$A:$A,"&gt;="&amp;$A98,monthly!$B:$B,"&lt;="&amp;$B98)&gt;0,"NA",AVERAGEIFS(monthly!J:J,monthly!$A:$A,"&gt;="&amp;$A98,monthly!$B:$B,"&lt;="&amp;$B98))</f>
        <v>3.1550000000000002</v>
      </c>
      <c r="S98">
        <f>IF(COUNTIFS(monthly!K:K,"",monthly!$A:$A,"&gt;="&amp;$A98,monthly!$B:$B,"&lt;="&amp;$B98)&gt;0,"NA",AVERAGEIFS(monthly!K:K,monthly!$A:$A,"&gt;="&amp;$A98,monthly!$B:$B,"&lt;="&amp;$B98))</f>
        <v>4.75</v>
      </c>
      <c r="T98">
        <f>IF(COUNTIFS(monthly!L:L,"",monthly!$A:$A,"&gt;="&amp;$A98,monthly!$B:$B,"&lt;="&amp;$B98)&gt;0,"NA",AVERAGEIFS(monthly!L:L,monthly!$A:$A,"&gt;="&amp;$A98,monthly!$B:$B,"&lt;="&amp;$B98))</f>
        <v>3.1478225806451618</v>
      </c>
      <c r="U98">
        <f>IF(COUNTIFS(monthly!M:M,"",monthly!$A:$A,"&gt;="&amp;$A98,monthly!$B:$B,"&lt;="&amp;$B98)&gt;0,"NA",AVERAGEIFS(monthly!M:M,monthly!$A:$A,"&gt;="&amp;$A98,monthly!$B:$B,"&lt;="&amp;$B98))</f>
        <v>1.6021774193548379</v>
      </c>
      <c r="V98" t="str">
        <f>IF(COUNTIFS(monthly!N:N,"",monthly!$A:$A,"&gt;="&amp;$A98,monthly!$B:$B,"&lt;="&amp;$B98)&gt;0,"NA",AVERAGEIFS(monthly!N:N,monthly!$A:$A,"&gt;="&amp;$A98,monthly!$B:$B,"&lt;="&amp;$B98))</f>
        <v>NA</v>
      </c>
      <c r="W98">
        <f>IF(COUNTIFS(monthly!O:O,"",monthly!$A:$A,"&gt;="&amp;$A98,monthly!$B:$B,"&lt;="&amp;$B98)&gt;0,"NA",AVERAGEIFS(monthly!O:O,monthly!$A:$A,"&gt;="&amp;$A98,monthly!$B:$B,"&lt;="&amp;$B98))</f>
        <v>4.3071052631578945</v>
      </c>
      <c r="X98" t="str">
        <f>IF(COUNTIFS(monthly!P:P,"",monthly!$A:$A,"&gt;="&amp;$A98,monthly!$B:$B,"&lt;="&amp;$B98)&gt;0,"NA",AVERAGEIFS(monthly!P:P,monthly!$A:$A,"&gt;="&amp;$A98,monthly!$B:$B,"&lt;="&amp;$B98))</f>
        <v>NA</v>
      </c>
      <c r="Y98">
        <f>IF(COUNTIFS(monthly!Q:Q,"",monthly!$A:$A,"&gt;="&amp;$A98,monthly!$B:$B,"&lt;="&amp;$B98)&gt;0,"NA",AVERAGEIFS(monthly!Q:Q,monthly!$A:$A,"&gt;="&amp;$A98,monthly!$B:$B,"&lt;="&amp;$B98))</f>
        <v>6.7050000000000001</v>
      </c>
      <c r="Z98">
        <f>IF(COUNTIFS(monthly!R:R,"",monthly!$A:$A,"&gt;="&amp;$A98,monthly!$B:$B,"&lt;="&amp;$B98)&gt;0,"NA",AVERAGEIFS(monthly!R:R,monthly!$A:$A,"&gt;="&amp;$A98,monthly!$B:$B,"&lt;="&amp;$B98))</f>
        <v>5.8618289473684211</v>
      </c>
      <c r="AA98">
        <f>IF(COUNTIFS(monthly!S:S,"",monthly!$A:$A,"&gt;="&amp;$A98,monthly!$B:$B,"&lt;="&amp;$B98)&gt;0,"NA",AVERAGEIFS(monthly!S:S,monthly!$A:$A,"&gt;="&amp;$A98,monthly!$B:$B,"&lt;="&amp;$B98))</f>
        <v>0.84317105263157899</v>
      </c>
      <c r="AB98">
        <f>IF(COUNTIFS(monthly!T:T,"",monthly!$A:$A,"&gt;="&amp;$A98,monthly!$B:$B,"&lt;="&amp;$B98)&gt;0,"NA",AVERAGEIFS(monthly!T:T,monthly!$A:$A,"&gt;="&amp;$A98,monthly!$B:$B,"&lt;="&amp;$B98))</f>
        <v>12.46734335839599</v>
      </c>
      <c r="AC98" t="str">
        <f>IF(COUNTIFS(monthly!U:U,"",monthly!$A:$A,"&gt;="&amp;$A98,monthly!$B:$B,"&lt;="&amp;$B98)&gt;0,"NA",AVERAGEIFS(monthly!U:U,monthly!$A:$A,"&gt;="&amp;$A98,monthly!$B:$B,"&lt;="&amp;$B98))</f>
        <v>NA</v>
      </c>
      <c r="AD98" t="str">
        <f>IF(COUNTIFS(monthly!V:V,"",monthly!$A:$A,"&gt;="&amp;$A98,monthly!$B:$B,"&lt;="&amp;$B98)&gt;0,"NA",AVERAGEIFS(monthly!V:V,monthly!$A:$A,"&gt;="&amp;$A98,monthly!$B:$B,"&lt;="&amp;$B98))</f>
        <v>NA</v>
      </c>
      <c r="AE98">
        <f>IF(COUNTIFS(monthly!W:W,"",monthly!$A:$A,"&gt;="&amp;$A98,monthly!$B:$B,"&lt;="&amp;$B98)&gt;0,"NA",AVERAGEIFS(monthly!W:W,monthly!$A:$A,"&gt;="&amp;$A98,monthly!$B:$B,"&lt;="&amp;$B98))</f>
        <v>100.36602020263672</v>
      </c>
      <c r="AF98">
        <f>IF(COUNTIFS(monthly!X:X,"",monthly!$A:$A,"&gt;="&amp;$A98,monthly!$B:$B,"&lt;="&amp;$B98)&gt;0,"NA",AVERAGEIFS(monthly!X:X,monthly!$A:$A,"&gt;="&amp;$A98,monthly!$B:$B,"&lt;="&amp;$B98))</f>
        <v>120.61953353881836</v>
      </c>
      <c r="AG98">
        <f>IF(COUNTIFS(monthly!Y:Y,"",monthly!$A:$A,"&gt;="&amp;$A98,monthly!$B:$B,"&lt;="&amp;$B98)&gt;0,"NA",AVERAGEIFS(monthly!Y:Y,monthly!$A:$A,"&gt;="&amp;$A98,monthly!$B:$B,"&lt;="&amp;$B98))</f>
        <v>70.879264831542969</v>
      </c>
      <c r="AH98">
        <f>IF(COUNTIFS(monthly!Z:Z,"",monthly!$A:$A,"&gt;="&amp;$A98,monthly!$B:$B,"&lt;="&amp;$B98)&gt;0,"NA",AVERAGEIFS(monthly!Z:Z,monthly!$A:$A,"&gt;="&amp;$A98,monthly!$B:$B,"&lt;="&amp;$B98))</f>
        <v>3.696473129093647E-2</v>
      </c>
    </row>
    <row r="99" spans="1:34" x14ac:dyDescent="0.2">
      <c r="A99" s="1">
        <v>34425</v>
      </c>
      <c r="B99" s="1">
        <v>34515</v>
      </c>
      <c r="C99">
        <f>IF(ISBLANK(VLOOKUP($A99,quarterly_data,MATCH(C$1,quarterly!$1:$1,FALSE),FALSE)),"NA",VLOOKUP($A99,quarterly_data,MATCH(C$1,quarterly!$1:$1,FALSE),FALSE))</f>
        <v>102.12988746410845</v>
      </c>
      <c r="D99">
        <f>IF(ISBLANK(VLOOKUP($A99,quarterly_data,MATCH(D$1,quarterly!$1:$1,FALSE),FALSE)),"NA",VLOOKUP($A99,quarterly_data,MATCH(D$1,quarterly!$1:$1,FALSE),FALSE))</f>
        <v>47.8</v>
      </c>
      <c r="E99">
        <f>IF(ISBLANK(VLOOKUP($A99,quarterly_data,MATCH(E$1,quarterly!$1:$1,FALSE),FALSE)),"NA",VLOOKUP($A99,quarterly_data,MATCH(E$1,quarterly!$1:$1,FALSE),FALSE))</f>
        <v>0.17808379999999999</v>
      </c>
      <c r="F99">
        <f>IF(ISBLANK(VLOOKUP($A99,quarterly_data,MATCH(F$1,quarterly!$1:$1,FALSE),FALSE)),"NA",VLOOKUP($A99,quarterly_data,MATCH(F$1,quarterly!$1:$1,FALSE),FALSE))</f>
        <v>5.75168E-2</v>
      </c>
      <c r="G99">
        <f>IF(ISBLANK(VLOOKUP($A99,quarterly_data,MATCH(G$1,quarterly!$1:$1,FALSE),FALSE)),"NA",VLOOKUP($A99,quarterly_data,MATCH(G$1,quarterly!$1:$1,FALSE),FALSE))</f>
        <v>11087.361000000001</v>
      </c>
      <c r="H99">
        <f>IF(ISBLANK(VLOOKUP($A99,quarterly_data,MATCH(H$1,quarterly!$1:$1,FALSE),FALSE)),"NA",VLOOKUP($A99,quarterly_data,MATCH(H$1,quarterly!$1:$1,FALSE),FALSE))</f>
        <v>279611</v>
      </c>
      <c r="I99">
        <f>IF(ISBLANK(VLOOKUP($A99,quarterly_data,MATCH(I$1,quarterly!$1:$1,FALSE),FALSE)),"NA",VLOOKUP($A99,quarterly_data,MATCH(I$1,quarterly!$1:$1,FALSE),FALSE))</f>
        <v>0.6</v>
      </c>
      <c r="J99">
        <f>IF(ISBLANK(VLOOKUP($A99,quarterly_data,MATCH(J$1,quarterly!$1:$1,FALSE),FALSE)),"NA",VLOOKUP($A99,quarterly_data,MATCH(J$1,quarterly!$1:$1,FALSE),FALSE))</f>
        <v>42.99</v>
      </c>
      <c r="K99">
        <f>IF(COUNTIFS(monthly!C:C,"",monthly!$A:$A,"&gt;="&amp;$A99,monthly!$B:$B,"&lt;="&amp;$B99)&gt;0,"NA",AVERAGEIFS(monthly!C:C,monthly!$A:$A,"&gt;="&amp;$A99,monthly!$B:$B,"&lt;="&amp;$B99))</f>
        <v>53.4</v>
      </c>
      <c r="L99">
        <f>IF(COUNTIFS(monthly!D:D,"",monthly!$A:$A,"&gt;="&amp;$A99,monthly!$B:$B,"&lt;="&amp;$B99)&gt;0,"NA",AVERAGEIFS(monthly!D:D,monthly!$A:$A,"&gt;="&amp;$A99,monthly!$B:$B,"&lt;="&amp;$B99))</f>
        <v>0.72586666666666666</v>
      </c>
      <c r="M99">
        <f>IF(COUNTIFS(monthly!E:E,"",monthly!$A:$A,"&gt;="&amp;$A99,monthly!$B:$B,"&lt;="&amp;$B99)&gt;0,"NA",AVERAGEIFS(monthly!E:E,monthly!$A:$A,"&gt;="&amp;$A99,monthly!$B:$B,"&lt;="&amp;$B99))</f>
        <v>30.009229060116699</v>
      </c>
      <c r="N99" t="str">
        <f>IF(COUNTIFS(monthly!F:F,"",monthly!$A:$A,"&gt;="&amp;$A99,monthly!$B:$B,"&lt;="&amp;$B99)&gt;0,"NA",AVERAGEIFS(monthly!F:F,monthly!$A:$A,"&gt;="&amp;$A99,monthly!$B:$B,"&lt;="&amp;$B99))</f>
        <v>NA</v>
      </c>
      <c r="O99">
        <f>IF(COUNTIFS(monthly!G:G,"",monthly!$A:$A,"&gt;="&amp;$A99,monthly!$B:$B,"&lt;="&amp;$B99)&gt;0,"NA",AVERAGEIFS(monthly!G:G,monthly!$A:$A,"&gt;="&amp;$A99,monthly!$B:$B,"&lt;="&amp;$B99))</f>
        <v>26.5</v>
      </c>
      <c r="P99">
        <f>IF(COUNTIFS(monthly!H:H,"",monthly!$A:$A,"&gt;="&amp;$A99,monthly!$B:$B,"&lt;="&amp;$B99)&gt;0,"NA",AVERAGEIFS(monthly!H:H,monthly!$A:$A,"&gt;="&amp;$A99,monthly!$B:$B,"&lt;="&amp;$B99))</f>
        <v>31.5</v>
      </c>
      <c r="Q99">
        <f>IF(COUNTIFS(monthly!I:I,"",monthly!$A:$A,"&gt;="&amp;$A99,monthly!$B:$B,"&lt;="&amp;$B99)&gt;0,"NA",AVERAGEIFS(monthly!I:I,monthly!$A:$A,"&gt;="&amp;$A99,monthly!$B:$B,"&lt;="&amp;$B99))</f>
        <v>16.066666666666666</v>
      </c>
      <c r="R99">
        <f>IF(COUNTIFS(monthly!J:J,"",monthly!$A:$A,"&gt;="&amp;$A99,monthly!$B:$B,"&lt;="&amp;$B99)&gt;0,"NA",AVERAGEIFS(monthly!J:J,monthly!$A:$A,"&gt;="&amp;$A99,monthly!$B:$B,"&lt;="&amp;$B99))</f>
        <v>3.0766666666666667</v>
      </c>
      <c r="S99">
        <f>IF(COUNTIFS(monthly!K:K,"",monthly!$A:$A,"&gt;="&amp;$A99,monthly!$B:$B,"&lt;="&amp;$B99)&gt;0,"NA",AVERAGEIFS(monthly!K:K,monthly!$A:$A,"&gt;="&amp;$A99,monthly!$B:$B,"&lt;="&amp;$B99))</f>
        <v>4.75</v>
      </c>
      <c r="T99">
        <f>IF(COUNTIFS(monthly!L:L,"",monthly!$A:$A,"&gt;="&amp;$A99,monthly!$B:$B,"&lt;="&amp;$B99)&gt;0,"NA",AVERAGEIFS(monthly!L:L,monthly!$A:$A,"&gt;="&amp;$A99,monthly!$B:$B,"&lt;="&amp;$B99))</f>
        <v>3.9372114695340503</v>
      </c>
      <c r="U99">
        <f>IF(COUNTIFS(monthly!M:M,"",monthly!$A:$A,"&gt;="&amp;$A99,monthly!$B:$B,"&lt;="&amp;$B99)&gt;0,"NA",AVERAGEIFS(monthly!M:M,monthly!$A:$A,"&gt;="&amp;$A99,monthly!$B:$B,"&lt;="&amp;$B99))</f>
        <v>0.81278853046594968</v>
      </c>
      <c r="V99" t="str">
        <f>IF(COUNTIFS(monthly!N:N,"",monthly!$A:$A,"&gt;="&amp;$A99,monthly!$B:$B,"&lt;="&amp;$B99)&gt;0,"NA",AVERAGEIFS(monthly!N:N,monthly!$A:$A,"&gt;="&amp;$A99,monthly!$B:$B,"&lt;="&amp;$B99))</f>
        <v>NA</v>
      </c>
      <c r="W99">
        <f>IF(COUNTIFS(monthly!O:O,"",monthly!$A:$A,"&gt;="&amp;$A99,monthly!$B:$B,"&lt;="&amp;$B99)&gt;0,"NA",AVERAGEIFS(monthly!O:O,monthly!$A:$A,"&gt;="&amp;$A99,monthly!$B:$B,"&lt;="&amp;$B99))</f>
        <v>5.816310852889802</v>
      </c>
      <c r="X99" t="str">
        <f>IF(COUNTIFS(monthly!P:P,"",monthly!$A:$A,"&gt;="&amp;$A99,monthly!$B:$B,"&lt;="&amp;$B99)&gt;0,"NA",AVERAGEIFS(monthly!P:P,monthly!$A:$A,"&gt;="&amp;$A99,monthly!$B:$B,"&lt;="&amp;$B99))</f>
        <v>NA</v>
      </c>
      <c r="Y99">
        <f>IF(COUNTIFS(monthly!Q:Q,"",monthly!$A:$A,"&gt;="&amp;$A99,monthly!$B:$B,"&lt;="&amp;$B99)&gt;0,"NA",AVERAGEIFS(monthly!Q:Q,monthly!$A:$A,"&gt;="&amp;$A99,monthly!$B:$B,"&lt;="&amp;$B99))</f>
        <v>8.9533333333333331</v>
      </c>
      <c r="Z99">
        <f>IF(COUNTIFS(monthly!R:R,"",monthly!$A:$A,"&gt;="&amp;$A99,monthly!$B:$B,"&lt;="&amp;$B99)&gt;0,"NA",AVERAGEIFS(monthly!R:R,monthly!$A:$A,"&gt;="&amp;$A99,monthly!$B:$B,"&lt;="&amp;$B99))</f>
        <v>7.0856007442849531</v>
      </c>
      <c r="AA99">
        <f>IF(COUNTIFS(monthly!S:S,"",monthly!$A:$A,"&gt;="&amp;$A99,monthly!$B:$B,"&lt;="&amp;$B99)&gt;0,"NA",AVERAGEIFS(monthly!S:S,monthly!$A:$A,"&gt;="&amp;$A99,monthly!$B:$B,"&lt;="&amp;$B99))</f>
        <v>1.8677325890483798</v>
      </c>
      <c r="AB99">
        <f>IF(COUNTIFS(monthly!T:T,"",monthly!$A:$A,"&gt;="&amp;$A99,monthly!$B:$B,"&lt;="&amp;$B99)&gt;0,"NA",AVERAGEIFS(monthly!T:T,monthly!$A:$A,"&gt;="&amp;$A99,monthly!$B:$B,"&lt;="&amp;$B99))</f>
        <v>14.59227728411939</v>
      </c>
      <c r="AC99" t="str">
        <f>IF(COUNTIFS(monthly!U:U,"",monthly!$A:$A,"&gt;="&amp;$A99,monthly!$B:$B,"&lt;="&amp;$B99)&gt;0,"NA",AVERAGEIFS(monthly!U:U,monthly!$A:$A,"&gt;="&amp;$A99,monthly!$B:$B,"&lt;="&amp;$B99))</f>
        <v>NA</v>
      </c>
      <c r="AD99" t="str">
        <f>IF(COUNTIFS(monthly!V:V,"",monthly!$A:$A,"&gt;="&amp;$A99,monthly!$B:$B,"&lt;="&amp;$B99)&gt;0,"NA",AVERAGEIFS(monthly!V:V,monthly!$A:$A,"&gt;="&amp;$A99,monthly!$B:$B,"&lt;="&amp;$B99))</f>
        <v>NA</v>
      </c>
      <c r="AE99">
        <f>IF(COUNTIFS(monthly!W:W,"",monthly!$A:$A,"&gt;="&amp;$A99,monthly!$B:$B,"&lt;="&amp;$B99)&gt;0,"NA",AVERAGEIFS(monthly!W:W,monthly!$A:$A,"&gt;="&amp;$A99,monthly!$B:$B,"&lt;="&amp;$B99))</f>
        <v>106.72533416748047</v>
      </c>
      <c r="AF99">
        <f>IF(COUNTIFS(monthly!X:X,"",monthly!$A:$A,"&gt;="&amp;$A99,monthly!$B:$B,"&lt;="&amp;$B99)&gt;0,"NA",AVERAGEIFS(monthly!X:X,monthly!$A:$A,"&gt;="&amp;$A99,monthly!$B:$B,"&lt;="&amp;$B99))</f>
        <v>129.23954264322916</v>
      </c>
      <c r="AG99">
        <f>IF(COUNTIFS(monthly!Y:Y,"",monthly!$A:$A,"&gt;="&amp;$A99,monthly!$B:$B,"&lt;="&amp;$B99)&gt;0,"NA",AVERAGEIFS(monthly!Y:Y,monthly!$A:$A,"&gt;="&amp;$A99,monthly!$B:$B,"&lt;="&amp;$B99))</f>
        <v>74.188331604003906</v>
      </c>
      <c r="AH99">
        <f>IF(COUNTIFS(monthly!Z:Z,"",monthly!$A:$A,"&gt;="&amp;$A99,monthly!$B:$B,"&lt;="&amp;$B99)&gt;0,"NA",AVERAGEIFS(monthly!Z:Z,monthly!$A:$A,"&gt;="&amp;$A99,monthly!$B:$B,"&lt;="&amp;$B99))</f>
        <v>3.8467425232132278E-2</v>
      </c>
    </row>
    <row r="100" spans="1:34" x14ac:dyDescent="0.2">
      <c r="A100" s="1">
        <v>34516</v>
      </c>
      <c r="B100" s="1">
        <v>34607</v>
      </c>
      <c r="C100">
        <f>IF(ISBLANK(VLOOKUP($A100,quarterly_data,MATCH(C$1,quarterly!$1:$1,FALSE),FALSE)),"NA",VLOOKUP($A100,quarterly_data,MATCH(C$1,quarterly!$1:$1,FALSE),FALSE))</f>
        <v>101.42180870220876</v>
      </c>
      <c r="D100">
        <f>IF(ISBLANK(VLOOKUP($A100,quarterly_data,MATCH(D$1,quarterly!$1:$1,FALSE),FALSE)),"NA",VLOOKUP($A100,quarterly_data,MATCH(D$1,quarterly!$1:$1,FALSE),FALSE))</f>
        <v>48.1</v>
      </c>
      <c r="E100">
        <f>IF(ISBLANK(VLOOKUP($A100,quarterly_data,MATCH(E$1,quarterly!$1:$1,FALSE),FALSE)),"NA",VLOOKUP($A100,quarterly_data,MATCH(E$1,quarterly!$1:$1,FALSE),FALSE))</f>
        <v>0.1137527</v>
      </c>
      <c r="F100">
        <f>IF(ISBLANK(VLOOKUP($A100,quarterly_data,MATCH(F$1,quarterly!$1:$1,FALSE),FALSE)),"NA",VLOOKUP($A100,quarterly_data,MATCH(F$1,quarterly!$1:$1,FALSE),FALSE))</f>
        <v>4.7275699999999997E-2</v>
      </c>
      <c r="G100">
        <f>IF(ISBLANK(VLOOKUP($A100,quarterly_data,MATCH(G$1,quarterly!$1:$1,FALSE),FALSE)),"NA",VLOOKUP($A100,quarterly_data,MATCH(G$1,quarterly!$1:$1,FALSE),FALSE))</f>
        <v>11152.175999999999</v>
      </c>
      <c r="H100">
        <f>IF(ISBLANK(VLOOKUP($A100,quarterly_data,MATCH(H$1,quarterly!$1:$1,FALSE),FALSE)),"NA",VLOOKUP($A100,quarterly_data,MATCH(H$1,quarterly!$1:$1,FALSE),FALSE))</f>
        <v>281720</v>
      </c>
      <c r="I100">
        <f>IF(ISBLANK(VLOOKUP($A100,quarterly_data,MATCH(I$1,quarterly!$1:$1,FALSE),FALSE)),"NA",VLOOKUP($A100,quarterly_data,MATCH(I$1,quarterly!$1:$1,FALSE),FALSE))</f>
        <v>0.6</v>
      </c>
      <c r="J100">
        <f>IF(ISBLANK(VLOOKUP($A100,quarterly_data,MATCH(J$1,quarterly!$1:$1,FALSE),FALSE)),"NA",VLOOKUP($A100,quarterly_data,MATCH(J$1,quarterly!$1:$1,FALSE),FALSE))</f>
        <v>43.26</v>
      </c>
      <c r="K100">
        <f>IF(COUNTIFS(monthly!C:C,"",monthly!$A:$A,"&gt;="&amp;$A100,monthly!$B:$B,"&lt;="&amp;$B100)&gt;0,"NA",AVERAGEIFS(monthly!C:C,monthly!$A:$A,"&gt;="&amp;$A100,monthly!$B:$B,"&lt;="&amp;$B100))</f>
        <v>53.733333333333327</v>
      </c>
      <c r="L100">
        <f>IF(COUNTIFS(monthly!D:D,"",monthly!$A:$A,"&gt;="&amp;$A100,monthly!$B:$B,"&lt;="&amp;$B100)&gt;0,"NA",AVERAGEIFS(monthly!D:D,monthly!$A:$A,"&gt;="&amp;$A100,monthly!$B:$B,"&lt;="&amp;$B100))</f>
        <v>0.74036666666666662</v>
      </c>
      <c r="M100">
        <f>IF(COUNTIFS(monthly!E:E,"",monthly!$A:$A,"&gt;="&amp;$A100,monthly!$B:$B,"&lt;="&amp;$B100)&gt;0,"NA",AVERAGEIFS(monthly!E:E,monthly!$A:$A,"&gt;="&amp;$A100,monthly!$B:$B,"&lt;="&amp;$B100))</f>
        <v>29.897308857523768</v>
      </c>
      <c r="N100" t="str">
        <f>IF(COUNTIFS(monthly!F:F,"",monthly!$A:$A,"&gt;="&amp;$A100,monthly!$B:$B,"&lt;="&amp;$B100)&gt;0,"NA",AVERAGEIFS(monthly!F:F,monthly!$A:$A,"&gt;="&amp;$A100,monthly!$B:$B,"&lt;="&amp;$B100))</f>
        <v>NA</v>
      </c>
      <c r="O100">
        <f>IF(COUNTIFS(monthly!G:G,"",monthly!$A:$A,"&gt;="&amp;$A100,monthly!$B:$B,"&lt;="&amp;$B100)&gt;0,"NA",AVERAGEIFS(monthly!G:G,monthly!$A:$A,"&gt;="&amp;$A100,monthly!$B:$B,"&lt;="&amp;$B100))</f>
        <v>26.5</v>
      </c>
      <c r="P100">
        <f>IF(COUNTIFS(monthly!H:H,"",monthly!$A:$A,"&gt;="&amp;$A100,monthly!$B:$B,"&lt;="&amp;$B100)&gt;0,"NA",AVERAGEIFS(monthly!H:H,monthly!$A:$A,"&gt;="&amp;$A100,monthly!$B:$B,"&lt;="&amp;$B100))</f>
        <v>33.1</v>
      </c>
      <c r="Q100">
        <f>IF(COUNTIFS(monthly!I:I,"",monthly!$A:$A,"&gt;="&amp;$A100,monthly!$B:$B,"&lt;="&amp;$B100)&gt;0,"NA",AVERAGEIFS(monthly!I:I,monthly!$A:$A,"&gt;="&amp;$A100,monthly!$B:$B,"&lt;="&amp;$B100))</f>
        <v>16.766666666666669</v>
      </c>
      <c r="R100">
        <f>IF(COUNTIFS(monthly!J:J,"",monthly!$A:$A,"&gt;="&amp;$A100,monthly!$B:$B,"&lt;="&amp;$B100)&gt;0,"NA",AVERAGEIFS(monthly!J:J,monthly!$A:$A,"&gt;="&amp;$A100,monthly!$B:$B,"&lt;="&amp;$B100))</f>
        <v>3.22</v>
      </c>
      <c r="S100">
        <f>IF(COUNTIFS(monthly!K:K,"",monthly!$A:$A,"&gt;="&amp;$A100,monthly!$B:$B,"&lt;="&amp;$B100)&gt;0,"NA",AVERAGEIFS(monthly!K:K,monthly!$A:$A,"&gt;="&amp;$A100,monthly!$B:$B,"&lt;="&amp;$B100))</f>
        <v>5.1195652173913038</v>
      </c>
      <c r="T100">
        <f>IF(COUNTIFS(monthly!L:L,"",monthly!$A:$A,"&gt;="&amp;$A100,monthly!$B:$B,"&lt;="&amp;$B100)&gt;0,"NA",AVERAGEIFS(monthly!L:L,monthly!$A:$A,"&gt;="&amp;$A100,monthly!$B:$B,"&lt;="&amp;$B100))</f>
        <v>4.4881039426523301</v>
      </c>
      <c r="U100">
        <f>IF(COUNTIFS(monthly!M:M,"",monthly!$A:$A,"&gt;="&amp;$A100,monthly!$B:$B,"&lt;="&amp;$B100)&gt;0,"NA",AVERAGEIFS(monthly!M:M,monthly!$A:$A,"&gt;="&amp;$A100,monthly!$B:$B,"&lt;="&amp;$B100))</f>
        <v>0.63146127473897395</v>
      </c>
      <c r="V100" t="str">
        <f>IF(COUNTIFS(monthly!N:N,"",monthly!$A:$A,"&gt;="&amp;$A100,monthly!$B:$B,"&lt;="&amp;$B100)&gt;0,"NA",AVERAGEIFS(monthly!N:N,monthly!$A:$A,"&gt;="&amp;$A100,monthly!$B:$B,"&lt;="&amp;$B100))</f>
        <v>NA</v>
      </c>
      <c r="W100">
        <f>IF(COUNTIFS(monthly!O:O,"",monthly!$A:$A,"&gt;="&amp;$A100,monthly!$B:$B,"&lt;="&amp;$B100)&gt;0,"NA",AVERAGEIFS(monthly!O:O,monthly!$A:$A,"&gt;="&amp;$A100,monthly!$B:$B,"&lt;="&amp;$B100))</f>
        <v>6.2332574189095915</v>
      </c>
      <c r="X100" t="str">
        <f>IF(COUNTIFS(monthly!P:P,"",monthly!$A:$A,"&gt;="&amp;$A100,monthly!$B:$B,"&lt;="&amp;$B100)&gt;0,"NA",AVERAGEIFS(monthly!P:P,monthly!$A:$A,"&gt;="&amp;$A100,monthly!$B:$B,"&lt;="&amp;$B100))</f>
        <v>NA</v>
      </c>
      <c r="Y100">
        <f>IF(COUNTIFS(monthly!Q:Q,"",monthly!$A:$A,"&gt;="&amp;$A100,monthly!$B:$B,"&lt;="&amp;$B100)&gt;0,"NA",AVERAGEIFS(monthly!Q:Q,monthly!$A:$A,"&gt;="&amp;$A100,monthly!$B:$B,"&lt;="&amp;$B100))</f>
        <v>9.7533333333333321</v>
      </c>
      <c r="Z100">
        <f>IF(COUNTIFS(monthly!R:R,"",monthly!$A:$A,"&gt;="&amp;$A100,monthly!$B:$B,"&lt;="&amp;$B100)&gt;0,"NA",AVERAGEIFS(monthly!R:R,monthly!$A:$A,"&gt;="&amp;$A100,monthly!$B:$B,"&lt;="&amp;$B100))</f>
        <v>7.3304099378881986</v>
      </c>
      <c r="AA100">
        <f>IF(COUNTIFS(monthly!S:S,"",monthly!$A:$A,"&gt;="&amp;$A100,monthly!$B:$B,"&lt;="&amp;$B100)&gt;0,"NA",AVERAGEIFS(monthly!S:S,monthly!$A:$A,"&gt;="&amp;$A100,monthly!$B:$B,"&lt;="&amp;$B100))</f>
        <v>2.4229233954451348</v>
      </c>
      <c r="AB100">
        <f>IF(COUNTIFS(monthly!T:T,"",monthly!$A:$A,"&gt;="&amp;$A100,monthly!$B:$B,"&lt;="&amp;$B100)&gt;0,"NA",AVERAGEIFS(monthly!T:T,monthly!$A:$A,"&gt;="&amp;$A100,monthly!$B:$B,"&lt;="&amp;$B100))</f>
        <v>12.53565458937198</v>
      </c>
      <c r="AC100" t="str">
        <f>IF(COUNTIFS(monthly!U:U,"",monthly!$A:$A,"&gt;="&amp;$A100,monthly!$B:$B,"&lt;="&amp;$B100)&gt;0,"NA",AVERAGEIFS(monthly!U:U,monthly!$A:$A,"&gt;="&amp;$A100,monthly!$B:$B,"&lt;="&amp;$B100))</f>
        <v>NA</v>
      </c>
      <c r="AD100" t="str">
        <f>IF(COUNTIFS(monthly!V:V,"",monthly!$A:$A,"&gt;="&amp;$A100,monthly!$B:$B,"&lt;="&amp;$B100)&gt;0,"NA",AVERAGEIFS(monthly!V:V,monthly!$A:$A,"&gt;="&amp;$A100,monthly!$B:$B,"&lt;="&amp;$B100))</f>
        <v>NA</v>
      </c>
      <c r="AE100">
        <f>IF(COUNTIFS(monthly!W:W,"",monthly!$A:$A,"&gt;="&amp;$A100,monthly!$B:$B,"&lt;="&amp;$B100)&gt;0,"NA",AVERAGEIFS(monthly!W:W,monthly!$A:$A,"&gt;="&amp;$A100,monthly!$B:$B,"&lt;="&amp;$B100))</f>
        <v>98.921915690104171</v>
      </c>
      <c r="AF100">
        <f>IF(COUNTIFS(monthly!X:X,"",monthly!$A:$A,"&gt;="&amp;$A100,monthly!$B:$B,"&lt;="&amp;$B100)&gt;0,"NA",AVERAGEIFS(monthly!X:X,monthly!$A:$A,"&gt;="&amp;$A100,monthly!$B:$B,"&lt;="&amp;$B100))</f>
        <v>123.21441141764323</v>
      </c>
      <c r="AG100">
        <f>IF(COUNTIFS(monthly!Y:Y,"",monthly!$A:$A,"&gt;="&amp;$A100,monthly!$B:$B,"&lt;="&amp;$B100)&gt;0,"NA",AVERAGEIFS(monthly!Y:Y,monthly!$A:$A,"&gt;="&amp;$A100,monthly!$B:$B,"&lt;="&amp;$B100))</f>
        <v>64.482620239257812</v>
      </c>
      <c r="AH100">
        <f>IF(COUNTIFS(monthly!Z:Z,"",monthly!$A:$A,"&gt;="&amp;$A100,monthly!$B:$B,"&lt;="&amp;$B100)&gt;0,"NA",AVERAGEIFS(monthly!Z:Z,monthly!$A:$A,"&gt;="&amp;$A100,monthly!$B:$B,"&lt;="&amp;$B100))</f>
        <v>3.9551991969347E-2</v>
      </c>
    </row>
    <row r="101" spans="1:34" x14ac:dyDescent="0.2">
      <c r="A101" s="1">
        <v>34608</v>
      </c>
      <c r="B101" s="1">
        <v>34698</v>
      </c>
      <c r="C101">
        <f>IF(ISBLANK(VLOOKUP($A101,quarterly_data,MATCH(C$1,quarterly!$1:$1,FALSE),FALSE)),"NA",VLOOKUP($A101,quarterly_data,MATCH(C$1,quarterly!$1:$1,FALSE),FALSE))</f>
        <v>102.7416439717979</v>
      </c>
      <c r="D101">
        <f>IF(ISBLANK(VLOOKUP($A101,quarterly_data,MATCH(D$1,quarterly!$1:$1,FALSE),FALSE)),"NA",VLOOKUP($A101,quarterly_data,MATCH(D$1,quarterly!$1:$1,FALSE),FALSE))</f>
        <v>49.8</v>
      </c>
      <c r="E101">
        <f>IF(ISBLANK(VLOOKUP($A101,quarterly_data,MATCH(E$1,quarterly!$1:$1,FALSE),FALSE)),"NA",VLOOKUP($A101,quarterly_data,MATCH(E$1,quarterly!$1:$1,FALSE),FALSE))</f>
        <v>6.0532700000000002E-2</v>
      </c>
      <c r="F101">
        <f>IF(ISBLANK(VLOOKUP($A101,quarterly_data,MATCH(F$1,quarterly!$1:$1,FALSE),FALSE)),"NA",VLOOKUP($A101,quarterly_data,MATCH(F$1,quarterly!$1:$1,FALSE),FALSE))</f>
        <v>2.94179E-2</v>
      </c>
      <c r="G101">
        <f>IF(ISBLANK(VLOOKUP($A101,quarterly_data,MATCH(G$1,quarterly!$1:$1,FALSE),FALSE)),"NA",VLOOKUP($A101,quarterly_data,MATCH(G$1,quarterly!$1:$1,FALSE),FALSE))</f>
        <v>11279.932000000001</v>
      </c>
      <c r="H101">
        <f>IF(ISBLANK(VLOOKUP($A101,quarterly_data,MATCH(H$1,quarterly!$1:$1,FALSE),FALSE)),"NA",VLOOKUP($A101,quarterly_data,MATCH(H$1,quarterly!$1:$1,FALSE),FALSE))</f>
        <v>284892</v>
      </c>
      <c r="I101">
        <f>IF(ISBLANK(VLOOKUP($A101,quarterly_data,MATCH(I$1,quarterly!$1:$1,FALSE),FALSE)),"NA",VLOOKUP($A101,quarterly_data,MATCH(I$1,quarterly!$1:$1,FALSE),FALSE))</f>
        <v>0.5</v>
      </c>
      <c r="J101">
        <f>IF(ISBLANK(VLOOKUP($A101,quarterly_data,MATCH(J$1,quarterly!$1:$1,FALSE),FALSE)),"NA",VLOOKUP($A101,quarterly_data,MATCH(J$1,quarterly!$1:$1,FALSE),FALSE))</f>
        <v>43.61</v>
      </c>
      <c r="K101">
        <f>IF(COUNTIFS(monthly!C:C,"",monthly!$A:$A,"&gt;="&amp;$A101,monthly!$B:$B,"&lt;="&amp;$B101)&gt;0,"NA",AVERAGEIFS(monthly!C:C,monthly!$A:$A,"&gt;="&amp;$A101,monthly!$B:$B,"&lt;="&amp;$B101))</f>
        <v>54.3</v>
      </c>
      <c r="L101">
        <f>IF(COUNTIFS(monthly!D:D,"",monthly!$A:$A,"&gt;="&amp;$A101,monthly!$B:$B,"&lt;="&amp;$B101)&gt;0,"NA",AVERAGEIFS(monthly!D:D,monthly!$A:$A,"&gt;="&amp;$A101,monthly!$B:$B,"&lt;="&amp;$B101))</f>
        <v>0.75479999999999992</v>
      </c>
      <c r="M101">
        <f>IF(COUNTIFS(monthly!E:E,"",monthly!$A:$A,"&gt;="&amp;$A101,monthly!$B:$B,"&lt;="&amp;$B101)&gt;0,"NA",AVERAGEIFS(monthly!E:E,monthly!$A:$A,"&gt;="&amp;$A101,monthly!$B:$B,"&lt;="&amp;$B101))</f>
        <v>30.400848470360099</v>
      </c>
      <c r="N101" t="str">
        <f>IF(COUNTIFS(monthly!F:F,"",monthly!$A:$A,"&gt;="&amp;$A101,monthly!$B:$B,"&lt;="&amp;$B101)&gt;0,"NA",AVERAGEIFS(monthly!F:F,monthly!$A:$A,"&gt;="&amp;$A101,monthly!$B:$B,"&lt;="&amp;$B101))</f>
        <v>NA</v>
      </c>
      <c r="O101">
        <f>IF(COUNTIFS(monthly!G:G,"",monthly!$A:$A,"&gt;="&amp;$A101,monthly!$B:$B,"&lt;="&amp;$B101)&gt;0,"NA",AVERAGEIFS(monthly!G:G,monthly!$A:$A,"&gt;="&amp;$A101,monthly!$B:$B,"&lt;="&amp;$B101))</f>
        <v>26.5</v>
      </c>
      <c r="P101">
        <f>IF(COUNTIFS(monthly!H:H,"",monthly!$A:$A,"&gt;="&amp;$A101,monthly!$B:$B,"&lt;="&amp;$B101)&gt;0,"NA",AVERAGEIFS(monthly!H:H,monthly!$A:$A,"&gt;="&amp;$A101,monthly!$B:$B,"&lt;="&amp;$B101))</f>
        <v>33.1</v>
      </c>
      <c r="Q101">
        <f>IF(COUNTIFS(monthly!I:I,"",monthly!$A:$A,"&gt;="&amp;$A101,monthly!$B:$B,"&lt;="&amp;$B101)&gt;0,"NA",AVERAGEIFS(monthly!I:I,monthly!$A:$A,"&gt;="&amp;$A101,monthly!$B:$B,"&lt;="&amp;$B101))</f>
        <v>16.799999999999997</v>
      </c>
      <c r="R101">
        <f>IF(COUNTIFS(monthly!J:J,"",monthly!$A:$A,"&gt;="&amp;$A101,monthly!$B:$B,"&lt;="&amp;$B101)&gt;0,"NA",AVERAGEIFS(monthly!J:J,monthly!$A:$A,"&gt;="&amp;$A101,monthly!$B:$B,"&lt;="&amp;$B101))</f>
        <v>3.26</v>
      </c>
      <c r="S101">
        <f>IF(COUNTIFS(monthly!K:K,"",monthly!$A:$A,"&gt;="&amp;$A101,monthly!$B:$B,"&lt;="&amp;$B101)&gt;0,"NA",AVERAGEIFS(monthly!K:K,monthly!$A:$A,"&gt;="&amp;$A101,monthly!$B:$B,"&lt;="&amp;$B101))</f>
        <v>6.142857142857145</v>
      </c>
      <c r="T101">
        <f>IF(COUNTIFS(monthly!L:L,"",monthly!$A:$A,"&gt;="&amp;$A101,monthly!$B:$B,"&lt;="&amp;$B101)&gt;0,"NA",AVERAGEIFS(monthly!L:L,monthly!$A:$A,"&gt;="&amp;$A101,monthly!$B:$B,"&lt;="&amp;$B101))</f>
        <v>5.027333333333333</v>
      </c>
      <c r="U101">
        <f>IF(COUNTIFS(monthly!M:M,"",monthly!$A:$A,"&gt;="&amp;$A101,monthly!$B:$B,"&lt;="&amp;$B101)&gt;0,"NA",AVERAGEIFS(monthly!M:M,monthly!$A:$A,"&gt;="&amp;$A101,monthly!$B:$B,"&lt;="&amp;$B101))</f>
        <v>1.115523809523812</v>
      </c>
      <c r="V101" t="str">
        <f>IF(COUNTIFS(monthly!N:N,"",monthly!$A:$A,"&gt;="&amp;$A101,monthly!$B:$B,"&lt;="&amp;$B101)&gt;0,"NA",AVERAGEIFS(monthly!N:N,monthly!$A:$A,"&gt;="&amp;$A101,monthly!$B:$B,"&lt;="&amp;$B101))</f>
        <v>NA</v>
      </c>
      <c r="W101">
        <f>IF(COUNTIFS(monthly!O:O,"",monthly!$A:$A,"&gt;="&amp;$A101,monthly!$B:$B,"&lt;="&amp;$B101)&gt;0,"NA",AVERAGEIFS(monthly!O:O,monthly!$A:$A,"&gt;="&amp;$A101,monthly!$B:$B,"&lt;="&amp;$B101))</f>
        <v>6.9385000000000012</v>
      </c>
      <c r="X101" t="str">
        <f>IF(COUNTIFS(monthly!P:P,"",monthly!$A:$A,"&gt;="&amp;$A101,monthly!$B:$B,"&lt;="&amp;$B101)&gt;0,"NA",AVERAGEIFS(monthly!P:P,monthly!$A:$A,"&gt;="&amp;$A101,monthly!$B:$B,"&lt;="&amp;$B101))</f>
        <v>NA</v>
      </c>
      <c r="Y101">
        <f>IF(COUNTIFS(monthly!Q:Q,"",monthly!$A:$A,"&gt;="&amp;$A101,monthly!$B:$B,"&lt;="&amp;$B101)&gt;0,"NA",AVERAGEIFS(monthly!Q:Q,monthly!$A:$A,"&gt;="&amp;$A101,monthly!$B:$B,"&lt;="&amp;$B101))</f>
        <v>10.49</v>
      </c>
      <c r="Z101">
        <f>IF(COUNTIFS(monthly!R:R,"",monthly!$A:$A,"&gt;="&amp;$A101,monthly!$B:$B,"&lt;="&amp;$B101)&gt;0,"NA",AVERAGEIFS(monthly!R:R,monthly!$A:$A,"&gt;="&amp;$A101,monthly!$B:$B,"&lt;="&amp;$B101))</f>
        <v>7.8494999999999999</v>
      </c>
      <c r="AA101">
        <f>IF(COUNTIFS(monthly!S:S,"",monthly!$A:$A,"&gt;="&amp;$A101,monthly!$B:$B,"&lt;="&amp;$B101)&gt;0,"NA",AVERAGEIFS(monthly!S:S,monthly!$A:$A,"&gt;="&amp;$A101,monthly!$B:$B,"&lt;="&amp;$B101))</f>
        <v>2.6405000000000003</v>
      </c>
      <c r="AB101">
        <f>IF(COUNTIFS(monthly!T:T,"",monthly!$A:$A,"&gt;="&amp;$A101,monthly!$B:$B,"&lt;="&amp;$B101)&gt;0,"NA",AVERAGEIFS(monthly!T:T,monthly!$A:$A,"&gt;="&amp;$A101,monthly!$B:$B,"&lt;="&amp;$B101))</f>
        <v>15.814523809523809</v>
      </c>
      <c r="AC101" t="str">
        <f>IF(COUNTIFS(monthly!U:U,"",monthly!$A:$A,"&gt;="&amp;$A101,monthly!$B:$B,"&lt;="&amp;$B101)&gt;0,"NA",AVERAGEIFS(monthly!U:U,monthly!$A:$A,"&gt;="&amp;$A101,monthly!$B:$B,"&lt;="&amp;$B101))</f>
        <v>NA</v>
      </c>
      <c r="AD101" t="str">
        <f>IF(COUNTIFS(monthly!V:V,"",monthly!$A:$A,"&gt;="&amp;$A101,monthly!$B:$B,"&lt;="&amp;$B101)&gt;0,"NA",AVERAGEIFS(monthly!V:V,monthly!$A:$A,"&gt;="&amp;$A101,monthly!$B:$B,"&lt;="&amp;$B101))</f>
        <v>NA</v>
      </c>
      <c r="AE101">
        <f>IF(COUNTIFS(monthly!W:W,"",monthly!$A:$A,"&gt;="&amp;$A101,monthly!$B:$B,"&lt;="&amp;$B101)&gt;0,"NA",AVERAGEIFS(monthly!W:W,monthly!$A:$A,"&gt;="&amp;$A101,monthly!$B:$B,"&lt;="&amp;$B101))</f>
        <v>90.691719055175781</v>
      </c>
      <c r="AF101">
        <f>IF(COUNTIFS(monthly!X:X,"",monthly!$A:$A,"&gt;="&amp;$A101,monthly!$B:$B,"&lt;="&amp;$B101)&gt;0,"NA",AVERAGEIFS(monthly!X:X,monthly!$A:$A,"&gt;="&amp;$A101,monthly!$B:$B,"&lt;="&amp;$B101))</f>
        <v>109.84621047973633</v>
      </c>
      <c r="AG101">
        <f>IF(COUNTIFS(monthly!Y:Y,"",monthly!$A:$A,"&gt;="&amp;$A101,monthly!$B:$B,"&lt;="&amp;$B101)&gt;0,"NA",AVERAGEIFS(monthly!Y:Y,monthly!$A:$A,"&gt;="&amp;$A101,monthly!$B:$B,"&lt;="&amp;$B101))</f>
        <v>67.597576141357422</v>
      </c>
      <c r="AH101">
        <f>IF(COUNTIFS(monthly!Z:Z,"",monthly!$A:$A,"&gt;="&amp;$A101,monthly!$B:$B,"&lt;="&amp;$B101)&gt;0,"NA",AVERAGEIFS(monthly!Z:Z,monthly!$A:$A,"&gt;="&amp;$A101,monthly!$B:$B,"&lt;="&amp;$B101))</f>
        <v>6.6041164100170135E-2</v>
      </c>
    </row>
    <row r="102" spans="1:34" x14ac:dyDescent="0.2">
      <c r="A102" s="1">
        <v>34700</v>
      </c>
      <c r="B102" s="1">
        <v>34788</v>
      </c>
      <c r="C102">
        <f>IF(ISBLANK(VLOOKUP($A102,quarterly_data,MATCH(C$1,quarterly!$1:$1,FALSE),FALSE)),"NA",VLOOKUP($A102,quarterly_data,MATCH(C$1,quarterly!$1:$1,FALSE),FALSE))</f>
        <v>100</v>
      </c>
      <c r="D102">
        <f>IF(ISBLANK(VLOOKUP($A102,quarterly_data,MATCH(D$1,quarterly!$1:$1,FALSE),FALSE)),"NA",VLOOKUP($A102,quarterly_data,MATCH(D$1,quarterly!$1:$1,FALSE),FALSE))</f>
        <v>50.1</v>
      </c>
      <c r="E102">
        <f>IF(ISBLANK(VLOOKUP($A102,quarterly_data,MATCH(E$1,quarterly!$1:$1,FALSE),FALSE)),"NA",VLOOKUP($A102,quarterly_data,MATCH(E$1,quarterly!$1:$1,FALSE),FALSE))</f>
        <v>0</v>
      </c>
      <c r="F102">
        <f>IF(ISBLANK(VLOOKUP($A102,quarterly_data,MATCH(F$1,quarterly!$1:$1,FALSE),FALSE)),"NA",VLOOKUP($A102,quarterly_data,MATCH(F$1,quarterly!$1:$1,FALSE),FALSE))</f>
        <v>9.8449999999999996E-3</v>
      </c>
      <c r="G102">
        <f>IF(ISBLANK(VLOOKUP($A102,quarterly_data,MATCH(G$1,quarterly!$1:$1,FALSE),FALSE)),"NA",VLOOKUP($A102,quarterly_data,MATCH(G$1,quarterly!$1:$1,FALSE),FALSE))</f>
        <v>11319.950999999999</v>
      </c>
      <c r="H102">
        <f>IF(ISBLANK(VLOOKUP($A102,quarterly_data,MATCH(H$1,quarterly!$1:$1,FALSE),FALSE)),"NA",VLOOKUP($A102,quarterly_data,MATCH(H$1,quarterly!$1:$1,FALSE),FALSE))</f>
        <v>284634</v>
      </c>
      <c r="I102">
        <f>IF(ISBLANK(VLOOKUP($A102,quarterly_data,MATCH(I$1,quarterly!$1:$1,FALSE),FALSE)),"NA",VLOOKUP($A102,quarterly_data,MATCH(I$1,quarterly!$1:$1,FALSE),FALSE))</f>
        <v>0.5</v>
      </c>
      <c r="J102">
        <f>IF(ISBLANK(VLOOKUP($A102,quarterly_data,MATCH(J$1,quarterly!$1:$1,FALSE),FALSE)),"NA",VLOOKUP($A102,quarterly_data,MATCH(J$1,quarterly!$1:$1,FALSE),FALSE))</f>
        <v>44.34</v>
      </c>
      <c r="K102">
        <f>IF(COUNTIFS(monthly!C:C,"",monthly!$A:$A,"&gt;="&amp;$A102,monthly!$B:$B,"&lt;="&amp;$B102)&gt;0,"NA",AVERAGEIFS(monthly!C:C,monthly!$A:$A,"&gt;="&amp;$A102,monthly!$B:$B,"&lt;="&amp;$B102))</f>
        <v>53.7</v>
      </c>
      <c r="L102">
        <f>IF(COUNTIFS(monthly!D:D,"",monthly!$A:$A,"&gt;="&amp;$A102,monthly!$B:$B,"&lt;="&amp;$B102)&gt;0,"NA",AVERAGEIFS(monthly!D:D,monthly!$A:$A,"&gt;="&amp;$A102,monthly!$B:$B,"&lt;="&amp;$B102))</f>
        <v>0.74890000000000001</v>
      </c>
      <c r="M102">
        <f>IF(COUNTIFS(monthly!E:E,"",monthly!$A:$A,"&gt;="&amp;$A102,monthly!$B:$B,"&lt;="&amp;$B102)&gt;0,"NA",AVERAGEIFS(monthly!E:E,monthly!$A:$A,"&gt;="&amp;$A102,monthly!$B:$B,"&lt;="&amp;$B102))</f>
        <v>31.528743372397699</v>
      </c>
      <c r="N102" t="str">
        <f>IF(COUNTIFS(monthly!F:F,"",monthly!$A:$A,"&gt;="&amp;$A102,monthly!$B:$B,"&lt;="&amp;$B102)&gt;0,"NA",AVERAGEIFS(monthly!F:F,monthly!$A:$A,"&gt;="&amp;$A102,monthly!$B:$B,"&lt;="&amp;$B102))</f>
        <v>NA</v>
      </c>
      <c r="O102">
        <f>IF(COUNTIFS(monthly!G:G,"",monthly!$A:$A,"&gt;="&amp;$A102,monthly!$B:$B,"&lt;="&amp;$B102)&gt;0,"NA",AVERAGEIFS(monthly!G:G,monthly!$A:$A,"&gt;="&amp;$A102,monthly!$B:$B,"&lt;="&amp;$B102))</f>
        <v>28.4</v>
      </c>
      <c r="P102">
        <f>IF(COUNTIFS(monthly!H:H,"",monthly!$A:$A,"&gt;="&amp;$A102,monthly!$B:$B,"&lt;="&amp;$B102)&gt;0,"NA",AVERAGEIFS(monthly!H:H,monthly!$A:$A,"&gt;="&amp;$A102,monthly!$B:$B,"&lt;="&amp;$B102))</f>
        <v>37.35</v>
      </c>
      <c r="Q102">
        <f>IF(COUNTIFS(monthly!I:I,"",monthly!$A:$A,"&gt;="&amp;$A102,monthly!$B:$B,"&lt;="&amp;$B102)&gt;0,"NA",AVERAGEIFS(monthly!I:I,monthly!$A:$A,"&gt;="&amp;$A102,monthly!$B:$B,"&lt;="&amp;$B102))</f>
        <v>16.850000000000001</v>
      </c>
      <c r="R102">
        <f>IF(COUNTIFS(monthly!J:J,"",monthly!$A:$A,"&gt;="&amp;$A102,monthly!$B:$B,"&lt;="&amp;$B102)&gt;0,"NA",AVERAGEIFS(monthly!J:J,monthly!$A:$A,"&gt;="&amp;$A102,monthly!$B:$B,"&lt;="&amp;$B102))</f>
        <v>3.38</v>
      </c>
      <c r="S102">
        <f>IF(COUNTIFS(monthly!K:K,"",monthly!$A:$A,"&gt;="&amp;$A102,monthly!$B:$B,"&lt;="&amp;$B102)&gt;0,"NA",AVERAGEIFS(monthly!K:K,monthly!$A:$A,"&gt;="&amp;$A102,monthly!$B:$B,"&lt;="&amp;$B102))</f>
        <v>7.5</v>
      </c>
      <c r="T102">
        <f>IF(COUNTIFS(monthly!L:L,"",monthly!$A:$A,"&gt;="&amp;$A102,monthly!$B:$B,"&lt;="&amp;$B102)&gt;0,"NA",AVERAGEIFS(monthly!L:L,monthly!$A:$A,"&gt;="&amp;$A102,monthly!$B:$B,"&lt;="&amp;$B102))</f>
        <v>5.7213882488479264</v>
      </c>
      <c r="U102">
        <f>IF(COUNTIFS(monthly!M:M,"",monthly!$A:$A,"&gt;="&amp;$A102,monthly!$B:$B,"&lt;="&amp;$B102)&gt;0,"NA",AVERAGEIFS(monthly!M:M,monthly!$A:$A,"&gt;="&amp;$A102,monthly!$B:$B,"&lt;="&amp;$B102))</f>
        <v>1.7786117511520736</v>
      </c>
      <c r="V102">
        <f>IF(COUNTIFS(monthly!N:N,"",monthly!$A:$A,"&gt;="&amp;$A102,monthly!$B:$B,"&lt;="&amp;$B102)&gt;0,"NA",AVERAGEIFS(monthly!N:N,monthly!$A:$A,"&gt;="&amp;$A102,monthly!$B:$B,"&lt;="&amp;$B102))</f>
        <v>9.8812499999999996</v>
      </c>
      <c r="W102">
        <f>IF(COUNTIFS(monthly!O:O,"",monthly!$A:$A,"&gt;="&amp;$A102,monthly!$B:$B,"&lt;="&amp;$B102)&gt;0,"NA",AVERAGEIFS(monthly!O:O,monthly!$A:$A,"&gt;="&amp;$A102,monthly!$B:$B,"&lt;="&amp;$B102))</f>
        <v>7.3092894736842098</v>
      </c>
      <c r="X102">
        <f>IF(COUNTIFS(monthly!P:P,"",monthly!$A:$A,"&gt;="&amp;$A102,monthly!$B:$B,"&lt;="&amp;$B102)&gt;0,"NA",AVERAGEIFS(monthly!P:P,monthly!$A:$A,"&gt;="&amp;$A102,monthly!$B:$B,"&lt;="&amp;$B102))</f>
        <v>2.5719605263157899</v>
      </c>
      <c r="Y102">
        <f>IF(COUNTIFS(monthly!Q:Q,"",monthly!$A:$A,"&gt;="&amp;$A102,monthly!$B:$B,"&lt;="&amp;$B102)&gt;0,"NA",AVERAGEIFS(monthly!Q:Q,monthly!$A:$A,"&gt;="&amp;$A102,monthly!$B:$B,"&lt;="&amp;$B102))</f>
        <v>10.240500000000001</v>
      </c>
      <c r="Z102">
        <f>IF(COUNTIFS(monthly!R:R,"",monthly!$A:$A,"&gt;="&amp;$A102,monthly!$B:$B,"&lt;="&amp;$B102)&gt;0,"NA",AVERAGEIFS(monthly!R:R,monthly!$A:$A,"&gt;="&amp;$A102,monthly!$B:$B,"&lt;="&amp;$B102))</f>
        <v>7.624486842105263</v>
      </c>
      <c r="AA102">
        <f>IF(COUNTIFS(monthly!S:S,"",monthly!$A:$A,"&gt;="&amp;$A102,monthly!$B:$B,"&lt;="&amp;$B102)&gt;0,"NA",AVERAGEIFS(monthly!S:S,monthly!$A:$A,"&gt;="&amp;$A102,monthly!$B:$B,"&lt;="&amp;$B102))</f>
        <v>2.6160131578947379</v>
      </c>
      <c r="AB102">
        <f>IF(COUNTIFS(monthly!T:T,"",monthly!$A:$A,"&gt;="&amp;$A102,monthly!$B:$B,"&lt;="&amp;$B102)&gt;0,"NA",AVERAGEIFS(monthly!T:T,monthly!$A:$A,"&gt;="&amp;$A102,monthly!$B:$B,"&lt;="&amp;$B102))</f>
        <v>11.872142857142858</v>
      </c>
      <c r="AC102" t="str">
        <f>IF(COUNTIFS(monthly!U:U,"",monthly!$A:$A,"&gt;="&amp;$A102,monthly!$B:$B,"&lt;="&amp;$B102)&gt;0,"NA",AVERAGEIFS(monthly!U:U,monthly!$A:$A,"&gt;="&amp;$A102,monthly!$B:$B,"&lt;="&amp;$B102))</f>
        <v>NA</v>
      </c>
      <c r="AD102" t="str">
        <f>IF(COUNTIFS(monthly!V:V,"",monthly!$A:$A,"&gt;="&amp;$A102,monthly!$B:$B,"&lt;="&amp;$B102)&gt;0,"NA",AVERAGEIFS(monthly!V:V,monthly!$A:$A,"&gt;="&amp;$A102,monthly!$B:$B,"&lt;="&amp;$B102))</f>
        <v>NA</v>
      </c>
      <c r="AE102">
        <f>IF(COUNTIFS(monthly!W:W,"",monthly!$A:$A,"&gt;="&amp;$A102,monthly!$B:$B,"&lt;="&amp;$B102)&gt;0,"NA",AVERAGEIFS(monthly!W:W,monthly!$A:$A,"&gt;="&amp;$A102,monthly!$B:$B,"&lt;="&amp;$B102))</f>
        <v>78.515003204345703</v>
      </c>
      <c r="AF102">
        <f>IF(COUNTIFS(monthly!X:X,"",monthly!$A:$A,"&gt;="&amp;$A102,monthly!$B:$B,"&lt;="&amp;$B102)&gt;0,"NA",AVERAGEIFS(monthly!X:X,monthly!$A:$A,"&gt;="&amp;$A102,monthly!$B:$B,"&lt;="&amp;$B102))</f>
        <v>78.746604919433594</v>
      </c>
      <c r="AG102">
        <f>IF(COUNTIFS(monthly!Y:Y,"",monthly!$A:$A,"&gt;="&amp;$A102,monthly!$B:$B,"&lt;="&amp;$B102)&gt;0,"NA",AVERAGEIFS(monthly!Y:Y,monthly!$A:$A,"&gt;="&amp;$A102,monthly!$B:$B,"&lt;="&amp;$B102))</f>
        <v>73.811527252197266</v>
      </c>
      <c r="AH102">
        <f>IF(COUNTIFS(monthly!Z:Z,"",monthly!$A:$A,"&gt;="&amp;$A102,monthly!$B:$B,"&lt;="&amp;$B102)&gt;0,"NA",AVERAGEIFS(monthly!Z:Z,monthly!$A:$A,"&gt;="&amp;$A102,monthly!$B:$B,"&lt;="&amp;$B102))</f>
        <v>3.6042964085936546E-2</v>
      </c>
    </row>
    <row r="103" spans="1:34" x14ac:dyDescent="0.2">
      <c r="A103" s="1">
        <v>34790</v>
      </c>
      <c r="B103" s="1">
        <v>34880</v>
      </c>
      <c r="C103">
        <f>IF(ISBLANK(VLOOKUP($A103,quarterly_data,MATCH(C$1,quarterly!$1:$1,FALSE),FALSE)),"NA",VLOOKUP($A103,quarterly_data,MATCH(C$1,quarterly!$1:$1,FALSE),FALSE))</f>
        <v>93.073146160131898</v>
      </c>
      <c r="D103">
        <f>IF(ISBLANK(VLOOKUP($A103,quarterly_data,MATCH(D$1,quarterly!$1:$1,FALSE),FALSE)),"NA",VLOOKUP($A103,quarterly_data,MATCH(D$1,quarterly!$1:$1,FALSE),FALSE))</f>
        <v>49.5</v>
      </c>
      <c r="E103">
        <f>IF(ISBLANK(VLOOKUP($A103,quarterly_data,MATCH(E$1,quarterly!$1:$1,FALSE),FALSE)),"NA",VLOOKUP($A103,quarterly_data,MATCH(E$1,quarterly!$1:$1,FALSE),FALSE))</f>
        <v>0.13617480000000001</v>
      </c>
      <c r="F103">
        <f>IF(ISBLANK(VLOOKUP($A103,quarterly_data,MATCH(F$1,quarterly!$1:$1,FALSE),FALSE)),"NA",VLOOKUP($A103,quarterly_data,MATCH(F$1,quarterly!$1:$1,FALSE),FALSE))</f>
        <v>2.92527E-2</v>
      </c>
      <c r="G103">
        <f>IF(ISBLANK(VLOOKUP($A103,quarterly_data,MATCH(G$1,quarterly!$1:$1,FALSE),FALSE)),"NA",VLOOKUP($A103,quarterly_data,MATCH(G$1,quarterly!$1:$1,FALSE),FALSE))</f>
        <v>11353.721</v>
      </c>
      <c r="H103">
        <f>IF(ISBLANK(VLOOKUP($A103,quarterly_data,MATCH(H$1,quarterly!$1:$1,FALSE),FALSE)),"NA",VLOOKUP($A103,quarterly_data,MATCH(H$1,quarterly!$1:$1,FALSE),FALSE))</f>
        <v>285994</v>
      </c>
      <c r="I103">
        <f>IF(ISBLANK(VLOOKUP($A103,quarterly_data,MATCH(I$1,quarterly!$1:$1,FALSE),FALSE)),"NA",VLOOKUP($A103,quarterly_data,MATCH(I$1,quarterly!$1:$1,FALSE),FALSE))</f>
        <v>0.9</v>
      </c>
      <c r="J103">
        <f>IF(ISBLANK(VLOOKUP($A103,quarterly_data,MATCH(J$1,quarterly!$1:$1,FALSE),FALSE)),"NA",VLOOKUP($A103,quarterly_data,MATCH(J$1,quarterly!$1:$1,FALSE),FALSE))</f>
        <v>44.92</v>
      </c>
      <c r="K103">
        <f>IF(COUNTIFS(monthly!C:C,"",monthly!$A:$A,"&gt;="&amp;$A103,monthly!$B:$B,"&lt;="&amp;$B103)&gt;0,"NA",AVERAGEIFS(monthly!C:C,monthly!$A:$A,"&gt;="&amp;$A103,monthly!$B:$B,"&lt;="&amp;$B103))</f>
        <v>48.833333333333336</v>
      </c>
      <c r="L103">
        <f>IF(COUNTIFS(monthly!D:D,"",monthly!$A:$A,"&gt;="&amp;$A103,monthly!$B:$B,"&lt;="&amp;$B103)&gt;0,"NA",AVERAGEIFS(monthly!D:D,monthly!$A:$A,"&gt;="&amp;$A103,monthly!$B:$B,"&lt;="&amp;$B103))</f>
        <v>0.71743333333333326</v>
      </c>
      <c r="M103">
        <f>IF(COUNTIFS(monthly!E:E,"",monthly!$A:$A,"&gt;="&amp;$A103,monthly!$B:$B,"&lt;="&amp;$B103)&gt;0,"NA",AVERAGEIFS(monthly!E:E,monthly!$A:$A,"&gt;="&amp;$A103,monthly!$B:$B,"&lt;="&amp;$B103))</f>
        <v>29.629043447556402</v>
      </c>
      <c r="N103" t="str">
        <f>IF(COUNTIFS(monthly!F:F,"",monthly!$A:$A,"&gt;="&amp;$A103,monthly!$B:$B,"&lt;="&amp;$B103)&gt;0,"NA",AVERAGEIFS(monthly!F:F,monthly!$A:$A,"&gt;="&amp;$A103,monthly!$B:$B,"&lt;="&amp;$B103))</f>
        <v>NA</v>
      </c>
      <c r="O103">
        <f>IF(COUNTIFS(monthly!G:G,"",monthly!$A:$A,"&gt;="&amp;$A103,monthly!$B:$B,"&lt;="&amp;$B103)&gt;0,"NA",AVERAGEIFS(monthly!G:G,monthly!$A:$A,"&gt;="&amp;$A103,monthly!$B:$B,"&lt;="&amp;$B103))</f>
        <v>28.399999999999995</v>
      </c>
      <c r="P103">
        <f>IF(COUNTIFS(monthly!H:H,"",monthly!$A:$A,"&gt;="&amp;$A103,monthly!$B:$B,"&lt;="&amp;$B103)&gt;0,"NA",AVERAGEIFS(monthly!H:H,monthly!$A:$A,"&gt;="&amp;$A103,monthly!$B:$B,"&lt;="&amp;$B103))</f>
        <v>38.9</v>
      </c>
      <c r="Q103">
        <f>IF(COUNTIFS(monthly!I:I,"",monthly!$A:$A,"&gt;="&amp;$A103,monthly!$B:$B,"&lt;="&amp;$B103)&gt;0,"NA",AVERAGEIFS(monthly!I:I,monthly!$A:$A,"&gt;="&amp;$A103,monthly!$B:$B,"&lt;="&amp;$B103))</f>
        <v>18.166666666666664</v>
      </c>
      <c r="R103">
        <f>IF(COUNTIFS(monthly!J:J,"",monthly!$A:$A,"&gt;="&amp;$A103,monthly!$B:$B,"&lt;="&amp;$B103)&gt;0,"NA",AVERAGEIFS(monthly!J:J,monthly!$A:$A,"&gt;="&amp;$A103,monthly!$B:$B,"&lt;="&amp;$B103))</f>
        <v>3.5133333333333336</v>
      </c>
      <c r="S103">
        <f>IF(COUNTIFS(monthly!K:K,"",monthly!$A:$A,"&gt;="&amp;$A103,monthly!$B:$B,"&lt;="&amp;$B103)&gt;0,"NA",AVERAGEIFS(monthly!K:K,monthly!$A:$A,"&gt;="&amp;$A103,monthly!$B:$B,"&lt;="&amp;$B103))</f>
        <v>7.5</v>
      </c>
      <c r="T103">
        <f>IF(COUNTIFS(monthly!L:L,"",monthly!$A:$A,"&gt;="&amp;$A103,monthly!$B:$B,"&lt;="&amp;$B103)&gt;0,"NA",AVERAGEIFS(monthly!L:L,monthly!$A:$A,"&gt;="&amp;$A103,monthly!$B:$B,"&lt;="&amp;$B103))</f>
        <v>6.0192329749103939</v>
      </c>
      <c r="U103">
        <f>IF(COUNTIFS(monthly!M:M,"",monthly!$A:$A,"&gt;="&amp;$A103,monthly!$B:$B,"&lt;="&amp;$B103)&gt;0,"NA",AVERAGEIFS(monthly!M:M,monthly!$A:$A,"&gt;="&amp;$A103,monthly!$B:$B,"&lt;="&amp;$B103))</f>
        <v>1.4807670250896068</v>
      </c>
      <c r="V103">
        <f>IF(COUNTIFS(monthly!N:N,"",monthly!$A:$A,"&gt;="&amp;$A103,monthly!$B:$B,"&lt;="&amp;$B103)&gt;0,"NA",AVERAGEIFS(monthly!N:N,monthly!$A:$A,"&gt;="&amp;$A103,monthly!$B:$B,"&lt;="&amp;$B103))</f>
        <v>8.2479413794503298</v>
      </c>
      <c r="W103">
        <f>IF(COUNTIFS(monthly!O:O,"",monthly!$A:$A,"&gt;="&amp;$A103,monthly!$B:$B,"&lt;="&amp;$B103)&gt;0,"NA",AVERAGEIFS(monthly!O:O,monthly!$A:$A,"&gt;="&amp;$A103,monthly!$B:$B,"&lt;="&amp;$B103))</f>
        <v>6.1515709728867618</v>
      </c>
      <c r="X103">
        <f>IF(COUNTIFS(monthly!P:P,"",monthly!$A:$A,"&gt;="&amp;$A103,monthly!$B:$B,"&lt;="&amp;$B103)&gt;0,"NA",AVERAGEIFS(monthly!P:P,monthly!$A:$A,"&gt;="&amp;$A103,monthly!$B:$B,"&lt;="&amp;$B103))</f>
        <v>2.0963704065635684</v>
      </c>
      <c r="Y103">
        <f>IF(COUNTIFS(monthly!Q:Q,"",monthly!$A:$A,"&gt;="&amp;$A103,monthly!$B:$B,"&lt;="&amp;$B103)&gt;0,"NA",AVERAGEIFS(monthly!Q:Q,monthly!$A:$A,"&gt;="&amp;$A103,monthly!$B:$B,"&lt;="&amp;$B103))</f>
        <v>9.2537003207079938</v>
      </c>
      <c r="Z103">
        <f>IF(COUNTIFS(monthly!R:R,"",monthly!$A:$A,"&gt;="&amp;$A103,monthly!$B:$B,"&lt;="&amp;$B103)&gt;0,"NA",AVERAGEIFS(monthly!R:R,monthly!$A:$A,"&gt;="&amp;$A103,monthly!$B:$B,"&lt;="&amp;$B103))</f>
        <v>6.6211802232854859</v>
      </c>
      <c r="AA103">
        <f>IF(COUNTIFS(monthly!S:S,"",monthly!$A:$A,"&gt;="&amp;$A103,monthly!$B:$B,"&lt;="&amp;$B103)&gt;0,"NA",AVERAGEIFS(monthly!S:S,monthly!$A:$A,"&gt;="&amp;$A103,monthly!$B:$B,"&lt;="&amp;$B103))</f>
        <v>2.6325200974225065</v>
      </c>
      <c r="AB103">
        <f>IF(COUNTIFS(monthly!T:T,"",monthly!$A:$A,"&gt;="&amp;$A103,monthly!$B:$B,"&lt;="&amp;$B103)&gt;0,"NA",AVERAGEIFS(monthly!T:T,monthly!$A:$A,"&gt;="&amp;$A103,monthly!$B:$B,"&lt;="&amp;$B103))</f>
        <v>12.201786283891549</v>
      </c>
      <c r="AC103" t="str">
        <f>IF(COUNTIFS(monthly!U:U,"",monthly!$A:$A,"&gt;="&amp;$A103,monthly!$B:$B,"&lt;="&amp;$B103)&gt;0,"NA",AVERAGEIFS(monthly!U:U,monthly!$A:$A,"&gt;="&amp;$A103,monthly!$B:$B,"&lt;="&amp;$B103))</f>
        <v>NA</v>
      </c>
      <c r="AD103" t="str">
        <f>IF(COUNTIFS(monthly!V:V,"",monthly!$A:$A,"&gt;="&amp;$A103,monthly!$B:$B,"&lt;="&amp;$B103)&gt;0,"NA",AVERAGEIFS(monthly!V:V,monthly!$A:$A,"&gt;="&amp;$A103,monthly!$B:$B,"&lt;="&amp;$B103))</f>
        <v>NA</v>
      </c>
      <c r="AE103">
        <f>IF(COUNTIFS(monthly!W:W,"",monthly!$A:$A,"&gt;="&amp;$A103,monthly!$B:$B,"&lt;="&amp;$B103)&gt;0,"NA",AVERAGEIFS(monthly!W:W,monthly!$A:$A,"&gt;="&amp;$A103,monthly!$B:$B,"&lt;="&amp;$B103))</f>
        <v>97.213722229003906</v>
      </c>
      <c r="AF103">
        <f>IF(COUNTIFS(monthly!X:X,"",monthly!$A:$A,"&gt;="&amp;$A103,monthly!$B:$B,"&lt;="&amp;$B103)&gt;0,"NA",AVERAGEIFS(monthly!X:X,monthly!$A:$A,"&gt;="&amp;$A103,monthly!$B:$B,"&lt;="&amp;$B103))</f>
        <v>103.97042592366536</v>
      </c>
      <c r="AG103">
        <f>IF(COUNTIFS(monthly!Y:Y,"",monthly!$A:$A,"&gt;="&amp;$A103,monthly!$B:$B,"&lt;="&amp;$B103)&gt;0,"NA",AVERAGEIFS(monthly!Y:Y,monthly!$A:$A,"&gt;="&amp;$A103,monthly!$B:$B,"&lt;="&amp;$B103))</f>
        <v>87.87283579508464</v>
      </c>
      <c r="AH103">
        <f>IF(COUNTIFS(monthly!Z:Z,"",monthly!$A:$A,"&gt;="&amp;$A103,monthly!$B:$B,"&lt;="&amp;$B103)&gt;0,"NA",AVERAGEIFS(monthly!Z:Z,monthly!$A:$A,"&gt;="&amp;$A103,monthly!$B:$B,"&lt;="&amp;$B103))</f>
        <v>5.3862017889817558E-2</v>
      </c>
    </row>
    <row r="104" spans="1:34" x14ac:dyDescent="0.2">
      <c r="A104" s="1">
        <v>34881</v>
      </c>
      <c r="B104" s="1">
        <v>34972</v>
      </c>
      <c r="C104">
        <f>IF(ISBLANK(VLOOKUP($A104,quarterly_data,MATCH(C$1,quarterly!$1:$1,FALSE),FALSE)),"NA",VLOOKUP($A104,quarterly_data,MATCH(C$1,quarterly!$1:$1,FALSE),FALSE))</f>
        <v>97.999041207501989</v>
      </c>
      <c r="D104">
        <f>IF(ISBLANK(VLOOKUP($A104,quarterly_data,MATCH(D$1,quarterly!$1:$1,FALSE),FALSE)),"NA",VLOOKUP($A104,quarterly_data,MATCH(D$1,quarterly!$1:$1,FALSE),FALSE))</f>
        <v>49.8</v>
      </c>
      <c r="E104">
        <f>IF(ISBLANK(VLOOKUP($A104,quarterly_data,MATCH(E$1,quarterly!$1:$1,FALSE),FALSE)),"NA",VLOOKUP($A104,quarterly_data,MATCH(E$1,quarterly!$1:$1,FALSE),FALSE))</f>
        <v>0</v>
      </c>
      <c r="F104">
        <f>IF(ISBLANK(VLOOKUP($A104,quarterly_data,MATCH(F$1,quarterly!$1:$1,FALSE),FALSE)),"NA",VLOOKUP($A104,quarterly_data,MATCH(F$1,quarterly!$1:$1,FALSE),FALSE))</f>
        <v>1.3617499999999999E-2</v>
      </c>
      <c r="G104">
        <f>IF(ISBLANK(VLOOKUP($A104,quarterly_data,MATCH(G$1,quarterly!$1:$1,FALSE),FALSE)),"NA",VLOOKUP($A104,quarterly_data,MATCH(G$1,quarterly!$1:$1,FALSE),FALSE))</f>
        <v>11450.31</v>
      </c>
      <c r="H104">
        <f>IF(ISBLANK(VLOOKUP($A104,quarterly_data,MATCH(H$1,quarterly!$1:$1,FALSE),FALSE)),"NA",VLOOKUP($A104,quarterly_data,MATCH(H$1,quarterly!$1:$1,FALSE),FALSE))</f>
        <v>292541</v>
      </c>
      <c r="I104">
        <f>IF(ISBLANK(VLOOKUP($A104,quarterly_data,MATCH(I$1,quarterly!$1:$1,FALSE),FALSE)),"NA",VLOOKUP($A104,quarterly_data,MATCH(I$1,quarterly!$1:$1,FALSE),FALSE))</f>
        <v>1</v>
      </c>
      <c r="J104">
        <f>IF(ISBLANK(VLOOKUP($A104,quarterly_data,MATCH(J$1,quarterly!$1:$1,FALSE),FALSE)),"NA",VLOOKUP($A104,quarterly_data,MATCH(J$1,quarterly!$1:$1,FALSE),FALSE))</f>
        <v>45.46</v>
      </c>
      <c r="K104">
        <f>IF(COUNTIFS(monthly!C:C,"",monthly!$A:$A,"&gt;="&amp;$A104,monthly!$B:$B,"&lt;="&amp;$B104)&gt;0,"NA",AVERAGEIFS(monthly!C:C,monthly!$A:$A,"&gt;="&amp;$A104,monthly!$B:$B,"&lt;="&amp;$B104))</f>
        <v>52.9</v>
      </c>
      <c r="L104">
        <f>IF(COUNTIFS(monthly!D:D,"",monthly!$A:$A,"&gt;="&amp;$A104,monthly!$B:$B,"&lt;="&amp;$B104)&gt;0,"NA",AVERAGEIFS(monthly!D:D,monthly!$A:$A,"&gt;="&amp;$A104,monthly!$B:$B,"&lt;="&amp;$B104))</f>
        <v>0.74876666666666658</v>
      </c>
      <c r="M104">
        <f>IF(COUNTIFS(monthly!E:E,"",monthly!$A:$A,"&gt;="&amp;$A104,monthly!$B:$B,"&lt;="&amp;$B104)&gt;0,"NA",AVERAGEIFS(monthly!E:E,monthly!$A:$A,"&gt;="&amp;$A104,monthly!$B:$B,"&lt;="&amp;$B104))</f>
        <v>30.837369495236931</v>
      </c>
      <c r="N104" t="str">
        <f>IF(COUNTIFS(monthly!F:F,"",monthly!$A:$A,"&gt;="&amp;$A104,monthly!$B:$B,"&lt;="&amp;$B104)&gt;0,"NA",AVERAGEIFS(monthly!F:F,monthly!$A:$A,"&gt;="&amp;$A104,monthly!$B:$B,"&lt;="&amp;$B104))</f>
        <v>NA</v>
      </c>
      <c r="O104">
        <f>IF(COUNTIFS(monthly!G:G,"",monthly!$A:$A,"&gt;="&amp;$A104,monthly!$B:$B,"&lt;="&amp;$B104)&gt;0,"NA",AVERAGEIFS(monthly!G:G,monthly!$A:$A,"&gt;="&amp;$A104,monthly!$B:$B,"&lt;="&amp;$B104))</f>
        <v>28.399999999999995</v>
      </c>
      <c r="P104">
        <f>IF(COUNTIFS(monthly!H:H,"",monthly!$A:$A,"&gt;="&amp;$A104,monthly!$B:$B,"&lt;="&amp;$B104)&gt;0,"NA",AVERAGEIFS(monthly!H:H,monthly!$A:$A,"&gt;="&amp;$A104,monthly!$B:$B,"&lt;="&amp;$B104))</f>
        <v>40.966666666666669</v>
      </c>
      <c r="Q104">
        <f>IF(COUNTIFS(monthly!I:I,"",monthly!$A:$A,"&gt;="&amp;$A104,monthly!$B:$B,"&lt;="&amp;$B104)&gt;0,"NA",AVERAGEIFS(monthly!I:I,monthly!$A:$A,"&gt;="&amp;$A104,monthly!$B:$B,"&lt;="&amp;$B104))</f>
        <v>16.266666666666666</v>
      </c>
      <c r="R104">
        <f>IF(COUNTIFS(monthly!J:J,"",monthly!$A:$A,"&gt;="&amp;$A104,monthly!$B:$B,"&lt;="&amp;$B104)&gt;0,"NA",AVERAGEIFS(monthly!J:J,monthly!$A:$A,"&gt;="&amp;$A104,monthly!$B:$B,"&lt;="&amp;$B104))</f>
        <v>3.4666666666666663</v>
      </c>
      <c r="S104">
        <f>IF(COUNTIFS(monthly!K:K,"",monthly!$A:$A,"&gt;="&amp;$A104,monthly!$B:$B,"&lt;="&amp;$B104)&gt;0,"NA",AVERAGEIFS(monthly!K:K,monthly!$A:$A,"&gt;="&amp;$A104,monthly!$B:$B,"&lt;="&amp;$B104))</f>
        <v>7.5</v>
      </c>
      <c r="T104">
        <f>IF(COUNTIFS(monthly!L:L,"",monthly!$A:$A,"&gt;="&amp;$A104,monthly!$B:$B,"&lt;="&amp;$B104)&gt;0,"NA",AVERAGEIFS(monthly!L:L,monthly!$A:$A,"&gt;="&amp;$A104,monthly!$B:$B,"&lt;="&amp;$B104))</f>
        <v>5.797254480286739</v>
      </c>
      <c r="U104">
        <f>IF(COUNTIFS(monthly!M:M,"",monthly!$A:$A,"&gt;="&amp;$A104,monthly!$B:$B,"&lt;="&amp;$B104)&gt;0,"NA",AVERAGEIFS(monthly!M:M,monthly!$A:$A,"&gt;="&amp;$A104,monthly!$B:$B,"&lt;="&amp;$B104))</f>
        <v>1.7027455197132613</v>
      </c>
      <c r="V104">
        <f>IF(COUNTIFS(monthly!N:N,"",monthly!$A:$A,"&gt;="&amp;$A104,monthly!$B:$B,"&lt;="&amp;$B104)&gt;0,"NA",AVERAGEIFS(monthly!N:N,monthly!$A:$A,"&gt;="&amp;$A104,monthly!$B:$B,"&lt;="&amp;$B104))</f>
        <v>7.7361628709454804</v>
      </c>
      <c r="W104">
        <f>IF(COUNTIFS(monthly!O:O,"",monthly!$A:$A,"&gt;="&amp;$A104,monthly!$B:$B,"&lt;="&amp;$B104)&gt;0,"NA",AVERAGEIFS(monthly!O:O,monthly!$A:$A,"&gt;="&amp;$A104,monthly!$B:$B,"&lt;="&amp;$B104))</f>
        <v>5.8556231884057963</v>
      </c>
      <c r="X104">
        <f>IF(COUNTIFS(monthly!P:P,"",monthly!$A:$A,"&gt;="&amp;$A104,monthly!$B:$B,"&lt;="&amp;$B104)&gt;0,"NA",AVERAGEIFS(monthly!P:P,monthly!$A:$A,"&gt;="&amp;$A104,monthly!$B:$B,"&lt;="&amp;$B104))</f>
        <v>1.8805396825396841</v>
      </c>
      <c r="Y104">
        <f>IF(COUNTIFS(monthly!Q:Q,"",monthly!$A:$A,"&gt;="&amp;$A104,monthly!$B:$B,"&lt;="&amp;$B104)&gt;0,"NA",AVERAGEIFS(monthly!Q:Q,monthly!$A:$A,"&gt;="&amp;$A104,monthly!$B:$B,"&lt;="&amp;$B104))</f>
        <v>8.9641476880607325</v>
      </c>
      <c r="Z104">
        <f>IF(COUNTIFS(monthly!R:R,"",monthly!$A:$A,"&gt;="&amp;$A104,monthly!$B:$B,"&lt;="&amp;$B104)&gt;0,"NA",AVERAGEIFS(monthly!R:R,monthly!$A:$A,"&gt;="&amp;$A104,monthly!$B:$B,"&lt;="&amp;$B104))</f>
        <v>6.3212536231884071</v>
      </c>
      <c r="AA104">
        <f>IF(COUNTIFS(monthly!S:S,"",monthly!$A:$A,"&gt;="&amp;$A104,monthly!$B:$B,"&lt;="&amp;$B104)&gt;0,"NA",AVERAGEIFS(monthly!S:S,monthly!$A:$A,"&gt;="&amp;$A104,monthly!$B:$B,"&lt;="&amp;$B104))</f>
        <v>2.6428940648723249</v>
      </c>
      <c r="AB104">
        <f>IF(COUNTIFS(monthly!T:T,"",monthly!$A:$A,"&gt;="&amp;$A104,monthly!$B:$B,"&lt;="&amp;$B104)&gt;0,"NA",AVERAGEIFS(monthly!T:T,monthly!$A:$A,"&gt;="&amp;$A104,monthly!$B:$B,"&lt;="&amp;$B104))</f>
        <v>12.456420289855073</v>
      </c>
      <c r="AC104" t="str">
        <f>IF(COUNTIFS(monthly!U:U,"",monthly!$A:$A,"&gt;="&amp;$A104,monthly!$B:$B,"&lt;="&amp;$B104)&gt;0,"NA",AVERAGEIFS(monthly!U:U,monthly!$A:$A,"&gt;="&amp;$A104,monthly!$B:$B,"&lt;="&amp;$B104))</f>
        <v>NA</v>
      </c>
      <c r="AD104" t="str">
        <f>IF(COUNTIFS(monthly!V:V,"",monthly!$A:$A,"&gt;="&amp;$A104,monthly!$B:$B,"&lt;="&amp;$B104)&gt;0,"NA",AVERAGEIFS(monthly!V:V,monthly!$A:$A,"&gt;="&amp;$A104,monthly!$B:$B,"&lt;="&amp;$B104))</f>
        <v>NA</v>
      </c>
      <c r="AE104">
        <f>IF(COUNTIFS(monthly!W:W,"",monthly!$A:$A,"&gt;="&amp;$A104,monthly!$B:$B,"&lt;="&amp;$B104)&gt;0,"NA",AVERAGEIFS(monthly!W:W,monthly!$A:$A,"&gt;="&amp;$A104,monthly!$B:$B,"&lt;="&amp;$B104))</f>
        <v>95.261789957682296</v>
      </c>
      <c r="AF104">
        <f>IF(COUNTIFS(monthly!X:X,"",monthly!$A:$A,"&gt;="&amp;$A104,monthly!$B:$B,"&lt;="&amp;$B104)&gt;0,"NA",AVERAGEIFS(monthly!X:X,monthly!$A:$A,"&gt;="&amp;$A104,monthly!$B:$B,"&lt;="&amp;$B104))</f>
        <v>102.26870727539062</v>
      </c>
      <c r="AG104">
        <f>IF(COUNTIFS(monthly!Y:Y,"",monthly!$A:$A,"&gt;="&amp;$A104,monthly!$B:$B,"&lt;="&amp;$B104)&gt;0,"NA",AVERAGEIFS(monthly!Y:Y,monthly!$A:$A,"&gt;="&amp;$A104,monthly!$B:$B,"&lt;="&amp;$B104))</f>
        <v>89.927485148111984</v>
      </c>
      <c r="AH104">
        <f>IF(COUNTIFS(monthly!Z:Z,"",monthly!$A:$A,"&gt;="&amp;$A104,monthly!$B:$B,"&lt;="&amp;$B104)&gt;0,"NA",AVERAGEIFS(monthly!Z:Z,monthly!$A:$A,"&gt;="&amp;$A104,monthly!$B:$B,"&lt;="&amp;$B104))</f>
        <v>9.800788263479869E-2</v>
      </c>
    </row>
    <row r="105" spans="1:34" x14ac:dyDescent="0.2">
      <c r="A105" s="1">
        <v>34973</v>
      </c>
      <c r="B105" s="1">
        <v>35063</v>
      </c>
      <c r="C105">
        <f>IF(ISBLANK(VLOOKUP($A105,quarterly_data,MATCH(C$1,quarterly!$1:$1,FALSE),FALSE)),"NA",VLOOKUP($A105,quarterly_data,MATCH(C$1,quarterly!$1:$1,FALSE),FALSE))</f>
        <v>100.91508489030775</v>
      </c>
      <c r="D105">
        <f>IF(ISBLANK(VLOOKUP($A105,quarterly_data,MATCH(D$1,quarterly!$1:$1,FALSE),FALSE)),"NA",VLOOKUP($A105,quarterly_data,MATCH(D$1,quarterly!$1:$1,FALSE),FALSE))</f>
        <v>50.4</v>
      </c>
      <c r="E105">
        <f>IF(ISBLANK(VLOOKUP($A105,quarterly_data,MATCH(E$1,quarterly!$1:$1,FALSE),FALSE)),"NA",VLOOKUP($A105,quarterly_data,MATCH(E$1,quarterly!$1:$1,FALSE),FALSE))</f>
        <v>6.4127199999999995E-2</v>
      </c>
      <c r="F105">
        <f>IF(ISBLANK(VLOOKUP($A105,quarterly_data,MATCH(F$1,quarterly!$1:$1,FALSE),FALSE)),"NA",VLOOKUP($A105,quarterly_data,MATCH(F$1,quarterly!$1:$1,FALSE),FALSE))</f>
        <v>1.7364600000000001E-2</v>
      </c>
      <c r="G105">
        <f>IF(ISBLANK(VLOOKUP($A105,quarterly_data,MATCH(G$1,quarterly!$1:$1,FALSE),FALSE)),"NA",VLOOKUP($A105,quarterly_data,MATCH(G$1,quarterly!$1:$1,FALSE),FALSE))</f>
        <v>11528.066999999999</v>
      </c>
      <c r="H105">
        <f>IF(ISBLANK(VLOOKUP($A105,quarterly_data,MATCH(H$1,quarterly!$1:$1,FALSE),FALSE)),"NA",VLOOKUP($A105,quarterly_data,MATCH(H$1,quarterly!$1:$1,FALSE),FALSE))</f>
        <v>292613</v>
      </c>
      <c r="I105">
        <f>IF(ISBLANK(VLOOKUP($A105,quarterly_data,MATCH(I$1,quarterly!$1:$1,FALSE),FALSE)),"NA",VLOOKUP($A105,quarterly_data,MATCH(I$1,quarterly!$1:$1,FALSE),FALSE))</f>
        <v>0.7</v>
      </c>
      <c r="J105">
        <f>IF(ISBLANK(VLOOKUP($A105,quarterly_data,MATCH(J$1,quarterly!$1:$1,FALSE),FALSE)),"NA",VLOOKUP($A105,quarterly_data,MATCH(J$1,quarterly!$1:$1,FALSE),FALSE))</f>
        <v>45.81</v>
      </c>
      <c r="K105">
        <f>IF(COUNTIFS(monthly!C:C,"",monthly!$A:$A,"&gt;="&amp;$A105,monthly!$B:$B,"&lt;="&amp;$B105)&gt;0,"NA",AVERAGEIFS(monthly!C:C,monthly!$A:$A,"&gt;="&amp;$A105,monthly!$B:$B,"&lt;="&amp;$B105))</f>
        <v>54.05</v>
      </c>
      <c r="L105">
        <f>IF(COUNTIFS(monthly!D:D,"",monthly!$A:$A,"&gt;="&amp;$A105,monthly!$B:$B,"&lt;="&amp;$B105)&gt;0,"NA",AVERAGEIFS(monthly!D:D,monthly!$A:$A,"&gt;="&amp;$A105,monthly!$B:$B,"&lt;="&amp;$B105))</f>
        <v>0.75175000000000003</v>
      </c>
      <c r="M105">
        <f>IF(COUNTIFS(monthly!E:E,"",monthly!$A:$A,"&gt;="&amp;$A105,monthly!$B:$B,"&lt;="&amp;$B105)&gt;0,"NA",AVERAGEIFS(monthly!E:E,monthly!$A:$A,"&gt;="&amp;$A105,monthly!$B:$B,"&lt;="&amp;$B105))</f>
        <v>30.971381683792949</v>
      </c>
      <c r="N105" t="str">
        <f>IF(COUNTIFS(monthly!F:F,"",monthly!$A:$A,"&gt;="&amp;$A105,monthly!$B:$B,"&lt;="&amp;$B105)&gt;0,"NA",AVERAGEIFS(monthly!F:F,monthly!$A:$A,"&gt;="&amp;$A105,monthly!$B:$B,"&lt;="&amp;$B105))</f>
        <v>NA</v>
      </c>
      <c r="O105">
        <f>IF(COUNTIFS(monthly!G:G,"",monthly!$A:$A,"&gt;="&amp;$A105,monthly!$B:$B,"&lt;="&amp;$B105)&gt;0,"NA",AVERAGEIFS(monthly!G:G,monthly!$A:$A,"&gt;="&amp;$A105,monthly!$B:$B,"&lt;="&amp;$B105))</f>
        <v>28.4</v>
      </c>
      <c r="P105">
        <f>IF(COUNTIFS(monthly!H:H,"",monthly!$A:$A,"&gt;="&amp;$A105,monthly!$B:$B,"&lt;="&amp;$B105)&gt;0,"NA",AVERAGEIFS(monthly!H:H,monthly!$A:$A,"&gt;="&amp;$A105,monthly!$B:$B,"&lt;="&amp;$B105))</f>
        <v>40.299999999999997</v>
      </c>
      <c r="Q105">
        <f>IF(COUNTIFS(monthly!I:I,"",monthly!$A:$A,"&gt;="&amp;$A105,monthly!$B:$B,"&lt;="&amp;$B105)&gt;0,"NA",AVERAGEIFS(monthly!I:I,monthly!$A:$A,"&gt;="&amp;$A105,monthly!$B:$B,"&lt;="&amp;$B105))</f>
        <v>16.5</v>
      </c>
      <c r="R105">
        <f>IF(COUNTIFS(monthly!J:J,"",monthly!$A:$A,"&gt;="&amp;$A105,monthly!$B:$B,"&lt;="&amp;$B105)&gt;0,"NA",AVERAGEIFS(monthly!J:J,monthly!$A:$A,"&gt;="&amp;$A105,monthly!$B:$B,"&lt;="&amp;$B105))</f>
        <v>3.43</v>
      </c>
      <c r="S105">
        <f>IF(COUNTIFS(monthly!K:K,"",monthly!$A:$A,"&gt;="&amp;$A105,monthly!$B:$B,"&lt;="&amp;$B105)&gt;0,"NA",AVERAGEIFS(monthly!K:K,monthly!$A:$A,"&gt;="&amp;$A105,monthly!$B:$B,"&lt;="&amp;$B105))</f>
        <v>7.5</v>
      </c>
      <c r="T105">
        <f>IF(COUNTIFS(monthly!L:L,"",monthly!$A:$A,"&gt;="&amp;$A105,monthly!$B:$B,"&lt;="&amp;$B105)&gt;0,"NA",AVERAGEIFS(monthly!L:L,monthly!$A:$A,"&gt;="&amp;$A105,monthly!$B:$B,"&lt;="&amp;$B105))</f>
        <v>5.7795645161290334</v>
      </c>
      <c r="U105">
        <f>IF(COUNTIFS(monthly!M:M,"",monthly!$A:$A,"&gt;="&amp;$A105,monthly!$B:$B,"&lt;="&amp;$B105)&gt;0,"NA",AVERAGEIFS(monthly!M:M,monthly!$A:$A,"&gt;="&amp;$A105,monthly!$B:$B,"&lt;="&amp;$B105))</f>
        <v>1.720435483870967</v>
      </c>
      <c r="V105">
        <f>IF(COUNTIFS(monthly!N:N,"",monthly!$A:$A,"&gt;="&amp;$A105,monthly!$B:$B,"&lt;="&amp;$B105)&gt;0,"NA",AVERAGEIFS(monthly!N:N,monthly!$A:$A,"&gt;="&amp;$A105,monthly!$B:$B,"&lt;="&amp;$B105))</f>
        <v>7.5418181818181811</v>
      </c>
      <c r="W105">
        <f>IF(COUNTIFS(monthly!O:O,"",monthly!$A:$A,"&gt;="&amp;$A105,monthly!$B:$B,"&lt;="&amp;$B105)&gt;0,"NA",AVERAGEIFS(monthly!O:O,monthly!$A:$A,"&gt;="&amp;$A105,monthly!$B:$B,"&lt;="&amp;$B105))</f>
        <v>5.5878571428571426</v>
      </c>
      <c r="X105">
        <f>IF(COUNTIFS(monthly!P:P,"",monthly!$A:$A,"&gt;="&amp;$A105,monthly!$B:$B,"&lt;="&amp;$B105)&gt;0,"NA",AVERAGEIFS(monthly!P:P,monthly!$A:$A,"&gt;="&amp;$A105,monthly!$B:$B,"&lt;="&amp;$B105))</f>
        <v>1.9539610389610385</v>
      </c>
      <c r="Y105">
        <f>IF(COUNTIFS(monthly!Q:Q,"",monthly!$A:$A,"&gt;="&amp;$A105,monthly!$B:$B,"&lt;="&amp;$B105)&gt;0,"NA",AVERAGEIFS(monthly!Q:Q,monthly!$A:$A,"&gt;="&amp;$A105,monthly!$B:$B,"&lt;="&amp;$B105))</f>
        <v>8.5018181818181819</v>
      </c>
      <c r="Z105">
        <f>IF(COUNTIFS(monthly!R:R,"",monthly!$A:$A,"&gt;="&amp;$A105,monthly!$B:$B,"&lt;="&amp;$B105)&gt;0,"NA",AVERAGEIFS(monthly!R:R,monthly!$A:$A,"&gt;="&amp;$A105,monthly!$B:$B,"&lt;="&amp;$B105))</f>
        <v>5.987619047619047</v>
      </c>
      <c r="AA105">
        <f>IF(COUNTIFS(monthly!S:S,"",monthly!$A:$A,"&gt;="&amp;$A105,monthly!$B:$B,"&lt;="&amp;$B105)&gt;0,"NA",AVERAGEIFS(monthly!S:S,monthly!$A:$A,"&gt;="&amp;$A105,monthly!$B:$B,"&lt;="&amp;$B105))</f>
        <v>2.5141991341991345</v>
      </c>
      <c r="AB105">
        <f>IF(COUNTIFS(monthly!T:T,"",monthly!$A:$A,"&gt;="&amp;$A105,monthly!$B:$B,"&lt;="&amp;$B105)&gt;0,"NA",AVERAGEIFS(monthly!T:T,monthly!$A:$A,"&gt;="&amp;$A105,monthly!$B:$B,"&lt;="&amp;$B105))</f>
        <v>13.413160173160172</v>
      </c>
      <c r="AC105" t="str">
        <f>IF(COUNTIFS(monthly!U:U,"",monthly!$A:$A,"&gt;="&amp;$A105,monthly!$B:$B,"&lt;="&amp;$B105)&gt;0,"NA",AVERAGEIFS(monthly!U:U,monthly!$A:$A,"&gt;="&amp;$A105,monthly!$B:$B,"&lt;="&amp;$B105))</f>
        <v>NA</v>
      </c>
      <c r="AD105" t="str">
        <f>IF(COUNTIFS(monthly!V:V,"",monthly!$A:$A,"&gt;="&amp;$A105,monthly!$B:$B,"&lt;="&amp;$B105)&gt;0,"NA",AVERAGEIFS(monthly!V:V,monthly!$A:$A,"&gt;="&amp;$A105,monthly!$B:$B,"&lt;="&amp;$B105))</f>
        <v>NA</v>
      </c>
      <c r="AE105">
        <f>IF(COUNTIFS(monthly!W:W,"",monthly!$A:$A,"&gt;="&amp;$A105,monthly!$B:$B,"&lt;="&amp;$B105)&gt;0,"NA",AVERAGEIFS(monthly!W:W,monthly!$A:$A,"&gt;="&amp;$A105,monthly!$B:$B,"&lt;="&amp;$B105))</f>
        <v>72.037498474121094</v>
      </c>
      <c r="AF105">
        <f>IF(COUNTIFS(monthly!X:X,"",monthly!$A:$A,"&gt;="&amp;$A105,monthly!$B:$B,"&lt;="&amp;$B105)&gt;0,"NA",AVERAGEIFS(monthly!X:X,monthly!$A:$A,"&gt;="&amp;$A105,monthly!$B:$B,"&lt;="&amp;$B105))</f>
        <v>71.545215606689453</v>
      </c>
      <c r="AG105">
        <f>IF(COUNTIFS(monthly!Y:Y,"",monthly!$A:$A,"&gt;="&amp;$A105,monthly!$B:$B,"&lt;="&amp;$B105)&gt;0,"NA",AVERAGEIFS(monthly!Y:Y,monthly!$A:$A,"&gt;="&amp;$A105,monthly!$B:$B,"&lt;="&amp;$B105))</f>
        <v>69.496181488037109</v>
      </c>
      <c r="AH105">
        <f>IF(COUNTIFS(monthly!Z:Z,"",monthly!$A:$A,"&gt;="&amp;$A105,monthly!$B:$B,"&lt;="&amp;$B105)&gt;0,"NA",AVERAGEIFS(monthly!Z:Z,monthly!$A:$A,"&gt;="&amp;$A105,monthly!$B:$B,"&lt;="&amp;$B105))</f>
        <v>5.3991613909602165E-2</v>
      </c>
    </row>
    <row r="106" spans="1:34" x14ac:dyDescent="0.2">
      <c r="A106" s="1">
        <v>35065</v>
      </c>
      <c r="B106" s="1">
        <v>35154</v>
      </c>
      <c r="C106">
        <f>IF(ISBLANK(VLOOKUP($A106,quarterly_data,MATCH(C$1,quarterly!$1:$1,FALSE),FALSE)),"NA",VLOOKUP($A106,quarterly_data,MATCH(C$1,quarterly!$1:$1,FALSE),FALSE))</f>
        <v>103.1229432497979</v>
      </c>
      <c r="D106">
        <f>IF(ISBLANK(VLOOKUP($A106,quarterly_data,MATCH(D$1,quarterly!$1:$1,FALSE),FALSE)),"NA",VLOOKUP($A106,quarterly_data,MATCH(D$1,quarterly!$1:$1,FALSE),FALSE))</f>
        <v>51.1</v>
      </c>
      <c r="E106">
        <f>IF(ISBLANK(VLOOKUP($A106,quarterly_data,MATCH(E$1,quarterly!$1:$1,FALSE),FALSE)),"NA",VLOOKUP($A106,quarterly_data,MATCH(E$1,quarterly!$1:$1,FALSE),FALSE))</f>
        <v>0.22746230000000001</v>
      </c>
      <c r="F106">
        <f>IF(ISBLANK(VLOOKUP($A106,quarterly_data,MATCH(F$1,quarterly!$1:$1,FALSE),FALSE)),"NA",VLOOKUP($A106,quarterly_data,MATCH(F$1,quarterly!$1:$1,FALSE),FALSE))</f>
        <v>5.1905199999999999E-2</v>
      </c>
      <c r="G106">
        <f>IF(ISBLANK(VLOOKUP($A106,quarterly_data,MATCH(G$1,quarterly!$1:$1,FALSE),FALSE)),"NA",VLOOKUP($A106,quarterly_data,MATCH(G$1,quarterly!$1:$1,FALSE),FALSE))</f>
        <v>11614.418</v>
      </c>
      <c r="H106">
        <f>IF(ISBLANK(VLOOKUP($A106,quarterly_data,MATCH(H$1,quarterly!$1:$1,FALSE),FALSE)),"NA",VLOOKUP($A106,quarterly_data,MATCH(H$1,quarterly!$1:$1,FALSE),FALSE))</f>
        <v>297071</v>
      </c>
      <c r="I106">
        <f>IF(ISBLANK(VLOOKUP($A106,quarterly_data,MATCH(I$1,quarterly!$1:$1,FALSE),FALSE)),"NA",VLOOKUP($A106,quarterly_data,MATCH(I$1,quarterly!$1:$1,FALSE),FALSE))</f>
        <v>0.6</v>
      </c>
      <c r="J106">
        <f>IF(ISBLANK(VLOOKUP($A106,quarterly_data,MATCH(J$1,quarterly!$1:$1,FALSE),FALSE)),"NA",VLOOKUP($A106,quarterly_data,MATCH(J$1,quarterly!$1:$1,FALSE),FALSE))</f>
        <v>46</v>
      </c>
      <c r="K106">
        <f>IF(COUNTIFS(monthly!C:C,"",monthly!$A:$A,"&gt;="&amp;$A106,monthly!$B:$B,"&lt;="&amp;$B106)&gt;0,"NA",AVERAGEIFS(monthly!C:C,monthly!$A:$A,"&gt;="&amp;$A106,monthly!$B:$B,"&lt;="&amp;$B106))</f>
        <v>55.1</v>
      </c>
      <c r="L106">
        <f>IF(COUNTIFS(monthly!D:D,"",monthly!$A:$A,"&gt;="&amp;$A106,monthly!$B:$B,"&lt;="&amp;$B106)&gt;0,"NA",AVERAGEIFS(monthly!D:D,monthly!$A:$A,"&gt;="&amp;$A106,monthly!$B:$B,"&lt;="&amp;$B106))</f>
        <v>0.75409999999999999</v>
      </c>
      <c r="M106">
        <f>IF(COUNTIFS(monthly!E:E,"",monthly!$A:$A,"&gt;="&amp;$A106,monthly!$B:$B,"&lt;="&amp;$B106)&gt;0,"NA",AVERAGEIFS(monthly!E:E,monthly!$A:$A,"&gt;="&amp;$A106,monthly!$B:$B,"&lt;="&amp;$B106))</f>
        <v>31.763720402308152</v>
      </c>
      <c r="N106" t="str">
        <f>IF(COUNTIFS(monthly!F:F,"",monthly!$A:$A,"&gt;="&amp;$A106,monthly!$B:$B,"&lt;="&amp;$B106)&gt;0,"NA",AVERAGEIFS(monthly!F:F,monthly!$A:$A,"&gt;="&amp;$A106,monthly!$B:$B,"&lt;="&amp;$B106))</f>
        <v>NA</v>
      </c>
      <c r="O106">
        <f>IF(COUNTIFS(monthly!G:G,"",monthly!$A:$A,"&gt;="&amp;$A106,monthly!$B:$B,"&lt;="&amp;$B106)&gt;0,"NA",AVERAGEIFS(monthly!G:G,monthly!$A:$A,"&gt;="&amp;$A106,monthly!$B:$B,"&lt;="&amp;$B106))</f>
        <v>30</v>
      </c>
      <c r="P106">
        <f>IF(COUNTIFS(monthly!H:H,"",monthly!$A:$A,"&gt;="&amp;$A106,monthly!$B:$B,"&lt;="&amp;$B106)&gt;0,"NA",AVERAGEIFS(monthly!H:H,monthly!$A:$A,"&gt;="&amp;$A106,monthly!$B:$B,"&lt;="&amp;$B106))</f>
        <v>39.349999999999994</v>
      </c>
      <c r="Q106">
        <f>IF(COUNTIFS(monthly!I:I,"",monthly!$A:$A,"&gt;="&amp;$A106,monthly!$B:$B,"&lt;="&amp;$B106)&gt;0,"NA",AVERAGEIFS(monthly!I:I,monthly!$A:$A,"&gt;="&amp;$A106,monthly!$B:$B,"&lt;="&amp;$B106))</f>
        <v>17.95</v>
      </c>
      <c r="R106">
        <f>IF(COUNTIFS(monthly!J:J,"",monthly!$A:$A,"&gt;="&amp;$A106,monthly!$B:$B,"&lt;="&amp;$B106)&gt;0,"NA",AVERAGEIFS(monthly!J:J,monthly!$A:$A,"&gt;="&amp;$A106,monthly!$B:$B,"&lt;="&amp;$B106))</f>
        <v>3.4550000000000001</v>
      </c>
      <c r="S106">
        <f>IF(COUNTIFS(monthly!K:K,"",monthly!$A:$A,"&gt;="&amp;$A106,monthly!$B:$B,"&lt;="&amp;$B106)&gt;0,"NA",AVERAGEIFS(monthly!K:K,monthly!$A:$A,"&gt;="&amp;$A106,monthly!$B:$B,"&lt;="&amp;$B106))</f>
        <v>7.5</v>
      </c>
      <c r="T106">
        <f>IF(COUNTIFS(monthly!L:L,"",monthly!$A:$A,"&gt;="&amp;$A106,monthly!$B:$B,"&lt;="&amp;$B106)&gt;0,"NA",AVERAGEIFS(monthly!L:L,monthly!$A:$A,"&gt;="&amp;$A106,monthly!$B:$B,"&lt;="&amp;$B106))</f>
        <v>5.3946607341490544</v>
      </c>
      <c r="U106">
        <f>IF(COUNTIFS(monthly!M:M,"",monthly!$A:$A,"&gt;="&amp;$A106,monthly!$B:$B,"&lt;="&amp;$B106)&gt;0,"NA",AVERAGEIFS(monthly!M:M,monthly!$A:$A,"&gt;="&amp;$A106,monthly!$B:$B,"&lt;="&amp;$B106))</f>
        <v>2.1053392658509456</v>
      </c>
      <c r="V106">
        <f>IF(COUNTIFS(monthly!N:N,"",monthly!$A:$A,"&gt;="&amp;$A106,monthly!$B:$B,"&lt;="&amp;$B106)&gt;0,"NA",AVERAGEIFS(monthly!N:N,monthly!$A:$A,"&gt;="&amp;$A106,monthly!$B:$B,"&lt;="&amp;$B106))</f>
        <v>7.4535714285714274</v>
      </c>
      <c r="W106">
        <f>IF(COUNTIFS(monthly!O:O,"",monthly!$A:$A,"&gt;="&amp;$A106,monthly!$B:$B,"&lt;="&amp;$B106)&gt;0,"NA",AVERAGEIFS(monthly!O:O,monthly!$A:$A,"&gt;="&amp;$A106,monthly!$B:$B,"&lt;="&amp;$B106))</f>
        <v>5.0689404761904751</v>
      </c>
      <c r="X106">
        <f>IF(COUNTIFS(monthly!P:P,"",monthly!$A:$A,"&gt;="&amp;$A106,monthly!$B:$B,"&lt;="&amp;$B106)&gt;0,"NA",AVERAGEIFS(monthly!P:P,monthly!$A:$A,"&gt;="&amp;$A106,monthly!$B:$B,"&lt;="&amp;$B106))</f>
        <v>2.3846309523809519</v>
      </c>
      <c r="Y106">
        <f>IF(COUNTIFS(monthly!Q:Q,"",monthly!$A:$A,"&gt;="&amp;$A106,monthly!$B:$B,"&lt;="&amp;$B106)&gt;0,"NA",AVERAGEIFS(monthly!Q:Q,monthly!$A:$A,"&gt;="&amp;$A106,monthly!$B:$B,"&lt;="&amp;$B106))</f>
        <v>8.18047619047619</v>
      </c>
      <c r="Z106">
        <f>IF(COUNTIFS(monthly!R:R,"",monthly!$A:$A,"&gt;="&amp;$A106,monthly!$B:$B,"&lt;="&amp;$B106)&gt;0,"NA",AVERAGEIFS(monthly!R:R,monthly!$A:$A,"&gt;="&amp;$A106,monthly!$B:$B,"&lt;="&amp;$B106))</f>
        <v>5.728940476190477</v>
      </c>
      <c r="AA106">
        <f>IF(COUNTIFS(monthly!S:S,"",monthly!$A:$A,"&gt;="&amp;$A106,monthly!$B:$B,"&lt;="&amp;$B106)&gt;0,"NA",AVERAGEIFS(monthly!S:S,monthly!$A:$A,"&gt;="&amp;$A106,monthly!$B:$B,"&lt;="&amp;$B106))</f>
        <v>2.4515357142857135</v>
      </c>
      <c r="AB106">
        <f>IF(COUNTIFS(monthly!T:T,"",monthly!$A:$A,"&gt;="&amp;$A106,monthly!$B:$B,"&lt;="&amp;$B106)&gt;0,"NA",AVERAGEIFS(monthly!T:T,monthly!$A:$A,"&gt;="&amp;$A106,monthly!$B:$B,"&lt;="&amp;$B106))</f>
        <v>14.25331818181818</v>
      </c>
      <c r="AC106" t="str">
        <f>IF(COUNTIFS(monthly!U:U,"",monthly!$A:$A,"&gt;="&amp;$A106,monthly!$B:$B,"&lt;="&amp;$B106)&gt;0,"NA",AVERAGEIFS(monthly!U:U,monthly!$A:$A,"&gt;="&amp;$A106,monthly!$B:$B,"&lt;="&amp;$B106))</f>
        <v>NA</v>
      </c>
      <c r="AD106" t="str">
        <f>IF(COUNTIFS(monthly!V:V,"",monthly!$A:$A,"&gt;="&amp;$A106,monthly!$B:$B,"&lt;="&amp;$B106)&gt;0,"NA",AVERAGEIFS(monthly!V:V,monthly!$A:$A,"&gt;="&amp;$A106,monthly!$B:$B,"&lt;="&amp;$B106))</f>
        <v>NA</v>
      </c>
      <c r="AE106">
        <f>IF(COUNTIFS(monthly!W:W,"",monthly!$A:$A,"&gt;="&amp;$A106,monthly!$B:$B,"&lt;="&amp;$B106)&gt;0,"NA",AVERAGEIFS(monthly!W:W,monthly!$A:$A,"&gt;="&amp;$A106,monthly!$B:$B,"&lt;="&amp;$B106))</f>
        <v>78.027923583984375</v>
      </c>
      <c r="AF106">
        <f>IF(COUNTIFS(monthly!X:X,"",monthly!$A:$A,"&gt;="&amp;$A106,monthly!$B:$B,"&lt;="&amp;$B106)&gt;0,"NA",AVERAGEIFS(monthly!X:X,monthly!$A:$A,"&gt;="&amp;$A106,monthly!$B:$B,"&lt;="&amp;$B106))</f>
        <v>79.818027496337891</v>
      </c>
      <c r="AG106">
        <f>IF(COUNTIFS(monthly!Y:Y,"",monthly!$A:$A,"&gt;="&amp;$A106,monthly!$B:$B,"&lt;="&amp;$B106)&gt;0,"NA",AVERAGEIFS(monthly!Y:Y,monthly!$A:$A,"&gt;="&amp;$A106,monthly!$B:$B,"&lt;="&amp;$B106))</f>
        <v>74.420127868652344</v>
      </c>
      <c r="AH106">
        <f>IF(COUNTIFS(monthly!Z:Z,"",monthly!$A:$A,"&gt;="&amp;$A106,monthly!$B:$B,"&lt;="&amp;$B106)&gt;0,"NA",AVERAGEIFS(monthly!Z:Z,monthly!$A:$A,"&gt;="&amp;$A106,monthly!$B:$B,"&lt;="&amp;$B106))</f>
        <v>3.8901930674910545E-2</v>
      </c>
    </row>
    <row r="107" spans="1:34" x14ac:dyDescent="0.2">
      <c r="A107" s="1">
        <v>35156</v>
      </c>
      <c r="B107" s="1">
        <v>35246</v>
      </c>
      <c r="C107">
        <f>IF(ISBLANK(VLOOKUP($A107,quarterly_data,MATCH(C$1,quarterly!$1:$1,FALSE),FALSE)),"NA",VLOOKUP($A107,quarterly_data,MATCH(C$1,quarterly!$1:$1,FALSE),FALSE))</f>
        <v>108.52970213380728</v>
      </c>
      <c r="D107">
        <f>IF(ISBLANK(VLOOKUP($A107,quarterly_data,MATCH(D$1,quarterly!$1:$1,FALSE),FALSE)),"NA",VLOOKUP($A107,quarterly_data,MATCH(D$1,quarterly!$1:$1,FALSE),FALSE))</f>
        <v>52.1</v>
      </c>
      <c r="E107">
        <f>IF(ISBLANK(VLOOKUP($A107,quarterly_data,MATCH(E$1,quarterly!$1:$1,FALSE),FALSE)),"NA",VLOOKUP($A107,quarterly_data,MATCH(E$1,quarterly!$1:$1,FALSE),FALSE))</f>
        <v>7.3730000000000004E-2</v>
      </c>
      <c r="F107">
        <f>IF(ISBLANK(VLOOKUP($A107,quarterly_data,MATCH(F$1,quarterly!$1:$1,FALSE),FALSE)),"NA",VLOOKUP($A107,quarterly_data,MATCH(F$1,quarterly!$1:$1,FALSE),FALSE))</f>
        <v>3.96298E-2</v>
      </c>
      <c r="G107">
        <f>IF(ISBLANK(VLOOKUP($A107,quarterly_data,MATCH(G$1,quarterly!$1:$1,FALSE),FALSE)),"NA",VLOOKUP($A107,quarterly_data,MATCH(G$1,quarterly!$1:$1,FALSE),FALSE))</f>
        <v>11808.14</v>
      </c>
      <c r="H107">
        <f>IF(ISBLANK(VLOOKUP($A107,quarterly_data,MATCH(H$1,quarterly!$1:$1,FALSE),FALSE)),"NA",VLOOKUP($A107,quarterly_data,MATCH(H$1,quarterly!$1:$1,FALSE),FALSE))</f>
        <v>298977</v>
      </c>
      <c r="I107">
        <f>IF(ISBLANK(VLOOKUP($A107,quarterly_data,MATCH(I$1,quarterly!$1:$1,FALSE),FALSE)),"NA",VLOOKUP($A107,quarterly_data,MATCH(I$1,quarterly!$1:$1,FALSE),FALSE))</f>
        <v>0.7</v>
      </c>
      <c r="J107">
        <f>IF(ISBLANK(VLOOKUP($A107,quarterly_data,MATCH(J$1,quarterly!$1:$1,FALSE),FALSE)),"NA",VLOOKUP($A107,quarterly_data,MATCH(J$1,quarterly!$1:$1,FALSE),FALSE))</f>
        <v>46.31</v>
      </c>
      <c r="K107">
        <f>IF(COUNTIFS(monthly!C:C,"",monthly!$A:$A,"&gt;="&amp;$A107,monthly!$B:$B,"&lt;="&amp;$B107)&gt;0,"NA",AVERAGEIFS(monthly!C:C,monthly!$A:$A,"&gt;="&amp;$A107,monthly!$B:$B,"&lt;="&amp;$B107))</f>
        <v>57.966666666666669</v>
      </c>
      <c r="L107">
        <f>IF(COUNTIFS(monthly!D:D,"",monthly!$A:$A,"&gt;="&amp;$A107,monthly!$B:$B,"&lt;="&amp;$B107)&gt;0,"NA",AVERAGEIFS(monthly!D:D,monthly!$A:$A,"&gt;="&amp;$A107,monthly!$B:$B,"&lt;="&amp;$B107))</f>
        <v>0.79090000000000005</v>
      </c>
      <c r="M107">
        <f>IF(COUNTIFS(monthly!E:E,"",monthly!$A:$A,"&gt;="&amp;$A107,monthly!$B:$B,"&lt;="&amp;$B107)&gt;0,"NA",AVERAGEIFS(monthly!E:E,monthly!$A:$A,"&gt;="&amp;$A107,monthly!$B:$B,"&lt;="&amp;$B107))</f>
        <v>32.521189518831704</v>
      </c>
      <c r="N107" t="str">
        <f>IF(COUNTIFS(monthly!F:F,"",monthly!$A:$A,"&gt;="&amp;$A107,monthly!$B:$B,"&lt;="&amp;$B107)&gt;0,"NA",AVERAGEIFS(monthly!F:F,monthly!$A:$A,"&gt;="&amp;$A107,monthly!$B:$B,"&lt;="&amp;$B107))</f>
        <v>NA</v>
      </c>
      <c r="O107">
        <f>IF(COUNTIFS(monthly!G:G,"",monthly!$A:$A,"&gt;="&amp;$A107,monthly!$B:$B,"&lt;="&amp;$B107)&gt;0,"NA",AVERAGEIFS(monthly!G:G,monthly!$A:$A,"&gt;="&amp;$A107,monthly!$B:$B,"&lt;="&amp;$B107))</f>
        <v>30</v>
      </c>
      <c r="P107">
        <f>IF(COUNTIFS(monthly!H:H,"",monthly!$A:$A,"&gt;="&amp;$A107,monthly!$B:$B,"&lt;="&amp;$B107)&gt;0,"NA",AVERAGEIFS(monthly!H:H,monthly!$A:$A,"&gt;="&amp;$A107,monthly!$B:$B,"&lt;="&amp;$B107))</f>
        <v>38.56666666666667</v>
      </c>
      <c r="Q107">
        <f>IF(COUNTIFS(monthly!I:I,"",monthly!$A:$A,"&gt;="&amp;$A107,monthly!$B:$B,"&lt;="&amp;$B107)&gt;0,"NA",AVERAGEIFS(monthly!I:I,monthly!$A:$A,"&gt;="&amp;$A107,monthly!$B:$B,"&lt;="&amp;$B107))</f>
        <v>19.466666666666669</v>
      </c>
      <c r="R107">
        <f>IF(COUNTIFS(monthly!J:J,"",monthly!$A:$A,"&gt;="&amp;$A107,monthly!$B:$B,"&lt;="&amp;$B107)&gt;0,"NA",AVERAGEIFS(monthly!J:J,monthly!$A:$A,"&gt;="&amp;$A107,monthly!$B:$B,"&lt;="&amp;$B107))</f>
        <v>3.5866666666666664</v>
      </c>
      <c r="S107">
        <f>IF(COUNTIFS(monthly!K:K,"",monthly!$A:$A,"&gt;="&amp;$A107,monthly!$B:$B,"&lt;="&amp;$B107)&gt;0,"NA",AVERAGEIFS(monthly!K:K,monthly!$A:$A,"&gt;="&amp;$A107,monthly!$B:$B,"&lt;="&amp;$B107))</f>
        <v>7.5</v>
      </c>
      <c r="T107">
        <f>IF(COUNTIFS(monthly!L:L,"",monthly!$A:$A,"&gt;="&amp;$A107,monthly!$B:$B,"&lt;="&amp;$B107)&gt;0,"NA",AVERAGEIFS(monthly!L:L,monthly!$A:$A,"&gt;="&amp;$A107,monthly!$B:$B,"&lt;="&amp;$B107))</f>
        <v>5.2440537634408608</v>
      </c>
      <c r="U107">
        <f>IF(COUNTIFS(monthly!M:M,"",monthly!$A:$A,"&gt;="&amp;$A107,monthly!$B:$B,"&lt;="&amp;$B107)&gt;0,"NA",AVERAGEIFS(monthly!M:M,monthly!$A:$A,"&gt;="&amp;$A107,monthly!$B:$B,"&lt;="&amp;$B107))</f>
        <v>2.2559462365591387</v>
      </c>
      <c r="V107">
        <f>IF(COUNTIFS(monthly!N:N,"",monthly!$A:$A,"&gt;="&amp;$A107,monthly!$B:$B,"&lt;="&amp;$B107)&gt;0,"NA",AVERAGEIFS(monthly!N:N,monthly!$A:$A,"&gt;="&amp;$A107,monthly!$B:$B,"&lt;="&amp;$B107))</f>
        <v>8.1586270022883287</v>
      </c>
      <c r="W107">
        <f>IF(COUNTIFS(monthly!O:O,"",monthly!$A:$A,"&gt;="&amp;$A107,monthly!$B:$B,"&lt;="&amp;$B107)&gt;0,"NA",AVERAGEIFS(monthly!O:O,monthly!$A:$A,"&gt;="&amp;$A107,monthly!$B:$B,"&lt;="&amp;$B107))</f>
        <v>6.1164242424242419</v>
      </c>
      <c r="X107">
        <f>IF(COUNTIFS(monthly!P:P,"",monthly!$A:$A,"&gt;="&amp;$A107,monthly!$B:$B,"&lt;="&amp;$B107)&gt;0,"NA",AVERAGEIFS(monthly!P:P,monthly!$A:$A,"&gt;="&amp;$A107,monthly!$B:$B,"&lt;="&amp;$B107))</f>
        <v>2.0422027598640868</v>
      </c>
      <c r="Y107">
        <f>IF(COUNTIFS(monthly!Q:Q,"",monthly!$A:$A,"&gt;="&amp;$A107,monthly!$B:$B,"&lt;="&amp;$B107)&gt;0,"NA",AVERAGEIFS(monthly!Q:Q,monthly!$A:$A,"&gt;="&amp;$A107,monthly!$B:$B,"&lt;="&amp;$B107))</f>
        <v>8.8791456903127397</v>
      </c>
      <c r="Z107">
        <f>IF(COUNTIFS(monthly!R:R,"",monthly!$A:$A,"&gt;="&amp;$A107,monthly!$B:$B,"&lt;="&amp;$B107)&gt;0,"NA",AVERAGEIFS(monthly!R:R,monthly!$A:$A,"&gt;="&amp;$A107,monthly!$B:$B,"&lt;="&amp;$B107))</f>
        <v>6.7200606060606063</v>
      </c>
      <c r="AA107">
        <f>IF(COUNTIFS(monthly!S:S,"",monthly!$A:$A,"&gt;="&amp;$A107,monthly!$B:$B,"&lt;="&amp;$B107)&gt;0,"NA",AVERAGEIFS(monthly!S:S,monthly!$A:$A,"&gt;="&amp;$A107,monthly!$B:$B,"&lt;="&amp;$B107))</f>
        <v>2.1590850842521339</v>
      </c>
      <c r="AB107">
        <f>IF(COUNTIFS(monthly!T:T,"",monthly!$A:$A,"&gt;="&amp;$A107,monthly!$B:$B,"&lt;="&amp;$B107)&gt;0,"NA",AVERAGEIFS(monthly!T:T,monthly!$A:$A,"&gt;="&amp;$A107,monthly!$B:$B,"&lt;="&amp;$B107))</f>
        <v>16.37220057720058</v>
      </c>
      <c r="AC107" t="str">
        <f>IF(COUNTIFS(monthly!U:U,"",monthly!$A:$A,"&gt;="&amp;$A107,monthly!$B:$B,"&lt;="&amp;$B107)&gt;0,"NA",AVERAGEIFS(monthly!U:U,monthly!$A:$A,"&gt;="&amp;$A107,monthly!$B:$B,"&lt;="&amp;$B107))</f>
        <v>NA</v>
      </c>
      <c r="AD107" t="str">
        <f>IF(COUNTIFS(monthly!V:V,"",monthly!$A:$A,"&gt;="&amp;$A107,monthly!$B:$B,"&lt;="&amp;$B107)&gt;0,"NA",AVERAGEIFS(monthly!V:V,monthly!$A:$A,"&gt;="&amp;$A107,monthly!$B:$B,"&lt;="&amp;$B107))</f>
        <v>NA</v>
      </c>
      <c r="AE107">
        <f>IF(COUNTIFS(monthly!W:W,"",monthly!$A:$A,"&gt;="&amp;$A107,monthly!$B:$B,"&lt;="&amp;$B107)&gt;0,"NA",AVERAGEIFS(monthly!W:W,monthly!$A:$A,"&gt;="&amp;$A107,monthly!$B:$B,"&lt;="&amp;$B107))</f>
        <v>73.149342854817704</v>
      </c>
      <c r="AF107">
        <f>IF(COUNTIFS(monthly!X:X,"",monthly!$A:$A,"&gt;="&amp;$A107,monthly!$B:$B,"&lt;="&amp;$B107)&gt;0,"NA",AVERAGEIFS(monthly!X:X,monthly!$A:$A,"&gt;="&amp;$A107,monthly!$B:$B,"&lt;="&amp;$B107))</f>
        <v>67.650299072265625</v>
      </c>
      <c r="AG107">
        <f>IF(COUNTIFS(monthly!Y:Y,"",monthly!$A:$A,"&gt;="&amp;$A107,monthly!$B:$B,"&lt;="&amp;$B107)&gt;0,"NA",AVERAGEIFS(monthly!Y:Y,monthly!$A:$A,"&gt;="&amp;$A107,monthly!$B:$B,"&lt;="&amp;$B107))</f>
        <v>76.342425028483078</v>
      </c>
      <c r="AH107">
        <f>IF(COUNTIFS(monthly!Z:Z,"",monthly!$A:$A,"&gt;="&amp;$A107,monthly!$B:$B,"&lt;="&amp;$B107)&gt;0,"NA",AVERAGEIFS(monthly!Z:Z,monthly!$A:$A,"&gt;="&amp;$A107,monthly!$B:$B,"&lt;="&amp;$B107))</f>
        <v>4.9789578964312874E-2</v>
      </c>
    </row>
    <row r="108" spans="1:34" x14ac:dyDescent="0.2">
      <c r="A108" s="1">
        <v>35247</v>
      </c>
      <c r="B108" s="1">
        <v>35338</v>
      </c>
      <c r="C108">
        <f>IF(ISBLANK(VLOOKUP($A108,quarterly_data,MATCH(C$1,quarterly!$1:$1,FALSE),FALSE)),"NA",VLOOKUP($A108,quarterly_data,MATCH(C$1,quarterly!$1:$1,FALSE),FALSE))</f>
        <v>108.22504268142789</v>
      </c>
      <c r="D108">
        <f>IF(ISBLANK(VLOOKUP($A108,quarterly_data,MATCH(D$1,quarterly!$1:$1,FALSE),FALSE)),"NA",VLOOKUP($A108,quarterly_data,MATCH(D$1,quarterly!$1:$1,FALSE),FALSE))</f>
        <v>52.2</v>
      </c>
      <c r="E108">
        <f>IF(ISBLANK(VLOOKUP($A108,quarterly_data,MATCH(E$1,quarterly!$1:$1,FALSE),FALSE)),"NA",VLOOKUP($A108,quarterly_data,MATCH(E$1,quarterly!$1:$1,FALSE),FALSE))</f>
        <v>0</v>
      </c>
      <c r="F108">
        <f>IF(ISBLANK(VLOOKUP($A108,quarterly_data,MATCH(F$1,quarterly!$1:$1,FALSE),FALSE)),"NA",VLOOKUP($A108,quarterly_data,MATCH(F$1,quarterly!$1:$1,FALSE),FALSE))</f>
        <v>1.4955100000000001E-2</v>
      </c>
      <c r="G108">
        <f>IF(ISBLANK(VLOOKUP($A108,quarterly_data,MATCH(G$1,quarterly!$1:$1,FALSE),FALSE)),"NA",VLOOKUP($A108,quarterly_data,MATCH(G$1,quarterly!$1:$1,FALSE),FALSE))</f>
        <v>11914.063</v>
      </c>
      <c r="H108">
        <f>IF(ISBLANK(VLOOKUP($A108,quarterly_data,MATCH(H$1,quarterly!$1:$1,FALSE),FALSE)),"NA",VLOOKUP($A108,quarterly_data,MATCH(H$1,quarterly!$1:$1,FALSE),FALSE))</f>
        <v>301413</v>
      </c>
      <c r="I108">
        <f>IF(ISBLANK(VLOOKUP($A108,quarterly_data,MATCH(I$1,quarterly!$1:$1,FALSE),FALSE)),"NA",VLOOKUP($A108,quarterly_data,MATCH(I$1,quarterly!$1:$1,FALSE),FALSE))</f>
        <v>0.5</v>
      </c>
      <c r="J108">
        <f>IF(ISBLANK(VLOOKUP($A108,quarterly_data,MATCH(J$1,quarterly!$1:$1,FALSE),FALSE)),"NA",VLOOKUP($A108,quarterly_data,MATCH(J$1,quarterly!$1:$1,FALSE),FALSE))</f>
        <v>46.43</v>
      </c>
      <c r="K108">
        <f>IF(COUNTIFS(monthly!C:C,"",monthly!$A:$A,"&gt;="&amp;$A108,monthly!$B:$B,"&lt;="&amp;$B108)&gt;0,"NA",AVERAGEIFS(monthly!C:C,monthly!$A:$A,"&gt;="&amp;$A108,monthly!$B:$B,"&lt;="&amp;$B108))</f>
        <v>57.633333333333333</v>
      </c>
      <c r="L108">
        <f>IF(COUNTIFS(monthly!D:D,"",monthly!$A:$A,"&gt;="&amp;$A108,monthly!$B:$B,"&lt;="&amp;$B108)&gt;0,"NA",AVERAGEIFS(monthly!D:D,monthly!$A:$A,"&gt;="&amp;$A108,monthly!$B:$B,"&lt;="&amp;$B108))</f>
        <v>0.78546666666666665</v>
      </c>
      <c r="M108">
        <f>IF(COUNTIFS(monthly!E:E,"",monthly!$A:$A,"&gt;="&amp;$A108,monthly!$B:$B,"&lt;="&amp;$B108)&gt;0,"NA",AVERAGEIFS(monthly!E:E,monthly!$A:$A,"&gt;="&amp;$A108,monthly!$B:$B,"&lt;="&amp;$B108))</f>
        <v>31.881870418222501</v>
      </c>
      <c r="N108" t="str">
        <f>IF(COUNTIFS(monthly!F:F,"",monthly!$A:$A,"&gt;="&amp;$A108,monthly!$B:$B,"&lt;="&amp;$B108)&gt;0,"NA",AVERAGEIFS(monthly!F:F,monthly!$A:$A,"&gt;="&amp;$A108,monthly!$B:$B,"&lt;="&amp;$B108))</f>
        <v>NA</v>
      </c>
      <c r="O108">
        <f>IF(COUNTIFS(monthly!G:G,"",monthly!$A:$A,"&gt;="&amp;$A108,monthly!$B:$B,"&lt;="&amp;$B108)&gt;0,"NA",AVERAGEIFS(monthly!G:G,monthly!$A:$A,"&gt;="&amp;$A108,monthly!$B:$B,"&lt;="&amp;$B108))</f>
        <v>30</v>
      </c>
      <c r="P108">
        <f>IF(COUNTIFS(monthly!H:H,"",monthly!$A:$A,"&gt;="&amp;$A108,monthly!$B:$B,"&lt;="&amp;$B108)&gt;0,"NA",AVERAGEIFS(monthly!H:H,monthly!$A:$A,"&gt;="&amp;$A108,monthly!$B:$B,"&lt;="&amp;$B108))</f>
        <v>38.300000000000004</v>
      </c>
      <c r="Q108">
        <f>IF(COUNTIFS(monthly!I:I,"",monthly!$A:$A,"&gt;="&amp;$A108,monthly!$B:$B,"&lt;="&amp;$B108)&gt;0,"NA",AVERAGEIFS(monthly!I:I,monthly!$A:$A,"&gt;="&amp;$A108,monthly!$B:$B,"&lt;="&amp;$B108))</f>
        <v>20.933333333333334</v>
      </c>
      <c r="R108">
        <f>IF(COUNTIFS(monthly!J:J,"",monthly!$A:$A,"&gt;="&amp;$A108,monthly!$B:$B,"&lt;="&amp;$B108)&gt;0,"NA",AVERAGEIFS(monthly!J:J,monthly!$A:$A,"&gt;="&amp;$A108,monthly!$B:$B,"&lt;="&amp;$B108))</f>
        <v>3.6566666666666667</v>
      </c>
      <c r="S108">
        <f>IF(COUNTIFS(monthly!K:K,"",monthly!$A:$A,"&gt;="&amp;$A108,monthly!$B:$B,"&lt;="&amp;$B108)&gt;0,"NA",AVERAGEIFS(monthly!K:K,monthly!$A:$A,"&gt;="&amp;$A108,monthly!$B:$B,"&lt;="&amp;$B108))</f>
        <v>7.1594202898550732</v>
      </c>
      <c r="T108">
        <f>IF(COUNTIFS(monthly!L:L,"",monthly!$A:$A,"&gt;="&amp;$A108,monthly!$B:$B,"&lt;="&amp;$B108)&gt;0,"NA",AVERAGEIFS(monthly!L:L,monthly!$A:$A,"&gt;="&amp;$A108,monthly!$B:$B,"&lt;="&amp;$B108))</f>
        <v>5.3061182795698931</v>
      </c>
      <c r="U108">
        <f>IF(COUNTIFS(monthly!M:M,"",monthly!$A:$A,"&gt;="&amp;$A108,monthly!$B:$B,"&lt;="&amp;$B108)&gt;0,"NA",AVERAGEIFS(monthly!M:M,monthly!$A:$A,"&gt;="&amp;$A108,monthly!$B:$B,"&lt;="&amp;$B108))</f>
        <v>1.8533020102851803</v>
      </c>
      <c r="V108">
        <f>IF(COUNTIFS(monthly!N:N,"",monthly!$A:$A,"&gt;="&amp;$A108,monthly!$B:$B,"&lt;="&amp;$B108)&gt;0,"NA",AVERAGEIFS(monthly!N:N,monthly!$A:$A,"&gt;="&amp;$A108,monthly!$B:$B,"&lt;="&amp;$B108))</f>
        <v>7.3349058912102407</v>
      </c>
      <c r="W108">
        <f>IF(COUNTIFS(monthly!O:O,"",monthly!$A:$A,"&gt;="&amp;$A108,monthly!$B:$B,"&lt;="&amp;$B108)&gt;0,"NA",AVERAGEIFS(monthly!O:O,monthly!$A:$A,"&gt;="&amp;$A108,monthly!$B:$B,"&lt;="&amp;$B108))</f>
        <v>6.1776969696969699</v>
      </c>
      <c r="X108">
        <f>IF(COUNTIFS(monthly!P:P,"",monthly!$A:$A,"&gt;="&amp;$A108,monthly!$B:$B,"&lt;="&amp;$B108)&gt;0,"NA",AVERAGEIFS(monthly!P:P,monthly!$A:$A,"&gt;="&amp;$A108,monthly!$B:$B,"&lt;="&amp;$B108))</f>
        <v>1.1572089215132702</v>
      </c>
      <c r="Y108">
        <f>IF(COUNTIFS(monthly!Q:Q,"",monthly!$A:$A,"&gt;="&amp;$A108,monthly!$B:$B,"&lt;="&amp;$B108)&gt;0,"NA",AVERAGEIFS(monthly!Q:Q,monthly!$A:$A,"&gt;="&amp;$A108,monthly!$B:$B,"&lt;="&amp;$B108))</f>
        <v>8.2242995169082125</v>
      </c>
      <c r="Z108">
        <f>IF(COUNTIFS(monthly!R:R,"",monthly!$A:$A,"&gt;="&amp;$A108,monthly!$B:$B,"&lt;="&amp;$B108)&gt;0,"NA",AVERAGEIFS(monthly!R:R,monthly!$A:$A,"&gt;="&amp;$A108,monthly!$B:$B,"&lt;="&amp;$B108))</f>
        <v>6.7776363636363639</v>
      </c>
      <c r="AA108">
        <f>IF(COUNTIFS(monthly!S:S,"",monthly!$A:$A,"&gt;="&amp;$A108,monthly!$B:$B,"&lt;="&amp;$B108)&gt;0,"NA",AVERAGEIFS(monthly!S:S,monthly!$A:$A,"&gt;="&amp;$A108,monthly!$B:$B,"&lt;="&amp;$B108))</f>
        <v>1.4466631532718477</v>
      </c>
      <c r="AB108">
        <f>IF(COUNTIFS(monthly!T:T,"",monthly!$A:$A,"&gt;="&amp;$A108,monthly!$B:$B,"&lt;="&amp;$B108)&gt;0,"NA",AVERAGEIFS(monthly!T:T,monthly!$A:$A,"&gt;="&amp;$A108,monthly!$B:$B,"&lt;="&amp;$B108))</f>
        <v>16.772363636363636</v>
      </c>
      <c r="AC108" t="str">
        <f>IF(COUNTIFS(monthly!U:U,"",monthly!$A:$A,"&gt;="&amp;$A108,monthly!$B:$B,"&lt;="&amp;$B108)&gt;0,"NA",AVERAGEIFS(monthly!U:U,monthly!$A:$A,"&gt;="&amp;$A108,monthly!$B:$B,"&lt;="&amp;$B108))</f>
        <v>NA</v>
      </c>
      <c r="AD108" t="str">
        <f>IF(COUNTIFS(monthly!V:V,"",monthly!$A:$A,"&gt;="&amp;$A108,monthly!$B:$B,"&lt;="&amp;$B108)&gt;0,"NA",AVERAGEIFS(monthly!V:V,monthly!$A:$A,"&gt;="&amp;$A108,monthly!$B:$B,"&lt;="&amp;$B108))</f>
        <v>NA</v>
      </c>
      <c r="AE108">
        <f>IF(COUNTIFS(monthly!W:W,"",monthly!$A:$A,"&gt;="&amp;$A108,monthly!$B:$B,"&lt;="&amp;$B108)&gt;0,"NA",AVERAGEIFS(monthly!W:W,monthly!$A:$A,"&gt;="&amp;$A108,monthly!$B:$B,"&lt;="&amp;$B108))</f>
        <v>83.509646097819015</v>
      </c>
      <c r="AF108">
        <f>IF(COUNTIFS(monthly!X:X,"",monthly!$A:$A,"&gt;="&amp;$A108,monthly!$B:$B,"&lt;="&amp;$B108)&gt;0,"NA",AVERAGEIFS(monthly!X:X,monthly!$A:$A,"&gt;="&amp;$A108,monthly!$B:$B,"&lt;="&amp;$B108))</f>
        <v>81.229654947916671</v>
      </c>
      <c r="AG108">
        <f>IF(COUNTIFS(monthly!Y:Y,"",monthly!$A:$A,"&gt;="&amp;$A108,monthly!$B:$B,"&lt;="&amp;$B108)&gt;0,"NA",AVERAGEIFS(monthly!Y:Y,monthly!$A:$A,"&gt;="&amp;$A108,monthly!$B:$B,"&lt;="&amp;$B108))</f>
        <v>87.93503061930339</v>
      </c>
      <c r="AH108">
        <f>IF(COUNTIFS(monthly!Z:Z,"",monthly!$A:$A,"&gt;="&amp;$A108,monthly!$B:$B,"&lt;="&amp;$B108)&gt;0,"NA",AVERAGEIFS(monthly!Z:Z,monthly!$A:$A,"&gt;="&amp;$A108,monthly!$B:$B,"&lt;="&amp;$B108))</f>
        <v>6.6606757541497544E-2</v>
      </c>
    </row>
    <row r="109" spans="1:34" x14ac:dyDescent="0.2">
      <c r="A109" s="1">
        <v>35339</v>
      </c>
      <c r="B109" s="1">
        <v>35429</v>
      </c>
      <c r="C109">
        <f>IF(ISBLANK(VLOOKUP($A109,quarterly_data,MATCH(C$1,quarterly!$1:$1,FALSE),FALSE)),"NA",VLOOKUP($A109,quarterly_data,MATCH(C$1,quarterly!$1:$1,FALSE),FALSE))</f>
        <v>109.88117584266688</v>
      </c>
      <c r="D109">
        <f>IF(ISBLANK(VLOOKUP($A109,quarterly_data,MATCH(D$1,quarterly!$1:$1,FALSE),FALSE)),"NA",VLOOKUP($A109,quarterly_data,MATCH(D$1,quarterly!$1:$1,FALSE),FALSE))</f>
        <v>52.2</v>
      </c>
      <c r="E109">
        <f>IF(ISBLANK(VLOOKUP($A109,quarterly_data,MATCH(E$1,quarterly!$1:$1,FALSE),FALSE)),"NA",VLOOKUP($A109,quarterly_data,MATCH(E$1,quarterly!$1:$1,FALSE),FALSE))</f>
        <v>0.12562019999999999</v>
      </c>
      <c r="F109">
        <f>IF(ISBLANK(VLOOKUP($A109,quarterly_data,MATCH(F$1,quarterly!$1:$1,FALSE),FALSE)),"NA",VLOOKUP($A109,quarterly_data,MATCH(F$1,quarterly!$1:$1,FALSE),FALSE))</f>
        <v>2.7581700000000001E-2</v>
      </c>
      <c r="G109">
        <f>IF(ISBLANK(VLOOKUP($A109,quarterly_data,MATCH(G$1,quarterly!$1:$1,FALSE),FALSE)),"NA",VLOOKUP($A109,quarterly_data,MATCH(G$1,quarterly!$1:$1,FALSE),FALSE))</f>
        <v>12037.775</v>
      </c>
      <c r="H109">
        <f>IF(ISBLANK(VLOOKUP($A109,quarterly_data,MATCH(H$1,quarterly!$1:$1,FALSE),FALSE)),"NA",VLOOKUP($A109,quarterly_data,MATCH(H$1,quarterly!$1:$1,FALSE),FALSE))</f>
        <v>304194</v>
      </c>
      <c r="I109">
        <f>IF(ISBLANK(VLOOKUP($A109,quarterly_data,MATCH(I$1,quarterly!$1:$1,FALSE),FALSE)),"NA",VLOOKUP($A109,quarterly_data,MATCH(I$1,quarterly!$1:$1,FALSE),FALSE))</f>
        <v>0.5</v>
      </c>
      <c r="J109">
        <f>IF(ISBLANK(VLOOKUP($A109,quarterly_data,MATCH(J$1,quarterly!$1:$1,FALSE),FALSE)),"NA",VLOOKUP($A109,quarterly_data,MATCH(J$1,quarterly!$1:$1,FALSE),FALSE))</f>
        <v>46.51</v>
      </c>
      <c r="K109">
        <f>IF(COUNTIFS(monthly!C:C,"",monthly!$A:$A,"&gt;="&amp;$A109,monthly!$B:$B,"&lt;="&amp;$B109)&gt;0,"NA",AVERAGEIFS(monthly!C:C,monthly!$A:$A,"&gt;="&amp;$A109,monthly!$B:$B,"&lt;="&amp;$B109))</f>
        <v>59.25</v>
      </c>
      <c r="L109">
        <f>IF(COUNTIFS(monthly!D:D,"",monthly!$A:$A,"&gt;="&amp;$A109,monthly!$B:$B,"&lt;="&amp;$B109)&gt;0,"NA",AVERAGEIFS(monthly!D:D,monthly!$A:$A,"&gt;="&amp;$A109,monthly!$B:$B,"&lt;="&amp;$B109))</f>
        <v>0.80130000000000001</v>
      </c>
      <c r="M109">
        <f>IF(COUNTIFS(monthly!E:E,"",monthly!$A:$A,"&gt;="&amp;$A109,monthly!$B:$B,"&lt;="&amp;$B109)&gt;0,"NA",AVERAGEIFS(monthly!E:E,monthly!$A:$A,"&gt;="&amp;$A109,monthly!$B:$B,"&lt;="&amp;$B109))</f>
        <v>31.860547546313349</v>
      </c>
      <c r="N109" t="str">
        <f>IF(COUNTIFS(monthly!F:F,"",monthly!$A:$A,"&gt;="&amp;$A109,monthly!$B:$B,"&lt;="&amp;$B109)&gt;0,"NA",AVERAGEIFS(monthly!F:F,monthly!$A:$A,"&gt;="&amp;$A109,monthly!$B:$B,"&lt;="&amp;$B109))</f>
        <v>NA</v>
      </c>
      <c r="O109">
        <f>IF(COUNTIFS(monthly!G:G,"",monthly!$A:$A,"&gt;="&amp;$A109,monthly!$B:$B,"&lt;="&amp;$B109)&gt;0,"NA",AVERAGEIFS(monthly!G:G,monthly!$A:$A,"&gt;="&amp;$A109,monthly!$B:$B,"&lt;="&amp;$B109))</f>
        <v>30</v>
      </c>
      <c r="P109">
        <f>IF(COUNTIFS(monthly!H:H,"",monthly!$A:$A,"&gt;="&amp;$A109,monthly!$B:$B,"&lt;="&amp;$B109)&gt;0,"NA",AVERAGEIFS(monthly!H:H,monthly!$A:$A,"&gt;="&amp;$A109,monthly!$B:$B,"&lt;="&amp;$B109))</f>
        <v>36.650000000000006</v>
      </c>
      <c r="Q109">
        <f>IF(COUNTIFS(monthly!I:I,"",monthly!$A:$A,"&gt;="&amp;$A109,monthly!$B:$B,"&lt;="&amp;$B109)&gt;0,"NA",AVERAGEIFS(monthly!I:I,monthly!$A:$A,"&gt;="&amp;$A109,monthly!$B:$B,"&lt;="&amp;$B109))</f>
        <v>23.4</v>
      </c>
      <c r="R109">
        <f>IF(COUNTIFS(monthly!J:J,"",monthly!$A:$A,"&gt;="&amp;$A109,monthly!$B:$B,"&lt;="&amp;$B109)&gt;0,"NA",AVERAGEIFS(monthly!J:J,monthly!$A:$A,"&gt;="&amp;$A109,monthly!$B:$B,"&lt;="&amp;$B109))</f>
        <v>3.91</v>
      </c>
      <c r="S109">
        <f>IF(COUNTIFS(monthly!K:K,"",monthly!$A:$A,"&gt;="&amp;$A109,monthly!$B:$B,"&lt;="&amp;$B109)&gt;0,"NA",AVERAGEIFS(monthly!K:K,monthly!$A:$A,"&gt;="&amp;$A109,monthly!$B:$B,"&lt;="&amp;$B109))</f>
        <v>6.7857142857142847</v>
      </c>
      <c r="T109">
        <f>IF(COUNTIFS(monthly!L:L,"",monthly!$A:$A,"&gt;="&amp;$A109,monthly!$B:$B,"&lt;="&amp;$B109)&gt;0,"NA",AVERAGEIFS(monthly!L:L,monthly!$A:$A,"&gt;="&amp;$A109,monthly!$B:$B,"&lt;="&amp;$B109))</f>
        <v>5.2745322580645162</v>
      </c>
      <c r="U109">
        <f>IF(COUNTIFS(monthly!M:M,"",monthly!$A:$A,"&gt;="&amp;$A109,monthly!$B:$B,"&lt;="&amp;$B109)&gt;0,"NA",AVERAGEIFS(monthly!M:M,monthly!$A:$A,"&gt;="&amp;$A109,monthly!$B:$B,"&lt;="&amp;$B109))</f>
        <v>1.5111820276497694</v>
      </c>
      <c r="V109">
        <f>IF(COUNTIFS(monthly!N:N,"",monthly!$A:$A,"&gt;="&amp;$A109,monthly!$B:$B,"&lt;="&amp;$B109)&gt;0,"NA",AVERAGEIFS(monthly!N:N,monthly!$A:$A,"&gt;="&amp;$A109,monthly!$B:$B,"&lt;="&amp;$B109))</f>
        <v>6.5346376811594213</v>
      </c>
      <c r="W109">
        <f>IF(COUNTIFS(monthly!O:O,"",monthly!$A:$A,"&gt;="&amp;$A109,monthly!$B:$B,"&lt;="&amp;$B109)&gt;0,"NA",AVERAGEIFS(monthly!O:O,monthly!$A:$A,"&gt;="&amp;$A109,monthly!$B:$B,"&lt;="&amp;$B109))</f>
        <v>5.8071531100478477</v>
      </c>
      <c r="X109">
        <f>IF(COUNTIFS(monthly!P:P,"",monthly!$A:$A,"&gt;="&amp;$A109,monthly!$B:$B,"&lt;="&amp;$B109)&gt;0,"NA",AVERAGEIFS(monthly!P:P,monthly!$A:$A,"&gt;="&amp;$A109,monthly!$B:$B,"&lt;="&amp;$B109))</f>
        <v>0.72748457111157405</v>
      </c>
      <c r="Y109">
        <f>IF(COUNTIFS(monthly!Q:Q,"",monthly!$A:$A,"&gt;="&amp;$A109,monthly!$B:$B,"&lt;="&amp;$B109)&gt;0,"NA",AVERAGEIFS(monthly!Q:Q,monthly!$A:$A,"&gt;="&amp;$A109,monthly!$B:$B,"&lt;="&amp;$B109))</f>
        <v>7.3535507246376808</v>
      </c>
      <c r="Z109">
        <f>IF(COUNTIFS(monthly!R:R,"",monthly!$A:$A,"&gt;="&amp;$A109,monthly!$B:$B,"&lt;="&amp;$B109)&gt;0,"NA",AVERAGEIFS(monthly!R:R,monthly!$A:$A,"&gt;="&amp;$A109,monthly!$B:$B,"&lt;="&amp;$B109))</f>
        <v>6.3686602870813402</v>
      </c>
      <c r="AA109">
        <f>IF(COUNTIFS(monthly!S:S,"",monthly!$A:$A,"&gt;="&amp;$A109,monthly!$B:$B,"&lt;="&amp;$B109)&gt;0,"NA",AVERAGEIFS(monthly!S:S,monthly!$A:$A,"&gt;="&amp;$A109,monthly!$B:$B,"&lt;="&amp;$B109))</f>
        <v>0.98489043755634054</v>
      </c>
      <c r="AB109">
        <f>IF(COUNTIFS(monthly!T:T,"",monthly!$A:$A,"&gt;="&amp;$A109,monthly!$B:$B,"&lt;="&amp;$B109)&gt;0,"NA",AVERAGEIFS(monthly!T:T,monthly!$A:$A,"&gt;="&amp;$A109,monthly!$B:$B,"&lt;="&amp;$B109))</f>
        <v>16.189369565217387</v>
      </c>
      <c r="AC109" t="str">
        <f>IF(COUNTIFS(monthly!U:U,"",monthly!$A:$A,"&gt;="&amp;$A109,monthly!$B:$B,"&lt;="&amp;$B109)&gt;0,"NA",AVERAGEIFS(monthly!U:U,monthly!$A:$A,"&gt;="&amp;$A109,monthly!$B:$B,"&lt;="&amp;$B109))</f>
        <v>NA</v>
      </c>
      <c r="AD109" t="str">
        <f>IF(COUNTIFS(monthly!V:V,"",monthly!$A:$A,"&gt;="&amp;$A109,monthly!$B:$B,"&lt;="&amp;$B109)&gt;0,"NA",AVERAGEIFS(monthly!V:V,monthly!$A:$A,"&gt;="&amp;$A109,monthly!$B:$B,"&lt;="&amp;$B109))</f>
        <v>NA</v>
      </c>
      <c r="AE109">
        <f>IF(COUNTIFS(monthly!W:W,"",monthly!$A:$A,"&gt;="&amp;$A109,monthly!$B:$B,"&lt;="&amp;$B109)&gt;0,"NA",AVERAGEIFS(monthly!W:W,monthly!$A:$A,"&gt;="&amp;$A109,monthly!$B:$B,"&lt;="&amp;$B109))</f>
        <v>56.465721130371094</v>
      </c>
      <c r="AF109">
        <f>IF(COUNTIFS(monthly!X:X,"",monthly!$A:$A,"&gt;="&amp;$A109,monthly!$B:$B,"&lt;="&amp;$B109)&gt;0,"NA",AVERAGEIFS(monthly!X:X,monthly!$A:$A,"&gt;="&amp;$A109,monthly!$B:$B,"&lt;="&amp;$B109))</f>
        <v>57.468687057495117</v>
      </c>
      <c r="AG109">
        <f>IF(COUNTIFS(monthly!Y:Y,"",monthly!$A:$A,"&gt;="&amp;$A109,monthly!$B:$B,"&lt;="&amp;$B109)&gt;0,"NA",AVERAGEIFS(monthly!Y:Y,monthly!$A:$A,"&gt;="&amp;$A109,monthly!$B:$B,"&lt;="&amp;$B109))</f>
        <v>50.291389465332031</v>
      </c>
      <c r="AH109">
        <f>IF(COUNTIFS(monthly!Z:Z,"",monthly!$A:$A,"&gt;="&amp;$A109,monthly!$B:$B,"&lt;="&amp;$B109)&gt;0,"NA",AVERAGEIFS(monthly!Z:Z,monthly!$A:$A,"&gt;="&amp;$A109,monthly!$B:$B,"&lt;="&amp;$B109))</f>
        <v>5.1728663966059685E-2</v>
      </c>
    </row>
    <row r="110" spans="1:34" x14ac:dyDescent="0.2">
      <c r="A110" s="1">
        <v>35431</v>
      </c>
      <c r="B110" s="1">
        <v>35519</v>
      </c>
      <c r="C110">
        <f>IF(ISBLANK(VLOOKUP($A110,quarterly_data,MATCH(C$1,quarterly!$1:$1,FALSE),FALSE)),"NA",VLOOKUP($A110,quarterly_data,MATCH(C$1,quarterly!$1:$1,FALSE),FALSE))</f>
        <v>110.96341399345322</v>
      </c>
      <c r="D110">
        <f>IF(ISBLANK(VLOOKUP($A110,quarterly_data,MATCH(D$1,quarterly!$1:$1,FALSE),FALSE)),"NA",VLOOKUP($A110,quarterly_data,MATCH(D$1,quarterly!$1:$1,FALSE),FALSE))</f>
        <v>52.3</v>
      </c>
      <c r="E110">
        <f>IF(ISBLANK(VLOOKUP($A110,quarterly_data,MATCH(E$1,quarterly!$1:$1,FALSE),FALSE)),"NA",VLOOKUP($A110,quarterly_data,MATCH(E$1,quarterly!$1:$1,FALSE),FALSE))</f>
        <v>0.28808070000000002</v>
      </c>
      <c r="F110">
        <f>IF(ISBLANK(VLOOKUP($A110,quarterly_data,MATCH(F$1,quarterly!$1:$1,FALSE),FALSE)),"NA",VLOOKUP($A110,quarterly_data,MATCH(F$1,quarterly!$1:$1,FALSE),FALSE))</f>
        <v>7.0178199999999996E-2</v>
      </c>
      <c r="G110">
        <f>IF(ISBLANK(VLOOKUP($A110,quarterly_data,MATCH(G$1,quarterly!$1:$1,FALSE),FALSE)),"NA",VLOOKUP($A110,quarterly_data,MATCH(G$1,quarterly!$1:$1,FALSE),FALSE))</f>
        <v>12115.472</v>
      </c>
      <c r="H110">
        <f>IF(ISBLANK(VLOOKUP($A110,quarterly_data,MATCH(H$1,quarterly!$1:$1,FALSE),FALSE)),"NA",VLOOKUP($A110,quarterly_data,MATCH(H$1,quarterly!$1:$1,FALSE),FALSE))</f>
        <v>306359</v>
      </c>
      <c r="I110">
        <f>IF(ISBLANK(VLOOKUP($A110,quarterly_data,MATCH(I$1,quarterly!$1:$1,FALSE),FALSE)),"NA",VLOOKUP($A110,quarterly_data,MATCH(I$1,quarterly!$1:$1,FALSE),FALSE))</f>
        <v>0.7</v>
      </c>
      <c r="J110">
        <f>IF(ISBLANK(VLOOKUP($A110,quarterly_data,MATCH(J$1,quarterly!$1:$1,FALSE),FALSE)),"NA",VLOOKUP($A110,quarterly_data,MATCH(J$1,quarterly!$1:$1,FALSE),FALSE))</f>
        <v>46.58</v>
      </c>
      <c r="K110">
        <f>IF(COUNTIFS(monthly!C:C,"",monthly!$A:$A,"&gt;="&amp;$A110,monthly!$B:$B,"&lt;="&amp;$B110)&gt;0,"NA",AVERAGEIFS(monthly!C:C,monthly!$A:$A,"&gt;="&amp;$A110,monthly!$B:$B,"&lt;="&amp;$B110))</f>
        <v>58.7</v>
      </c>
      <c r="L110">
        <f>IF(COUNTIFS(monthly!D:D,"",monthly!$A:$A,"&gt;="&amp;$A110,monthly!$B:$B,"&lt;="&amp;$B110)&gt;0,"NA",AVERAGEIFS(monthly!D:D,monthly!$A:$A,"&gt;="&amp;$A110,monthly!$B:$B,"&lt;="&amp;$B110))</f>
        <v>0.76890000000000003</v>
      </c>
      <c r="M110">
        <f>IF(COUNTIFS(monthly!E:E,"",monthly!$A:$A,"&gt;="&amp;$A110,monthly!$B:$B,"&lt;="&amp;$B110)&gt;0,"NA",AVERAGEIFS(monthly!E:E,monthly!$A:$A,"&gt;="&amp;$A110,monthly!$B:$B,"&lt;="&amp;$B110))</f>
        <v>32.715345419117554</v>
      </c>
      <c r="N110" t="str">
        <f>IF(COUNTIFS(monthly!F:F,"",monthly!$A:$A,"&gt;="&amp;$A110,monthly!$B:$B,"&lt;="&amp;$B110)&gt;0,"NA",AVERAGEIFS(monthly!F:F,monthly!$A:$A,"&gt;="&amp;$A110,monthly!$B:$B,"&lt;="&amp;$B110))</f>
        <v>NA</v>
      </c>
      <c r="O110">
        <f>IF(COUNTIFS(monthly!G:G,"",monthly!$A:$A,"&gt;="&amp;$A110,monthly!$B:$B,"&lt;="&amp;$B110)&gt;0,"NA",AVERAGEIFS(monthly!G:G,monthly!$A:$A,"&gt;="&amp;$A110,monthly!$B:$B,"&lt;="&amp;$B110))</f>
        <v>30.2</v>
      </c>
      <c r="P110">
        <f>IF(COUNTIFS(monthly!H:H,"",monthly!$A:$A,"&gt;="&amp;$A110,monthly!$B:$B,"&lt;="&amp;$B110)&gt;0,"NA",AVERAGEIFS(monthly!H:H,monthly!$A:$A,"&gt;="&amp;$A110,monthly!$B:$B,"&lt;="&amp;$B110))</f>
        <v>34.900000000000006</v>
      </c>
      <c r="Q110">
        <f>IF(COUNTIFS(monthly!I:I,"",monthly!$A:$A,"&gt;="&amp;$A110,monthly!$B:$B,"&lt;="&amp;$B110)&gt;0,"NA",AVERAGEIFS(monthly!I:I,monthly!$A:$A,"&gt;="&amp;$A110,monthly!$B:$B,"&lt;="&amp;$B110))</f>
        <v>22.15</v>
      </c>
      <c r="R110">
        <f>IF(COUNTIFS(monthly!J:J,"",monthly!$A:$A,"&gt;="&amp;$A110,monthly!$B:$B,"&lt;="&amp;$B110)&gt;0,"NA",AVERAGEIFS(monthly!J:J,monthly!$A:$A,"&gt;="&amp;$A110,monthly!$B:$B,"&lt;="&amp;$B110))</f>
        <v>4.1749999999999998</v>
      </c>
      <c r="S110">
        <f>IF(COUNTIFS(monthly!K:K,"",monthly!$A:$A,"&gt;="&amp;$A110,monthly!$B:$B,"&lt;="&amp;$B110)&gt;0,"NA",AVERAGEIFS(monthly!K:K,monthly!$A:$A,"&gt;="&amp;$A110,monthly!$B:$B,"&lt;="&amp;$B110))</f>
        <v>6</v>
      </c>
      <c r="T110">
        <f>IF(COUNTIFS(monthly!L:L,"",monthly!$A:$A,"&gt;="&amp;$A110,monthly!$B:$B,"&lt;="&amp;$B110)&gt;0,"NA",AVERAGEIFS(monthly!L:L,monthly!$A:$A,"&gt;="&amp;$A110,monthly!$B:$B,"&lt;="&amp;$B110))</f>
        <v>5.2201152073732722</v>
      </c>
      <c r="U110">
        <f>IF(COUNTIFS(monthly!M:M,"",monthly!$A:$A,"&gt;="&amp;$A110,monthly!$B:$B,"&lt;="&amp;$B110)&gt;0,"NA",AVERAGEIFS(monthly!M:M,monthly!$A:$A,"&gt;="&amp;$A110,monthly!$B:$B,"&lt;="&amp;$B110))</f>
        <v>0.77988479262672783</v>
      </c>
      <c r="V110">
        <f>IF(COUNTIFS(monthly!N:N,"",monthly!$A:$A,"&gt;="&amp;$A110,monthly!$B:$B,"&lt;="&amp;$B110)&gt;0,"NA",AVERAGEIFS(monthly!N:N,monthly!$A:$A,"&gt;="&amp;$A110,monthly!$B:$B,"&lt;="&amp;$B110))</f>
        <v>6.2809404761904757</v>
      </c>
      <c r="W110">
        <f>IF(COUNTIFS(monthly!O:O,"",monthly!$A:$A,"&gt;="&amp;$A110,monthly!$B:$B,"&lt;="&amp;$B110)&gt;0,"NA",AVERAGEIFS(monthly!O:O,monthly!$A:$A,"&gt;="&amp;$A110,monthly!$B:$B,"&lt;="&amp;$B110))</f>
        <v>5.9532581453634084</v>
      </c>
      <c r="X110">
        <f>IF(COUNTIFS(monthly!P:P,"",monthly!$A:$A,"&gt;="&amp;$A110,monthly!$B:$B,"&lt;="&amp;$B110)&gt;0,"NA",AVERAGEIFS(monthly!P:P,monthly!$A:$A,"&gt;="&amp;$A110,monthly!$B:$B,"&lt;="&amp;$B110))</f>
        <v>0.32768233082706688</v>
      </c>
      <c r="Y110">
        <f>IF(COUNTIFS(monthly!Q:Q,"",monthly!$A:$A,"&gt;="&amp;$A110,monthly!$B:$B,"&lt;="&amp;$B110)&gt;0,"NA",AVERAGEIFS(monthly!Q:Q,monthly!$A:$A,"&gt;="&amp;$A110,monthly!$B:$B,"&lt;="&amp;$B110))</f>
        <v>7.4265238095238093</v>
      </c>
      <c r="Z110">
        <f>IF(COUNTIFS(monthly!R:R,"",monthly!$A:$A,"&gt;="&amp;$A110,monthly!$B:$B,"&lt;="&amp;$B110)&gt;0,"NA",AVERAGEIFS(monthly!R:R,monthly!$A:$A,"&gt;="&amp;$A110,monthly!$B:$B,"&lt;="&amp;$B110))</f>
        <v>6.4992606516290721</v>
      </c>
      <c r="AA110">
        <f>IF(COUNTIFS(monthly!S:S,"",monthly!$A:$A,"&gt;="&amp;$A110,monthly!$B:$B,"&lt;="&amp;$B110)&gt;0,"NA",AVERAGEIFS(monthly!S:S,monthly!$A:$A,"&gt;="&amp;$A110,monthly!$B:$B,"&lt;="&amp;$B110))</f>
        <v>0.92726315789473723</v>
      </c>
      <c r="AB110">
        <f>IF(COUNTIFS(monthly!T:T,"",monthly!$A:$A,"&gt;="&amp;$A110,monthly!$B:$B,"&lt;="&amp;$B110)&gt;0,"NA",AVERAGEIFS(monthly!T:T,monthly!$A:$A,"&gt;="&amp;$A110,monthly!$B:$B,"&lt;="&amp;$B110))</f>
        <v>19.806403508771933</v>
      </c>
      <c r="AC110">
        <f>IF(COUNTIFS(monthly!U:U,"",monthly!$A:$A,"&gt;="&amp;$A110,monthly!$B:$B,"&lt;="&amp;$B110)&gt;0,"NA",AVERAGEIFS(monthly!U:U,monthly!$A:$A,"&gt;="&amp;$A110,monthly!$B:$B,"&lt;="&amp;$B110))</f>
        <v>77.757264985927577</v>
      </c>
      <c r="AD110" t="str">
        <f>IF(COUNTIFS(monthly!V:V,"",monthly!$A:$A,"&gt;="&amp;$A110,monthly!$B:$B,"&lt;="&amp;$B110)&gt;0,"NA",AVERAGEIFS(monthly!V:V,monthly!$A:$A,"&gt;="&amp;$A110,monthly!$B:$B,"&lt;="&amp;$B110))</f>
        <v>NA</v>
      </c>
      <c r="AE110">
        <f>IF(COUNTIFS(monthly!W:W,"",monthly!$A:$A,"&gt;="&amp;$A110,monthly!$B:$B,"&lt;="&amp;$B110)&gt;0,"NA",AVERAGEIFS(monthly!W:W,monthly!$A:$A,"&gt;="&amp;$A110,monthly!$B:$B,"&lt;="&amp;$B110))</f>
        <v>52.311187744140625</v>
      </c>
      <c r="AF110">
        <f>IF(COUNTIFS(monthly!X:X,"",monthly!$A:$A,"&gt;="&amp;$A110,monthly!$B:$B,"&lt;="&amp;$B110)&gt;0,"NA",AVERAGEIFS(monthly!X:X,monthly!$A:$A,"&gt;="&amp;$A110,monthly!$B:$B,"&lt;="&amp;$B110))</f>
        <v>53.879596710205078</v>
      </c>
      <c r="AG110">
        <f>IF(COUNTIFS(monthly!Y:Y,"",monthly!$A:$A,"&gt;="&amp;$A110,monthly!$B:$B,"&lt;="&amp;$B110)&gt;0,"NA",AVERAGEIFS(monthly!Y:Y,monthly!$A:$A,"&gt;="&amp;$A110,monthly!$B:$B,"&lt;="&amp;$B110))</f>
        <v>49.368242263793945</v>
      </c>
      <c r="AH110">
        <f>IF(COUNTIFS(monthly!Z:Z,"",monthly!$A:$A,"&gt;="&amp;$A110,monthly!$B:$B,"&lt;="&amp;$B110)&gt;0,"NA",AVERAGEIFS(monthly!Z:Z,monthly!$A:$A,"&gt;="&amp;$A110,monthly!$B:$B,"&lt;="&amp;$B110))</f>
        <v>2.6099735870957375E-2</v>
      </c>
    </row>
    <row r="111" spans="1:34" x14ac:dyDescent="0.2">
      <c r="A111" s="1">
        <v>35521</v>
      </c>
      <c r="B111" s="1">
        <v>35611</v>
      </c>
      <c r="C111">
        <f>IF(ISBLANK(VLOOKUP($A111,quarterly_data,MATCH(C$1,quarterly!$1:$1,FALSE),FALSE)),"NA",VLOOKUP($A111,quarterly_data,MATCH(C$1,quarterly!$1:$1,FALSE),FALSE))</f>
        <v>110.00737350452299</v>
      </c>
      <c r="D111">
        <f>IF(ISBLANK(VLOOKUP($A111,quarterly_data,MATCH(D$1,quarterly!$1:$1,FALSE),FALSE)),"NA",VLOOKUP($A111,quarterly_data,MATCH(D$1,quarterly!$1:$1,FALSE),FALSE))</f>
        <v>52.8</v>
      </c>
      <c r="E111">
        <f>IF(ISBLANK(VLOOKUP($A111,quarterly_data,MATCH(E$1,quarterly!$1:$1,FALSE),FALSE)),"NA",VLOOKUP($A111,quarterly_data,MATCH(E$1,quarterly!$1:$1,FALSE),FALSE))</f>
        <v>0.21321960000000001</v>
      </c>
      <c r="F111">
        <f>IF(ISBLANK(VLOOKUP($A111,quarterly_data,MATCH(F$1,quarterly!$1:$1,FALSE),FALSE)),"NA",VLOOKUP($A111,quarterly_data,MATCH(F$1,quarterly!$1:$1,FALSE),FALSE))</f>
        <v>7.5639300000000007E-2</v>
      </c>
      <c r="G111">
        <f>IF(ISBLANK(VLOOKUP($A111,quarterly_data,MATCH(G$1,quarterly!$1:$1,FALSE),FALSE)),"NA",VLOOKUP($A111,quarterly_data,MATCH(G$1,quarterly!$1:$1,FALSE),FALSE))</f>
        <v>12317.221</v>
      </c>
      <c r="H111">
        <f>IF(ISBLANK(VLOOKUP($A111,quarterly_data,MATCH(H$1,quarterly!$1:$1,FALSE),FALSE)),"NA",VLOOKUP($A111,quarterly_data,MATCH(H$1,quarterly!$1:$1,FALSE),FALSE))</f>
        <v>315516</v>
      </c>
      <c r="I111">
        <f>IF(ISBLANK(VLOOKUP($A111,quarterly_data,MATCH(I$1,quarterly!$1:$1,FALSE),FALSE)),"NA",VLOOKUP($A111,quarterly_data,MATCH(I$1,quarterly!$1:$1,FALSE),FALSE))</f>
        <v>0.3</v>
      </c>
      <c r="J111">
        <f>IF(ISBLANK(VLOOKUP($A111,quarterly_data,MATCH(J$1,quarterly!$1:$1,FALSE),FALSE)),"NA",VLOOKUP($A111,quarterly_data,MATCH(J$1,quarterly!$1:$1,FALSE),FALSE))</f>
        <v>46.47</v>
      </c>
      <c r="K111">
        <f>IF(COUNTIFS(monthly!C:C,"",monthly!$A:$A,"&gt;="&amp;$A111,monthly!$B:$B,"&lt;="&amp;$B111)&gt;0,"NA",AVERAGEIFS(monthly!C:C,monthly!$A:$A,"&gt;="&amp;$A111,monthly!$B:$B,"&lt;="&amp;$B111))</f>
        <v>58.466666666666669</v>
      </c>
      <c r="L111">
        <f>IF(COUNTIFS(monthly!D:D,"",monthly!$A:$A,"&gt;="&amp;$A111,monthly!$B:$B,"&lt;="&amp;$B111)&gt;0,"NA",AVERAGEIFS(monthly!D:D,monthly!$A:$A,"&gt;="&amp;$A111,monthly!$B:$B,"&lt;="&amp;$B111))</f>
        <v>0.76263333333333339</v>
      </c>
      <c r="M111">
        <f>IF(COUNTIFS(monthly!E:E,"",monthly!$A:$A,"&gt;="&amp;$A111,monthly!$B:$B,"&lt;="&amp;$B111)&gt;0,"NA",AVERAGEIFS(monthly!E:E,monthly!$A:$A,"&gt;="&amp;$A111,monthly!$B:$B,"&lt;="&amp;$B111))</f>
        <v>33.208138203926374</v>
      </c>
      <c r="N111" t="str">
        <f>IF(COUNTIFS(monthly!F:F,"",monthly!$A:$A,"&gt;="&amp;$A111,monthly!$B:$B,"&lt;="&amp;$B111)&gt;0,"NA",AVERAGEIFS(monthly!F:F,monthly!$A:$A,"&gt;="&amp;$A111,monthly!$B:$B,"&lt;="&amp;$B111))</f>
        <v>NA</v>
      </c>
      <c r="O111">
        <f>IF(COUNTIFS(monthly!G:G,"",monthly!$A:$A,"&gt;="&amp;$A111,monthly!$B:$B,"&lt;="&amp;$B111)&gt;0,"NA",AVERAGEIFS(monthly!G:G,monthly!$A:$A,"&gt;="&amp;$A111,monthly!$B:$B,"&lt;="&amp;$B111))</f>
        <v>30.2</v>
      </c>
      <c r="P111">
        <f>IF(COUNTIFS(monthly!H:H,"",monthly!$A:$A,"&gt;="&amp;$A111,monthly!$B:$B,"&lt;="&amp;$B111)&gt;0,"NA",AVERAGEIFS(monthly!H:H,monthly!$A:$A,"&gt;="&amp;$A111,monthly!$B:$B,"&lt;="&amp;$B111))</f>
        <v>35.199999999999996</v>
      </c>
      <c r="Q111">
        <f>IF(COUNTIFS(monthly!I:I,"",monthly!$A:$A,"&gt;="&amp;$A111,monthly!$B:$B,"&lt;="&amp;$B111)&gt;0,"NA",AVERAGEIFS(monthly!I:I,monthly!$A:$A,"&gt;="&amp;$A111,monthly!$B:$B,"&lt;="&amp;$B111))</f>
        <v>18.066666666666666</v>
      </c>
      <c r="R111">
        <f>IF(COUNTIFS(monthly!J:J,"",monthly!$A:$A,"&gt;="&amp;$A111,monthly!$B:$B,"&lt;="&amp;$B111)&gt;0,"NA",AVERAGEIFS(monthly!J:J,monthly!$A:$A,"&gt;="&amp;$A111,monthly!$B:$B,"&lt;="&amp;$B111))</f>
        <v>4.0433333333333339</v>
      </c>
      <c r="S111">
        <f>IF(COUNTIFS(monthly!K:K,"",monthly!$A:$A,"&gt;="&amp;$A111,monthly!$B:$B,"&lt;="&amp;$B111)&gt;0,"NA",AVERAGEIFS(monthly!K:K,monthly!$A:$A,"&gt;="&amp;$A111,monthly!$B:$B,"&lt;="&amp;$B111))</f>
        <v>5.7878787878787863</v>
      </c>
      <c r="T111">
        <f>IF(COUNTIFS(monthly!L:L,"",monthly!$A:$A,"&gt;="&amp;$A111,monthly!$B:$B,"&lt;="&amp;$B111)&gt;0,"NA",AVERAGEIFS(monthly!L:L,monthly!$A:$A,"&gt;="&amp;$A111,monthly!$B:$B,"&lt;="&amp;$B111))</f>
        <v>5.522397849462366</v>
      </c>
      <c r="U111">
        <f>IF(COUNTIFS(monthly!M:M,"",monthly!$A:$A,"&gt;="&amp;$A111,monthly!$B:$B,"&lt;="&amp;$B111)&gt;0,"NA",AVERAGEIFS(monthly!M:M,monthly!$A:$A,"&gt;="&amp;$A111,monthly!$B:$B,"&lt;="&amp;$B111))</f>
        <v>0.26548093841642001</v>
      </c>
      <c r="V111">
        <f>IF(COUNTIFS(monthly!N:N,"",monthly!$A:$A,"&gt;="&amp;$A111,monthly!$B:$B,"&lt;="&amp;$B111)&gt;0,"NA",AVERAGEIFS(monthly!N:N,monthly!$A:$A,"&gt;="&amp;$A111,monthly!$B:$B,"&lt;="&amp;$B111))</f>
        <v>6.1486904761904766</v>
      </c>
      <c r="W111">
        <f>IF(COUNTIFS(monthly!O:O,"",monthly!$A:$A,"&gt;="&amp;$A111,monthly!$B:$B,"&lt;="&amp;$B111)&gt;0,"NA",AVERAGEIFS(monthly!O:O,monthly!$A:$A,"&gt;="&amp;$A111,monthly!$B:$B,"&lt;="&amp;$B111))</f>
        <v>6.2732034632034628</v>
      </c>
      <c r="X111">
        <f>IF(COUNTIFS(monthly!P:P,"",monthly!$A:$A,"&gt;="&amp;$A111,monthly!$B:$B,"&lt;="&amp;$B111)&gt;0,"NA",AVERAGEIFS(monthly!P:P,monthly!$A:$A,"&gt;="&amp;$A111,monthly!$B:$B,"&lt;="&amp;$B111))</f>
        <v>-0.12451298701298678</v>
      </c>
      <c r="Y111">
        <f>IF(COUNTIFS(monthly!Q:Q,"",monthly!$A:$A,"&gt;="&amp;$A111,monthly!$B:$B,"&lt;="&amp;$B111)&gt;0,"NA",AVERAGEIFS(monthly!Q:Q,monthly!$A:$A,"&gt;="&amp;$A111,monthly!$B:$B,"&lt;="&amp;$B111))</f>
        <v>7.5831183261183268</v>
      </c>
      <c r="Z111">
        <f>IF(COUNTIFS(monthly!R:R,"",monthly!$A:$A,"&gt;="&amp;$A111,monthly!$B:$B,"&lt;="&amp;$B111)&gt;0,"NA",AVERAGEIFS(monthly!R:R,monthly!$A:$A,"&gt;="&amp;$A111,monthly!$B:$B,"&lt;="&amp;$B111))</f>
        <v>6.6967388167388178</v>
      </c>
      <c r="AA111">
        <f>IF(COUNTIFS(monthly!S:S,"",monthly!$A:$A,"&gt;="&amp;$A111,monthly!$B:$B,"&lt;="&amp;$B111)&gt;0,"NA",AVERAGEIFS(monthly!S:S,monthly!$A:$A,"&gt;="&amp;$A111,monthly!$B:$B,"&lt;="&amp;$B111))</f>
        <v>0.88637950937950905</v>
      </c>
      <c r="AB111">
        <f>IF(COUNTIFS(monthly!T:T,"",monthly!$A:$A,"&gt;="&amp;$A111,monthly!$B:$B,"&lt;="&amp;$B111)&gt;0,"NA",AVERAGEIFS(monthly!T:T,monthly!$A:$A,"&gt;="&amp;$A111,monthly!$B:$B,"&lt;="&amp;$B111))</f>
        <v>19.92710678210678</v>
      </c>
      <c r="AC111">
        <f>IF(COUNTIFS(monthly!U:U,"",monthly!$A:$A,"&gt;="&amp;$A111,monthly!$B:$B,"&lt;="&amp;$B111)&gt;0,"NA",AVERAGEIFS(monthly!U:U,monthly!$A:$A,"&gt;="&amp;$A111,monthly!$B:$B,"&lt;="&amp;$B111))</f>
        <v>77.463073712605421</v>
      </c>
      <c r="AD111" t="str">
        <f>IF(COUNTIFS(monthly!V:V,"",monthly!$A:$A,"&gt;="&amp;$A111,monthly!$B:$B,"&lt;="&amp;$B111)&gt;0,"NA",AVERAGEIFS(monthly!V:V,monthly!$A:$A,"&gt;="&amp;$A111,monthly!$B:$B,"&lt;="&amp;$B111))</f>
        <v>NA</v>
      </c>
      <c r="AE111">
        <f>IF(COUNTIFS(monthly!W:W,"",monthly!$A:$A,"&gt;="&amp;$A111,monthly!$B:$B,"&lt;="&amp;$B111)&gt;0,"NA",AVERAGEIFS(monthly!W:W,monthly!$A:$A,"&gt;="&amp;$A111,monthly!$B:$B,"&lt;="&amp;$B111))</f>
        <v>51.822041829427086</v>
      </c>
      <c r="AF111">
        <f>IF(COUNTIFS(monthly!X:X,"",monthly!$A:$A,"&gt;="&amp;$A111,monthly!$B:$B,"&lt;="&amp;$B111)&gt;0,"NA",AVERAGEIFS(monthly!X:X,monthly!$A:$A,"&gt;="&amp;$A111,monthly!$B:$B,"&lt;="&amp;$B111))</f>
        <v>50.868658701578774</v>
      </c>
      <c r="AG111">
        <f>IF(COUNTIFS(monthly!Y:Y,"",monthly!$A:$A,"&gt;="&amp;$A111,monthly!$B:$B,"&lt;="&amp;$B111)&gt;0,"NA",AVERAGEIFS(monthly!Y:Y,monthly!$A:$A,"&gt;="&amp;$A111,monthly!$B:$B,"&lt;="&amp;$B111))</f>
        <v>49.830954233805336</v>
      </c>
      <c r="AH111">
        <f>IF(COUNTIFS(monthly!Z:Z,"",monthly!$A:$A,"&gt;="&amp;$A111,monthly!$B:$B,"&lt;="&amp;$B111)&gt;0,"NA",AVERAGEIFS(monthly!Z:Z,monthly!$A:$A,"&gt;="&amp;$A111,monthly!$B:$B,"&lt;="&amp;$B111))</f>
        <v>3.3571890865763031E-2</v>
      </c>
    </row>
    <row r="112" spans="1:34" x14ac:dyDescent="0.2">
      <c r="A112" s="1">
        <v>35612</v>
      </c>
      <c r="B112" s="1">
        <v>35703</v>
      </c>
      <c r="C112">
        <f>IF(ISBLANK(VLOOKUP($A112,quarterly_data,MATCH(C$1,quarterly!$1:$1,FALSE),FALSE)),"NA",VLOOKUP($A112,quarterly_data,MATCH(C$1,quarterly!$1:$1,FALSE),FALSE))</f>
        <v>107.32491437582556</v>
      </c>
      <c r="D112">
        <f>IF(ISBLANK(VLOOKUP($A112,quarterly_data,MATCH(D$1,quarterly!$1:$1,FALSE),FALSE)),"NA",VLOOKUP($A112,quarterly_data,MATCH(D$1,quarterly!$1:$1,FALSE),FALSE))</f>
        <v>52.7</v>
      </c>
      <c r="E112">
        <f>IF(ISBLANK(VLOOKUP($A112,quarterly_data,MATCH(E$1,quarterly!$1:$1,FALSE),FALSE)),"NA",VLOOKUP($A112,quarterly_data,MATCH(E$1,quarterly!$1:$1,FALSE),FALSE))</f>
        <v>0</v>
      </c>
      <c r="F112">
        <f>IF(ISBLANK(VLOOKUP($A112,quarterly_data,MATCH(F$1,quarterly!$1:$1,FALSE),FALSE)),"NA",VLOOKUP($A112,quarterly_data,MATCH(F$1,quarterly!$1:$1,FALSE),FALSE))</f>
        <v>3.09246E-2</v>
      </c>
      <c r="G112">
        <f>IF(ISBLANK(VLOOKUP($A112,quarterly_data,MATCH(G$1,quarterly!$1:$1,FALSE),FALSE)),"NA",VLOOKUP($A112,quarterly_data,MATCH(G$1,quarterly!$1:$1,FALSE),FALSE))</f>
        <v>12471.01</v>
      </c>
      <c r="H112">
        <f>IF(ISBLANK(VLOOKUP($A112,quarterly_data,MATCH(H$1,quarterly!$1:$1,FALSE),FALSE)),"NA",VLOOKUP($A112,quarterly_data,MATCH(H$1,quarterly!$1:$1,FALSE),FALSE))</f>
        <v>316000</v>
      </c>
      <c r="I112">
        <f>IF(ISBLANK(VLOOKUP($A112,quarterly_data,MATCH(I$1,quarterly!$1:$1,FALSE),FALSE)),"NA",VLOOKUP($A112,quarterly_data,MATCH(I$1,quarterly!$1:$1,FALSE),FALSE))</f>
        <v>0.2</v>
      </c>
      <c r="J112">
        <f>IF(ISBLANK(VLOOKUP($A112,quarterly_data,MATCH(J$1,quarterly!$1:$1,FALSE),FALSE)),"NA",VLOOKUP($A112,quarterly_data,MATCH(J$1,quarterly!$1:$1,FALSE),FALSE))</f>
        <v>46.28</v>
      </c>
      <c r="K112">
        <f>IF(COUNTIFS(monthly!C:C,"",monthly!$A:$A,"&gt;="&amp;$A112,monthly!$B:$B,"&lt;="&amp;$B112)&gt;0,"NA",AVERAGEIFS(monthly!C:C,monthly!$A:$A,"&gt;="&amp;$A112,monthly!$B:$B,"&lt;="&amp;$B112))</f>
        <v>58.066666666666663</v>
      </c>
      <c r="L112">
        <f>IF(COUNTIFS(monthly!D:D,"",monthly!$A:$A,"&gt;="&amp;$A112,monthly!$B:$B,"&lt;="&amp;$B112)&gt;0,"NA",AVERAGEIFS(monthly!D:D,monthly!$A:$A,"&gt;="&amp;$A112,monthly!$B:$B,"&lt;="&amp;$B112))</f>
        <v>0.7331333333333333</v>
      </c>
      <c r="M112">
        <f>IF(COUNTIFS(monthly!E:E,"",monthly!$A:$A,"&gt;="&amp;$A112,monthly!$B:$B,"&lt;="&amp;$B112)&gt;0,"NA",AVERAGEIFS(monthly!E:E,monthly!$A:$A,"&gt;="&amp;$A112,monthly!$B:$B,"&lt;="&amp;$B112))</f>
        <v>32.752508855882532</v>
      </c>
      <c r="N112" t="str">
        <f>IF(COUNTIFS(monthly!F:F,"",monthly!$A:$A,"&gt;="&amp;$A112,monthly!$B:$B,"&lt;="&amp;$B112)&gt;0,"NA",AVERAGEIFS(monthly!F:F,monthly!$A:$A,"&gt;="&amp;$A112,monthly!$B:$B,"&lt;="&amp;$B112))</f>
        <v>NA</v>
      </c>
      <c r="O112">
        <f>IF(COUNTIFS(monthly!G:G,"",monthly!$A:$A,"&gt;="&amp;$A112,monthly!$B:$B,"&lt;="&amp;$B112)&gt;0,"NA",AVERAGEIFS(monthly!G:G,monthly!$A:$A,"&gt;="&amp;$A112,monthly!$B:$B,"&lt;="&amp;$B112))</f>
        <v>30.2</v>
      </c>
      <c r="P112">
        <f>IF(COUNTIFS(monthly!H:H,"",monthly!$A:$A,"&gt;="&amp;$A112,monthly!$B:$B,"&lt;="&amp;$B112)&gt;0,"NA",AVERAGEIFS(monthly!H:H,monthly!$A:$A,"&gt;="&amp;$A112,monthly!$B:$B,"&lt;="&amp;$B112))</f>
        <v>36.366666666666667</v>
      </c>
      <c r="Q112">
        <f>IF(COUNTIFS(monthly!I:I,"",monthly!$A:$A,"&gt;="&amp;$A112,monthly!$B:$B,"&lt;="&amp;$B112)&gt;0,"NA",AVERAGEIFS(monthly!I:I,monthly!$A:$A,"&gt;="&amp;$A112,monthly!$B:$B,"&lt;="&amp;$B112))</f>
        <v>18.533333333333331</v>
      </c>
      <c r="R112">
        <f>IF(COUNTIFS(monthly!J:J,"",monthly!$A:$A,"&gt;="&amp;$A112,monthly!$B:$B,"&lt;="&amp;$B112)&gt;0,"NA",AVERAGEIFS(monthly!J:J,monthly!$A:$A,"&gt;="&amp;$A112,monthly!$B:$B,"&lt;="&amp;$B112))</f>
        <v>3.7566666666666664</v>
      </c>
      <c r="S112">
        <f>IF(COUNTIFS(monthly!K:K,"",monthly!$A:$A,"&gt;="&amp;$A112,monthly!$B:$B,"&lt;="&amp;$B112)&gt;0,"NA",AVERAGEIFS(monthly!K:K,monthly!$A:$A,"&gt;="&amp;$A112,monthly!$B:$B,"&lt;="&amp;$B112))</f>
        <v>5.1521739130434767</v>
      </c>
      <c r="T112">
        <f>IF(COUNTIFS(monthly!L:L,"",monthly!$A:$A,"&gt;="&amp;$A112,monthly!$B:$B,"&lt;="&amp;$B112)&gt;0,"NA",AVERAGEIFS(monthly!L:L,monthly!$A:$A,"&gt;="&amp;$A112,monthly!$B:$B,"&lt;="&amp;$B112))</f>
        <v>5.5347383512544797</v>
      </c>
      <c r="U112">
        <f>IF(COUNTIFS(monthly!M:M,"",monthly!$A:$A,"&gt;="&amp;$A112,monthly!$B:$B,"&lt;="&amp;$B112)&gt;0,"NA",AVERAGEIFS(monthly!M:M,monthly!$A:$A,"&gt;="&amp;$A112,monthly!$B:$B,"&lt;="&amp;$B112))</f>
        <v>-0.38256443821100355</v>
      </c>
      <c r="V112">
        <f>IF(COUNTIFS(monthly!N:N,"",monthly!$A:$A,"&gt;="&amp;$A112,monthly!$B:$B,"&lt;="&amp;$B112)&gt;0,"NA",AVERAGEIFS(monthly!N:N,monthly!$A:$A,"&gt;="&amp;$A112,monthly!$B:$B,"&lt;="&amp;$B112))</f>
        <v>5.2270967438358751</v>
      </c>
      <c r="W112">
        <f>IF(COUNTIFS(monthly!O:O,"",monthly!$A:$A,"&gt;="&amp;$A112,monthly!$B:$B,"&lt;="&amp;$B112)&gt;0,"NA",AVERAGEIFS(monthly!O:O,monthly!$A:$A,"&gt;="&amp;$A112,monthly!$B:$B,"&lt;="&amp;$B112))</f>
        <v>5.9039538239538247</v>
      </c>
      <c r="X112">
        <f>IF(COUNTIFS(monthly!P:P,"",monthly!$A:$A,"&gt;="&amp;$A112,monthly!$B:$B,"&lt;="&amp;$B112)&gt;0,"NA",AVERAGEIFS(monthly!P:P,monthly!$A:$A,"&gt;="&amp;$A112,monthly!$B:$B,"&lt;="&amp;$B112))</f>
        <v>-0.67685708011794998</v>
      </c>
      <c r="Y112">
        <f>IF(COUNTIFS(monthly!Q:Q,"",monthly!$A:$A,"&gt;="&amp;$A112,monthly!$B:$B,"&lt;="&amp;$B112)&gt;0,"NA",AVERAGEIFS(monthly!Q:Q,monthly!$A:$A,"&gt;="&amp;$A112,monthly!$B:$B,"&lt;="&amp;$B112))</f>
        <v>6.5349749043227305</v>
      </c>
      <c r="Z112">
        <f>IF(COUNTIFS(monthly!R:R,"",monthly!$A:$A,"&gt;="&amp;$A112,monthly!$B:$B,"&lt;="&amp;$B112)&gt;0,"NA",AVERAGEIFS(monthly!R:R,monthly!$A:$A,"&gt;="&amp;$A112,monthly!$B:$B,"&lt;="&amp;$B112))</f>
        <v>6.2425324675324667</v>
      </c>
      <c r="AA112">
        <f>IF(COUNTIFS(monthly!S:S,"",monthly!$A:$A,"&gt;="&amp;$A112,monthly!$B:$B,"&lt;="&amp;$B112)&gt;0,"NA",AVERAGEIFS(monthly!S:S,monthly!$A:$A,"&gt;="&amp;$A112,monthly!$B:$B,"&lt;="&amp;$B112))</f>
        <v>0.29244243679026471</v>
      </c>
      <c r="AB112">
        <f>IF(COUNTIFS(monthly!T:T,"",monthly!$A:$A,"&gt;="&amp;$A112,monthly!$B:$B,"&lt;="&amp;$B112)&gt;0,"NA",AVERAGEIFS(monthly!T:T,monthly!$A:$A,"&gt;="&amp;$A112,monthly!$B:$B,"&lt;="&amp;$B112))</f>
        <v>22.475411255411256</v>
      </c>
      <c r="AC112">
        <f>IF(COUNTIFS(monthly!U:U,"",monthly!$A:$A,"&gt;="&amp;$A112,monthly!$B:$B,"&lt;="&amp;$B112)&gt;0,"NA",AVERAGEIFS(monthly!U:U,monthly!$A:$A,"&gt;="&amp;$A112,monthly!$B:$B,"&lt;="&amp;$B112))</f>
        <v>65.491693816973182</v>
      </c>
      <c r="AD112" t="str">
        <f>IF(COUNTIFS(monthly!V:V,"",monthly!$A:$A,"&gt;="&amp;$A112,monthly!$B:$B,"&lt;="&amp;$B112)&gt;0,"NA",AVERAGEIFS(monthly!V:V,monthly!$A:$A,"&gt;="&amp;$A112,monthly!$B:$B,"&lt;="&amp;$B112))</f>
        <v>NA</v>
      </c>
      <c r="AE112">
        <f>IF(COUNTIFS(monthly!W:W,"",monthly!$A:$A,"&gt;="&amp;$A112,monthly!$B:$B,"&lt;="&amp;$B112)&gt;0,"NA",AVERAGEIFS(monthly!W:W,monthly!$A:$A,"&gt;="&amp;$A112,monthly!$B:$B,"&lt;="&amp;$B112))</f>
        <v>46.323270161946617</v>
      </c>
      <c r="AF112">
        <f>IF(COUNTIFS(monthly!X:X,"",monthly!$A:$A,"&gt;="&amp;$A112,monthly!$B:$B,"&lt;="&amp;$B112)&gt;0,"NA",AVERAGEIFS(monthly!X:X,monthly!$A:$A,"&gt;="&amp;$A112,monthly!$B:$B,"&lt;="&amp;$B112))</f>
        <v>45.125460306803383</v>
      </c>
      <c r="AG112">
        <f>IF(COUNTIFS(monthly!Y:Y,"",monthly!$A:$A,"&gt;="&amp;$A112,monthly!$B:$B,"&lt;="&amp;$B112)&gt;0,"NA",AVERAGEIFS(monthly!Y:Y,monthly!$A:$A,"&gt;="&amp;$A112,monthly!$B:$B,"&lt;="&amp;$B112))</f>
        <v>44.648895263671875</v>
      </c>
      <c r="AH112">
        <f>IF(COUNTIFS(monthly!Z:Z,"",monthly!$A:$A,"&gt;="&amp;$A112,monthly!$B:$B,"&lt;="&amp;$B112)&gt;0,"NA",AVERAGEIFS(monthly!Z:Z,monthly!$A:$A,"&gt;="&amp;$A112,monthly!$B:$B,"&lt;="&amp;$B112))</f>
        <v>3.3932923028866448E-2</v>
      </c>
    </row>
    <row r="113" spans="1:34" x14ac:dyDescent="0.2">
      <c r="A113" s="1">
        <v>35704</v>
      </c>
      <c r="B113" s="1">
        <v>35794</v>
      </c>
      <c r="C113">
        <f>IF(ISBLANK(VLOOKUP($A113,quarterly_data,MATCH(C$1,quarterly!$1:$1,FALSE),FALSE)),"NA",VLOOKUP($A113,quarterly_data,MATCH(C$1,quarterly!$1:$1,FALSE),FALSE))</f>
        <v>107.76421040252542</v>
      </c>
      <c r="D113">
        <f>IF(ISBLANK(VLOOKUP($A113,quarterly_data,MATCH(D$1,quarterly!$1:$1,FALSE),FALSE)),"NA",VLOOKUP($A113,quarterly_data,MATCH(D$1,quarterly!$1:$1,FALSE),FALSE))</f>
        <v>52.4</v>
      </c>
      <c r="E113">
        <f>IF(ISBLANK(VLOOKUP($A113,quarterly_data,MATCH(E$1,quarterly!$1:$1,FALSE),FALSE)),"NA",VLOOKUP($A113,quarterly_data,MATCH(E$1,quarterly!$1:$1,FALSE),FALSE))</f>
        <v>0</v>
      </c>
      <c r="F113">
        <f>IF(ISBLANK(VLOOKUP($A113,quarterly_data,MATCH(F$1,quarterly!$1:$1,FALSE),FALSE)),"NA",VLOOKUP($A113,quarterly_data,MATCH(F$1,quarterly!$1:$1,FALSE),FALSE))</f>
        <v>7.1073000000000004E-3</v>
      </c>
      <c r="G113">
        <f>IF(ISBLANK(VLOOKUP($A113,quarterly_data,MATCH(G$1,quarterly!$1:$1,FALSE),FALSE)),"NA",VLOOKUP($A113,quarterly_data,MATCH(G$1,quarterly!$1:$1,FALSE),FALSE))</f>
        <v>12577.495000000001</v>
      </c>
      <c r="H113">
        <f>IF(ISBLANK(VLOOKUP($A113,quarterly_data,MATCH(H$1,quarterly!$1:$1,FALSE),FALSE)),"NA",VLOOKUP($A113,quarterly_data,MATCH(H$1,quarterly!$1:$1,FALSE),FALSE))</f>
        <v>320517</v>
      </c>
      <c r="I113">
        <f>IF(ISBLANK(VLOOKUP($A113,quarterly_data,MATCH(I$1,quarterly!$1:$1,FALSE),FALSE)),"NA",VLOOKUP($A113,quarterly_data,MATCH(I$1,quarterly!$1:$1,FALSE),FALSE))</f>
        <v>0.7</v>
      </c>
      <c r="J113">
        <f>IF(ISBLANK(VLOOKUP($A113,quarterly_data,MATCH(J$1,quarterly!$1:$1,FALSE),FALSE)),"NA",VLOOKUP($A113,quarterly_data,MATCH(J$1,quarterly!$1:$1,FALSE),FALSE))</f>
        <v>46.39</v>
      </c>
      <c r="K113">
        <f>IF(COUNTIFS(monthly!C:C,"",monthly!$A:$A,"&gt;="&amp;$A113,monthly!$B:$B,"&lt;="&amp;$B113)&gt;0,"NA",AVERAGEIFS(monthly!C:C,monthly!$A:$A,"&gt;="&amp;$A113,monthly!$B:$B,"&lt;="&amp;$B113))</f>
        <v>57.05</v>
      </c>
      <c r="L113">
        <f>IF(COUNTIFS(monthly!D:D,"",monthly!$A:$A,"&gt;="&amp;$A113,monthly!$B:$B,"&lt;="&amp;$B113)&gt;0,"NA",AVERAGEIFS(monthly!D:D,monthly!$A:$A,"&gt;="&amp;$A113,monthly!$B:$B,"&lt;="&amp;$B113))</f>
        <v>0.69195000000000007</v>
      </c>
      <c r="M113">
        <f>IF(COUNTIFS(monthly!E:E,"",monthly!$A:$A,"&gt;="&amp;$A113,monthly!$B:$B,"&lt;="&amp;$B113)&gt;0,"NA",AVERAGEIFS(monthly!E:E,monthly!$A:$A,"&gt;="&amp;$A113,monthly!$B:$B,"&lt;="&amp;$B113))</f>
        <v>32.0652348889314</v>
      </c>
      <c r="N113" t="str">
        <f>IF(COUNTIFS(monthly!F:F,"",monthly!$A:$A,"&gt;="&amp;$A113,monthly!$B:$B,"&lt;="&amp;$B113)&gt;0,"NA",AVERAGEIFS(monthly!F:F,monthly!$A:$A,"&gt;="&amp;$A113,monthly!$B:$B,"&lt;="&amp;$B113))</f>
        <v>NA</v>
      </c>
      <c r="O113">
        <f>IF(COUNTIFS(monthly!G:G,"",monthly!$A:$A,"&gt;="&amp;$A113,monthly!$B:$B,"&lt;="&amp;$B113)&gt;0,"NA",AVERAGEIFS(monthly!G:G,monthly!$A:$A,"&gt;="&amp;$A113,monthly!$B:$B,"&lt;="&amp;$B113))</f>
        <v>30.2</v>
      </c>
      <c r="P113">
        <f>IF(COUNTIFS(monthly!H:H,"",monthly!$A:$A,"&gt;="&amp;$A113,monthly!$B:$B,"&lt;="&amp;$B113)&gt;0,"NA",AVERAGEIFS(monthly!H:H,monthly!$A:$A,"&gt;="&amp;$A113,monthly!$B:$B,"&lt;="&amp;$B113))</f>
        <v>35.400000000000006</v>
      </c>
      <c r="Q113">
        <f>IF(COUNTIFS(monthly!I:I,"",monthly!$A:$A,"&gt;="&amp;$A113,monthly!$B:$B,"&lt;="&amp;$B113)&gt;0,"NA",AVERAGEIFS(monthly!I:I,monthly!$A:$A,"&gt;="&amp;$A113,monthly!$B:$B,"&lt;="&amp;$B113))</f>
        <v>19.45</v>
      </c>
      <c r="R113">
        <f>IF(COUNTIFS(monthly!J:J,"",monthly!$A:$A,"&gt;="&amp;$A113,monthly!$B:$B,"&lt;="&amp;$B113)&gt;0,"NA",AVERAGEIFS(monthly!J:J,monthly!$A:$A,"&gt;="&amp;$A113,monthly!$B:$B,"&lt;="&amp;$B113))</f>
        <v>3.6500000000000004</v>
      </c>
      <c r="S113">
        <f>IF(COUNTIFS(monthly!K:K,"",monthly!$A:$A,"&gt;="&amp;$A113,monthly!$B:$B,"&lt;="&amp;$B113)&gt;0,"NA",AVERAGEIFS(monthly!K:K,monthly!$A:$A,"&gt;="&amp;$A113,monthly!$B:$B,"&lt;="&amp;$B113))</f>
        <v>5</v>
      </c>
      <c r="T113">
        <f>IF(COUNTIFS(monthly!L:L,"",monthly!$A:$A,"&gt;="&amp;$A113,monthly!$B:$B,"&lt;="&amp;$B113)&gt;0,"NA",AVERAGEIFS(monthly!L:L,monthly!$A:$A,"&gt;="&amp;$A113,monthly!$B:$B,"&lt;="&amp;$B113))</f>
        <v>5.5088978494623655</v>
      </c>
      <c r="U113">
        <f>IF(COUNTIFS(monthly!M:M,"",monthly!$A:$A,"&gt;="&amp;$A113,monthly!$B:$B,"&lt;="&amp;$B113)&gt;0,"NA",AVERAGEIFS(monthly!M:M,monthly!$A:$A,"&gt;="&amp;$A113,monthly!$B:$B,"&lt;="&amp;$B113))</f>
        <v>-0.50889784946236549</v>
      </c>
      <c r="V113">
        <f>IF(COUNTIFS(monthly!N:N,"",monthly!$A:$A,"&gt;="&amp;$A113,monthly!$B:$B,"&lt;="&amp;$B113)&gt;0,"NA",AVERAGEIFS(monthly!N:N,monthly!$A:$A,"&gt;="&amp;$A113,monthly!$B:$B,"&lt;="&amp;$B113))</f>
        <v>5.1365543478260864</v>
      </c>
      <c r="W113">
        <f>IF(COUNTIFS(monthly!O:O,"",monthly!$A:$A,"&gt;="&amp;$A113,monthly!$B:$B,"&lt;="&amp;$B113)&gt;0,"NA",AVERAGEIFS(monthly!O:O,monthly!$A:$A,"&gt;="&amp;$A113,monthly!$B:$B,"&lt;="&amp;$B113))</f>
        <v>5.7422979797979803</v>
      </c>
      <c r="X113">
        <f>IF(COUNTIFS(monthly!P:P,"",monthly!$A:$A,"&gt;="&amp;$A113,monthly!$B:$B,"&lt;="&amp;$B113)&gt;0,"NA",AVERAGEIFS(monthly!P:P,monthly!$A:$A,"&gt;="&amp;$A113,monthly!$B:$B,"&lt;="&amp;$B113))</f>
        <v>-0.6057436319718934</v>
      </c>
      <c r="Y113">
        <f>IF(COUNTIFS(monthly!Q:Q,"",monthly!$A:$A,"&gt;="&amp;$A113,monthly!$B:$B,"&lt;="&amp;$B113)&gt;0,"NA",AVERAGEIFS(monthly!Q:Q,monthly!$A:$A,"&gt;="&amp;$A113,monthly!$B:$B,"&lt;="&amp;$B113))</f>
        <v>6.1065869565217392</v>
      </c>
      <c r="Z113">
        <f>IF(COUNTIFS(monthly!R:R,"",monthly!$A:$A,"&gt;="&amp;$A113,monthly!$B:$B,"&lt;="&amp;$B113)&gt;0,"NA",AVERAGEIFS(monthly!R:R,monthly!$A:$A,"&gt;="&amp;$A113,monthly!$B:$B,"&lt;="&amp;$B113))</f>
        <v>5.952272727272728</v>
      </c>
      <c r="AA113">
        <f>IF(COUNTIFS(monthly!S:S,"",monthly!$A:$A,"&gt;="&amp;$A113,monthly!$B:$B,"&lt;="&amp;$B113)&gt;0,"NA",AVERAGEIFS(monthly!S:S,monthly!$A:$A,"&gt;="&amp;$A113,monthly!$B:$B,"&lt;="&amp;$B113))</f>
        <v>0.15431422924901161</v>
      </c>
      <c r="AB113">
        <f>IF(COUNTIFS(monthly!T:T,"",monthly!$A:$A,"&gt;="&amp;$A113,monthly!$B:$B,"&lt;="&amp;$B113)&gt;0,"NA",AVERAGEIFS(monthly!T:T,monthly!$A:$A,"&gt;="&amp;$A113,monthly!$B:$B,"&lt;="&amp;$B113))</f>
        <v>28.038490338164252</v>
      </c>
      <c r="AC113">
        <f>IF(COUNTIFS(monthly!U:U,"",monthly!$A:$A,"&gt;="&amp;$A113,monthly!$B:$B,"&lt;="&amp;$B113)&gt;0,"NA",AVERAGEIFS(monthly!U:U,monthly!$A:$A,"&gt;="&amp;$A113,monthly!$B:$B,"&lt;="&amp;$B113))</f>
        <v>88.194050208571468</v>
      </c>
      <c r="AD113" t="str">
        <f>IF(COUNTIFS(monthly!V:V,"",monthly!$A:$A,"&gt;="&amp;$A113,monthly!$B:$B,"&lt;="&amp;$B113)&gt;0,"NA",AVERAGEIFS(monthly!V:V,monthly!$A:$A,"&gt;="&amp;$A113,monthly!$B:$B,"&lt;="&amp;$B113))</f>
        <v>NA</v>
      </c>
      <c r="AE113">
        <f>IF(COUNTIFS(monthly!W:W,"",monthly!$A:$A,"&gt;="&amp;$A113,monthly!$B:$B,"&lt;="&amp;$B113)&gt;0,"NA",AVERAGEIFS(monthly!W:W,monthly!$A:$A,"&gt;="&amp;$A113,monthly!$B:$B,"&lt;="&amp;$B113))</f>
        <v>54.719839096069336</v>
      </c>
      <c r="AF113">
        <f>IF(COUNTIFS(monthly!X:X,"",monthly!$A:$A,"&gt;="&amp;$A113,monthly!$B:$B,"&lt;="&amp;$B113)&gt;0,"NA",AVERAGEIFS(monthly!X:X,monthly!$A:$A,"&gt;="&amp;$A113,monthly!$B:$B,"&lt;="&amp;$B113))</f>
        <v>68.862884521484375</v>
      </c>
      <c r="AG113">
        <f>IF(COUNTIFS(monthly!Y:Y,"",monthly!$A:$A,"&gt;="&amp;$A113,monthly!$B:$B,"&lt;="&amp;$B113)&gt;0,"NA",AVERAGEIFS(monthly!Y:Y,monthly!$A:$A,"&gt;="&amp;$A113,monthly!$B:$B,"&lt;="&amp;$B113))</f>
        <v>33.612869262695312</v>
      </c>
      <c r="AH113">
        <f>IF(COUNTIFS(monthly!Z:Z,"",monthly!$A:$A,"&gt;="&amp;$A113,monthly!$B:$B,"&lt;="&amp;$B113)&gt;0,"NA",AVERAGEIFS(monthly!Z:Z,monthly!$A:$A,"&gt;="&amp;$A113,monthly!$B:$B,"&lt;="&amp;$B113))</f>
        <v>0.12978310510516167</v>
      </c>
    </row>
    <row r="114" spans="1:34" x14ac:dyDescent="0.2">
      <c r="A114" s="1">
        <v>35796</v>
      </c>
      <c r="B114" s="1">
        <v>35884</v>
      </c>
      <c r="C114">
        <f>IF(ISBLANK(VLOOKUP($A114,quarterly_data,MATCH(C$1,quarterly!$1:$1,FALSE),FALSE)),"NA",VLOOKUP($A114,quarterly_data,MATCH(C$1,quarterly!$1:$1,FALSE),FALSE))</f>
        <v>111.62610200814763</v>
      </c>
      <c r="D114">
        <f>IF(ISBLANK(VLOOKUP($A114,quarterly_data,MATCH(D$1,quarterly!$1:$1,FALSE),FALSE)),"NA",VLOOKUP($A114,quarterly_data,MATCH(D$1,quarterly!$1:$1,FALSE),FALSE))</f>
        <v>51.6</v>
      </c>
      <c r="E114">
        <f>IF(ISBLANK(VLOOKUP($A114,quarterly_data,MATCH(E$1,quarterly!$1:$1,FALSE),FALSE)),"NA",VLOOKUP($A114,quarterly_data,MATCH(E$1,quarterly!$1:$1,FALSE),FALSE))</f>
        <v>0</v>
      </c>
      <c r="F114">
        <f>IF(ISBLANK(VLOOKUP($A114,quarterly_data,MATCH(F$1,quarterly!$1:$1,FALSE),FALSE)),"NA",VLOOKUP($A114,quarterly_data,MATCH(F$1,quarterly!$1:$1,FALSE),FALSE))</f>
        <v>0</v>
      </c>
      <c r="G114">
        <f>IF(ISBLANK(VLOOKUP($A114,quarterly_data,MATCH(G$1,quarterly!$1:$1,FALSE),FALSE)),"NA",VLOOKUP($A114,quarterly_data,MATCH(G$1,quarterly!$1:$1,FALSE),FALSE))</f>
        <v>12703.742</v>
      </c>
      <c r="H114">
        <f>IF(ISBLANK(VLOOKUP($A114,quarterly_data,MATCH(H$1,quarterly!$1:$1,FALSE),FALSE)),"NA",VLOOKUP($A114,quarterly_data,MATCH(H$1,quarterly!$1:$1,FALSE),FALSE))</f>
        <v>322488</v>
      </c>
      <c r="I114">
        <f>IF(ISBLANK(VLOOKUP($A114,quarterly_data,MATCH(I$1,quarterly!$1:$1,FALSE),FALSE)),"NA",VLOOKUP($A114,quarterly_data,MATCH(I$1,quarterly!$1:$1,FALSE),FALSE))</f>
        <v>0.5</v>
      </c>
      <c r="J114">
        <f>IF(ISBLANK(VLOOKUP($A114,quarterly_data,MATCH(J$1,quarterly!$1:$1,FALSE),FALSE)),"NA",VLOOKUP($A114,quarterly_data,MATCH(J$1,quarterly!$1:$1,FALSE),FALSE))</f>
        <v>46.51</v>
      </c>
      <c r="K114">
        <f>IF(COUNTIFS(monthly!C:C,"",monthly!$A:$A,"&gt;="&amp;$A114,monthly!$B:$B,"&lt;="&amp;$B114)&gt;0,"NA",AVERAGEIFS(monthly!C:C,monthly!$A:$A,"&gt;="&amp;$A114,monthly!$B:$B,"&lt;="&amp;$B114))</f>
        <v>61.25</v>
      </c>
      <c r="L114">
        <f>IF(COUNTIFS(monthly!D:D,"",monthly!$A:$A,"&gt;="&amp;$A114,monthly!$B:$B,"&lt;="&amp;$B114)&gt;0,"NA",AVERAGEIFS(monthly!D:D,monthly!$A:$A,"&gt;="&amp;$A114,monthly!$B:$B,"&lt;="&amp;$B114))</f>
        <v>0.67189999999999994</v>
      </c>
      <c r="M114">
        <f>IF(COUNTIFS(monthly!E:E,"",monthly!$A:$A,"&gt;="&amp;$A114,monthly!$B:$B,"&lt;="&amp;$B114)&gt;0,"NA",AVERAGEIFS(monthly!E:E,monthly!$A:$A,"&gt;="&amp;$A114,monthly!$B:$B,"&lt;="&amp;$B114))</f>
        <v>30.687980358170901</v>
      </c>
      <c r="N114" t="str">
        <f>IF(COUNTIFS(monthly!F:F,"",monthly!$A:$A,"&gt;="&amp;$A114,monthly!$B:$B,"&lt;="&amp;$B114)&gt;0,"NA",AVERAGEIFS(monthly!F:F,monthly!$A:$A,"&gt;="&amp;$A114,monthly!$B:$B,"&lt;="&amp;$B114))</f>
        <v>NA</v>
      </c>
      <c r="O114">
        <f>IF(COUNTIFS(monthly!G:G,"",monthly!$A:$A,"&gt;="&amp;$A114,monthly!$B:$B,"&lt;="&amp;$B114)&gt;0,"NA",AVERAGEIFS(monthly!G:G,monthly!$A:$A,"&gt;="&amp;$A114,monthly!$B:$B,"&lt;="&amp;$B114))</f>
        <v>31</v>
      </c>
      <c r="P114">
        <f>IF(COUNTIFS(monthly!H:H,"",monthly!$A:$A,"&gt;="&amp;$A114,monthly!$B:$B,"&lt;="&amp;$B114)&gt;0,"NA",AVERAGEIFS(monthly!H:H,monthly!$A:$A,"&gt;="&amp;$A114,monthly!$B:$B,"&lt;="&amp;$B114))</f>
        <v>32.4</v>
      </c>
      <c r="Q114">
        <f>IF(COUNTIFS(monthly!I:I,"",monthly!$A:$A,"&gt;="&amp;$A114,monthly!$B:$B,"&lt;="&amp;$B114)&gt;0,"NA",AVERAGEIFS(monthly!I:I,monthly!$A:$A,"&gt;="&amp;$A114,monthly!$B:$B,"&lt;="&amp;$B114))</f>
        <v>14.6</v>
      </c>
      <c r="R114">
        <f>IF(COUNTIFS(monthly!J:J,"",monthly!$A:$A,"&gt;="&amp;$A114,monthly!$B:$B,"&lt;="&amp;$B114)&gt;0,"NA",AVERAGEIFS(monthly!J:J,monthly!$A:$A,"&gt;="&amp;$A114,monthly!$B:$B,"&lt;="&amp;$B114))</f>
        <v>3.4850000000000003</v>
      </c>
      <c r="S114">
        <f>IF(COUNTIFS(monthly!K:K,"",monthly!$A:$A,"&gt;="&amp;$A114,monthly!$B:$B,"&lt;="&amp;$B114)&gt;0,"NA",AVERAGEIFS(monthly!K:K,monthly!$A:$A,"&gt;="&amp;$A114,monthly!$B:$B,"&lt;="&amp;$B114))</f>
        <v>5</v>
      </c>
      <c r="T114">
        <f>IF(COUNTIFS(monthly!L:L,"",monthly!$A:$A,"&gt;="&amp;$A114,monthly!$B:$B,"&lt;="&amp;$B114)&gt;0,"NA",AVERAGEIFS(monthly!L:L,monthly!$A:$A,"&gt;="&amp;$A114,monthly!$B:$B,"&lt;="&amp;$B114))</f>
        <v>5.531566820276498</v>
      </c>
      <c r="U114">
        <f>IF(COUNTIFS(monthly!M:M,"",monthly!$A:$A,"&gt;="&amp;$A114,monthly!$B:$B,"&lt;="&amp;$B114)&gt;0,"NA",AVERAGEIFS(monthly!M:M,monthly!$A:$A,"&gt;="&amp;$A114,monthly!$B:$B,"&lt;="&amp;$B114))</f>
        <v>-0.53156682027649804</v>
      </c>
      <c r="V114">
        <f>IF(COUNTIFS(monthly!N:N,"",monthly!$A:$A,"&gt;="&amp;$A114,monthly!$B:$B,"&lt;="&amp;$B114)&gt;0,"NA",AVERAGEIFS(monthly!N:N,monthly!$A:$A,"&gt;="&amp;$A114,monthly!$B:$B,"&lt;="&amp;$B114))</f>
        <v>5.1067499999999999</v>
      </c>
      <c r="W114">
        <f>IF(COUNTIFS(monthly!O:O,"",monthly!$A:$A,"&gt;="&amp;$A114,monthly!$B:$B,"&lt;="&amp;$B114)&gt;0,"NA",AVERAGEIFS(monthly!O:O,monthly!$A:$A,"&gt;="&amp;$A114,monthly!$B:$B,"&lt;="&amp;$B114))</f>
        <v>5.3874473684210518</v>
      </c>
      <c r="X114">
        <f>IF(COUNTIFS(monthly!P:P,"",monthly!$A:$A,"&gt;="&amp;$A114,monthly!$B:$B,"&lt;="&amp;$B114)&gt;0,"NA",AVERAGEIFS(monthly!P:P,monthly!$A:$A,"&gt;="&amp;$A114,monthly!$B:$B,"&lt;="&amp;$B114))</f>
        <v>-0.28069736842105142</v>
      </c>
      <c r="Y114">
        <f>IF(COUNTIFS(monthly!Q:Q,"",monthly!$A:$A,"&gt;="&amp;$A114,monthly!$B:$B,"&lt;="&amp;$B114)&gt;0,"NA",AVERAGEIFS(monthly!Q:Q,monthly!$A:$A,"&gt;="&amp;$A114,monthly!$B:$B,"&lt;="&amp;$B114))</f>
        <v>5.8465000000000007</v>
      </c>
      <c r="Z114">
        <f>IF(COUNTIFS(monthly!R:R,"",monthly!$A:$A,"&gt;="&amp;$A114,monthly!$B:$B,"&lt;="&amp;$B114)&gt;0,"NA",AVERAGEIFS(monthly!R:R,monthly!$A:$A,"&gt;="&amp;$A114,monthly!$B:$B,"&lt;="&amp;$B114))</f>
        <v>5.5596184210526332</v>
      </c>
      <c r="AA114">
        <f>IF(COUNTIFS(monthly!S:S,"",monthly!$A:$A,"&gt;="&amp;$A114,monthly!$B:$B,"&lt;="&amp;$B114)&gt;0,"NA",AVERAGEIFS(monthly!S:S,monthly!$A:$A,"&gt;="&amp;$A114,monthly!$B:$B,"&lt;="&amp;$B114))</f>
        <v>0.28688157894736799</v>
      </c>
      <c r="AB114">
        <f>IF(COUNTIFS(monthly!T:T,"",monthly!$A:$A,"&gt;="&amp;$A114,monthly!$B:$B,"&lt;="&amp;$B114)&gt;0,"NA",AVERAGEIFS(monthly!T:T,monthly!$A:$A,"&gt;="&amp;$A114,monthly!$B:$B,"&lt;="&amp;$B114))</f>
        <v>21.932723684210522</v>
      </c>
      <c r="AC114">
        <f>IF(COUNTIFS(monthly!U:U,"",monthly!$A:$A,"&gt;="&amp;$A114,monthly!$B:$B,"&lt;="&amp;$B114)&gt;0,"NA",AVERAGEIFS(monthly!U:U,monthly!$A:$A,"&gt;="&amp;$A114,monthly!$B:$B,"&lt;="&amp;$B114))</f>
        <v>92.914875304682369</v>
      </c>
      <c r="AD114">
        <f>IF(COUNTIFS(monthly!V:V,"",monthly!$A:$A,"&gt;="&amp;$A114,monthly!$B:$B,"&lt;="&amp;$B114)&gt;0,"NA",AVERAGEIFS(monthly!V:V,monthly!$A:$A,"&gt;="&amp;$A114,monthly!$B:$B,"&lt;="&amp;$B114))</f>
        <v>99.826253483537215</v>
      </c>
      <c r="AE114">
        <f>IF(COUNTIFS(monthly!W:W,"",monthly!$A:$A,"&gt;="&amp;$A114,monthly!$B:$B,"&lt;="&amp;$B114)&gt;0,"NA",AVERAGEIFS(monthly!W:W,monthly!$A:$A,"&gt;="&amp;$A114,monthly!$B:$B,"&lt;="&amp;$B114))</f>
        <v>65.346960067749023</v>
      </c>
      <c r="AF114">
        <f>IF(COUNTIFS(monthly!X:X,"",monthly!$A:$A,"&gt;="&amp;$A114,monthly!$B:$B,"&lt;="&amp;$B114)&gt;0,"NA",AVERAGEIFS(monthly!X:X,monthly!$A:$A,"&gt;="&amp;$A114,monthly!$B:$B,"&lt;="&amp;$B114))</f>
        <v>80.831048965454102</v>
      </c>
      <c r="AG114">
        <f>IF(COUNTIFS(monthly!Y:Y,"",monthly!$A:$A,"&gt;="&amp;$A114,monthly!$B:$B,"&lt;="&amp;$B114)&gt;0,"NA",AVERAGEIFS(monthly!Y:Y,monthly!$A:$A,"&gt;="&amp;$A114,monthly!$B:$B,"&lt;="&amp;$B114))</f>
        <v>43.92791748046875</v>
      </c>
      <c r="AH114">
        <f>IF(COUNTIFS(monthly!Z:Z,"",monthly!$A:$A,"&gt;="&amp;$A114,monthly!$B:$B,"&lt;="&amp;$B114)&gt;0,"NA",AVERAGEIFS(monthly!Z:Z,monthly!$A:$A,"&gt;="&amp;$A114,monthly!$B:$B,"&lt;="&amp;$B114))</f>
        <v>9.8997429013252258E-2</v>
      </c>
    </row>
    <row r="115" spans="1:34" x14ac:dyDescent="0.2">
      <c r="A115" s="1">
        <v>35886</v>
      </c>
      <c r="B115" s="1">
        <v>35976</v>
      </c>
      <c r="C115">
        <f>IF(ISBLANK(VLOOKUP($A115,quarterly_data,MATCH(C$1,quarterly!$1:$1,FALSE),FALSE)),"NA",VLOOKUP($A115,quarterly_data,MATCH(C$1,quarterly!$1:$1,FALSE),FALSE))</f>
        <v>105.55306847991601</v>
      </c>
      <c r="D115">
        <f>IF(ISBLANK(VLOOKUP($A115,quarterly_data,MATCH(D$1,quarterly!$1:$1,FALSE),FALSE)),"NA",VLOOKUP($A115,quarterly_data,MATCH(D$1,quarterly!$1:$1,FALSE),FALSE))</f>
        <v>51.4</v>
      </c>
      <c r="E115">
        <f>IF(ISBLANK(VLOOKUP($A115,quarterly_data,MATCH(E$1,quarterly!$1:$1,FALSE),FALSE)),"NA",VLOOKUP($A115,quarterly_data,MATCH(E$1,quarterly!$1:$1,FALSE),FALSE))</f>
        <v>0</v>
      </c>
      <c r="F115">
        <f>IF(ISBLANK(VLOOKUP($A115,quarterly_data,MATCH(F$1,quarterly!$1:$1,FALSE),FALSE)),"NA",VLOOKUP($A115,quarterly_data,MATCH(F$1,quarterly!$1:$1,FALSE),FALSE))</f>
        <v>0</v>
      </c>
      <c r="G115">
        <f>IF(ISBLANK(VLOOKUP($A115,quarterly_data,MATCH(G$1,quarterly!$1:$1,FALSE),FALSE)),"NA",VLOOKUP($A115,quarterly_data,MATCH(G$1,quarterly!$1:$1,FALSE),FALSE))</f>
        <v>12821.339</v>
      </c>
      <c r="H115">
        <f>IF(ISBLANK(VLOOKUP($A115,quarterly_data,MATCH(H$1,quarterly!$1:$1,FALSE),FALSE)),"NA",VLOOKUP($A115,quarterly_data,MATCH(H$1,quarterly!$1:$1,FALSE),FALSE))</f>
        <v>325884</v>
      </c>
      <c r="I115">
        <f>IF(ISBLANK(VLOOKUP($A115,quarterly_data,MATCH(I$1,quarterly!$1:$1,FALSE),FALSE)),"NA",VLOOKUP($A115,quarterly_data,MATCH(I$1,quarterly!$1:$1,FALSE),FALSE))</f>
        <v>0.5</v>
      </c>
      <c r="J115">
        <f>IF(ISBLANK(VLOOKUP($A115,quarterly_data,MATCH(J$1,quarterly!$1:$1,FALSE),FALSE)),"NA",VLOOKUP($A115,quarterly_data,MATCH(J$1,quarterly!$1:$1,FALSE),FALSE))</f>
        <v>46.78</v>
      </c>
      <c r="K115">
        <f>IF(COUNTIFS(monthly!C:C,"",monthly!$A:$A,"&gt;="&amp;$A115,monthly!$B:$B,"&lt;="&amp;$B115)&gt;0,"NA",AVERAGEIFS(monthly!C:C,monthly!$A:$A,"&gt;="&amp;$A115,monthly!$B:$B,"&lt;="&amp;$B115))</f>
        <v>57.800000000000004</v>
      </c>
      <c r="L115">
        <f>IF(COUNTIFS(monthly!D:D,"",monthly!$A:$A,"&gt;="&amp;$A115,monthly!$B:$B,"&lt;="&amp;$B115)&gt;0,"NA",AVERAGEIFS(monthly!D:D,monthly!$A:$A,"&gt;="&amp;$A115,monthly!$B:$B,"&lt;="&amp;$B115))</f>
        <v>0.629</v>
      </c>
      <c r="M115">
        <f>IF(COUNTIFS(monthly!E:E,"",monthly!$A:$A,"&gt;="&amp;$A115,monthly!$B:$B,"&lt;="&amp;$B115)&gt;0,"NA",AVERAGEIFS(monthly!E:E,monthly!$A:$A,"&gt;="&amp;$A115,monthly!$B:$B,"&lt;="&amp;$B115))</f>
        <v>29.623411385471133</v>
      </c>
      <c r="N115" t="str">
        <f>IF(COUNTIFS(monthly!F:F,"",monthly!$A:$A,"&gt;="&amp;$A115,monthly!$B:$B,"&lt;="&amp;$B115)&gt;0,"NA",AVERAGEIFS(monthly!F:F,monthly!$A:$A,"&gt;="&amp;$A115,monthly!$B:$B,"&lt;="&amp;$B115))</f>
        <v>NA</v>
      </c>
      <c r="O115">
        <f>IF(COUNTIFS(monthly!G:G,"",monthly!$A:$A,"&gt;="&amp;$A115,monthly!$B:$B,"&lt;="&amp;$B115)&gt;0,"NA",AVERAGEIFS(monthly!G:G,monthly!$A:$A,"&gt;="&amp;$A115,monthly!$B:$B,"&lt;="&amp;$B115))</f>
        <v>31</v>
      </c>
      <c r="P115">
        <f>IF(COUNTIFS(monthly!H:H,"",monthly!$A:$A,"&gt;="&amp;$A115,monthly!$B:$B,"&lt;="&amp;$B115)&gt;0,"NA",AVERAGEIFS(monthly!H:H,monthly!$A:$A,"&gt;="&amp;$A115,monthly!$B:$B,"&lt;="&amp;$B115))</f>
        <v>30.5</v>
      </c>
      <c r="Q115">
        <f>IF(COUNTIFS(monthly!I:I,"",monthly!$A:$A,"&gt;="&amp;$A115,monthly!$B:$B,"&lt;="&amp;$B115)&gt;0,"NA",AVERAGEIFS(monthly!I:I,monthly!$A:$A,"&gt;="&amp;$A115,monthly!$B:$B,"&lt;="&amp;$B115))</f>
        <v>13.299999999999999</v>
      </c>
      <c r="R115">
        <f>IF(COUNTIFS(monthly!J:J,"",monthly!$A:$A,"&gt;="&amp;$A115,monthly!$B:$B,"&lt;="&amp;$B115)&gt;0,"NA",AVERAGEIFS(monthly!J:J,monthly!$A:$A,"&gt;="&amp;$A115,monthly!$B:$B,"&lt;="&amp;$B115))</f>
        <v>3.063333333333333</v>
      </c>
      <c r="S115">
        <f>IF(COUNTIFS(monthly!K:K,"",monthly!$A:$A,"&gt;="&amp;$A115,monthly!$B:$B,"&lt;="&amp;$B115)&gt;0,"NA",AVERAGEIFS(monthly!K:K,monthly!$A:$A,"&gt;="&amp;$A115,monthly!$B:$B,"&lt;="&amp;$B115))</f>
        <v>5</v>
      </c>
      <c r="T115">
        <f>IF(COUNTIFS(monthly!L:L,"",monthly!$A:$A,"&gt;="&amp;$A115,monthly!$B:$B,"&lt;="&amp;$B115)&gt;0,"NA",AVERAGEIFS(monthly!L:L,monthly!$A:$A,"&gt;="&amp;$A115,monthly!$B:$B,"&lt;="&amp;$B115))</f>
        <v>5.4975698924731189</v>
      </c>
      <c r="U115">
        <f>IF(COUNTIFS(monthly!M:M,"",monthly!$A:$A,"&gt;="&amp;$A115,monthly!$B:$B,"&lt;="&amp;$B115)&gt;0,"NA",AVERAGEIFS(monthly!M:M,monthly!$A:$A,"&gt;="&amp;$A115,monthly!$B:$B,"&lt;="&amp;$B115))</f>
        <v>-0.497569892473118</v>
      </c>
      <c r="V115">
        <f>IF(COUNTIFS(monthly!N:N,"",monthly!$A:$A,"&gt;="&amp;$A115,monthly!$B:$B,"&lt;="&amp;$B115)&gt;0,"NA",AVERAGEIFS(monthly!N:N,monthly!$A:$A,"&gt;="&amp;$A115,monthly!$B:$B,"&lt;="&amp;$B115))</f>
        <v>5.0445476190476199</v>
      </c>
      <c r="W115">
        <f>IF(COUNTIFS(monthly!O:O,"",monthly!$A:$A,"&gt;="&amp;$A115,monthly!$B:$B,"&lt;="&amp;$B115)&gt;0,"NA",AVERAGEIFS(monthly!O:O,monthly!$A:$A,"&gt;="&amp;$A115,monthly!$B:$B,"&lt;="&amp;$B115))</f>
        <v>5.5592619047619038</v>
      </c>
      <c r="X115">
        <f>IF(COUNTIFS(monthly!P:P,"",monthly!$A:$A,"&gt;="&amp;$A115,monthly!$B:$B,"&lt;="&amp;$B115)&gt;0,"NA",AVERAGEIFS(monthly!P:P,monthly!$A:$A,"&gt;="&amp;$A115,monthly!$B:$B,"&lt;="&amp;$B115))</f>
        <v>-0.51471428571428446</v>
      </c>
      <c r="Y115">
        <f>IF(COUNTIFS(monthly!Q:Q,"",monthly!$A:$A,"&gt;="&amp;$A115,monthly!$B:$B,"&lt;="&amp;$B115)&gt;0,"NA",AVERAGEIFS(monthly!Q:Q,monthly!$A:$A,"&gt;="&amp;$A115,monthly!$B:$B,"&lt;="&amp;$B115))</f>
        <v>5.6334126984126982</v>
      </c>
      <c r="Z115">
        <f>IF(COUNTIFS(monthly!R:R,"",monthly!$A:$A,"&gt;="&amp;$A115,monthly!$B:$B,"&lt;="&amp;$B115)&gt;0,"NA",AVERAGEIFS(monthly!R:R,monthly!$A:$A,"&gt;="&amp;$A115,monthly!$B:$B,"&lt;="&amp;$B115))</f>
        <v>5.5954942279942292</v>
      </c>
      <c r="AA115">
        <f>IF(COUNTIFS(monthly!S:S,"",monthly!$A:$A,"&gt;="&amp;$A115,monthly!$B:$B,"&lt;="&amp;$B115)&gt;0,"NA",AVERAGEIFS(monthly!S:S,monthly!$A:$A,"&gt;="&amp;$A115,monthly!$B:$B,"&lt;="&amp;$B115))</f>
        <v>3.7918470418469852E-2</v>
      </c>
      <c r="AB115">
        <f>IF(COUNTIFS(monthly!T:T,"",monthly!$A:$A,"&gt;="&amp;$A115,monthly!$B:$B,"&lt;="&amp;$B115)&gt;0,"NA",AVERAGEIFS(monthly!T:T,monthly!$A:$A,"&gt;="&amp;$A115,monthly!$B:$B,"&lt;="&amp;$B115))</f>
        <v>21.521766233766233</v>
      </c>
      <c r="AC115">
        <f>IF(COUNTIFS(monthly!U:U,"",monthly!$A:$A,"&gt;="&amp;$A115,monthly!$B:$B,"&lt;="&amp;$B115)&gt;0,"NA",AVERAGEIFS(monthly!U:U,monthly!$A:$A,"&gt;="&amp;$A115,monthly!$B:$B,"&lt;="&amp;$B115))</f>
        <v>83.346613867363558</v>
      </c>
      <c r="AD115">
        <f>IF(COUNTIFS(monthly!V:V,"",monthly!$A:$A,"&gt;="&amp;$A115,monthly!$B:$B,"&lt;="&amp;$B115)&gt;0,"NA",AVERAGEIFS(monthly!V:V,monthly!$A:$A,"&gt;="&amp;$A115,monthly!$B:$B,"&lt;="&amp;$B115))</f>
        <v>106.46703870564382</v>
      </c>
      <c r="AE115">
        <f>IF(COUNTIFS(monthly!W:W,"",monthly!$A:$A,"&gt;="&amp;$A115,monthly!$B:$B,"&lt;="&amp;$B115)&gt;0,"NA",AVERAGEIFS(monthly!W:W,monthly!$A:$A,"&gt;="&amp;$A115,monthly!$B:$B,"&lt;="&amp;$B115))</f>
        <v>73.926381429036454</v>
      </c>
      <c r="AF115">
        <f>IF(COUNTIFS(monthly!X:X,"",monthly!$A:$A,"&gt;="&amp;$A115,monthly!$B:$B,"&lt;="&amp;$B115)&gt;0,"NA",AVERAGEIFS(monthly!X:X,monthly!$A:$A,"&gt;="&amp;$A115,monthly!$B:$B,"&lt;="&amp;$B115))</f>
        <v>94.506984710693359</v>
      </c>
      <c r="AG115">
        <f>IF(COUNTIFS(monthly!Y:Y,"",monthly!$A:$A,"&gt;="&amp;$A115,monthly!$B:$B,"&lt;="&amp;$B115)&gt;0,"NA",AVERAGEIFS(monthly!Y:Y,monthly!$A:$A,"&gt;="&amp;$A115,monthly!$B:$B,"&lt;="&amp;$B115))</f>
        <v>43.52815373738607</v>
      </c>
      <c r="AH115">
        <f>IF(COUNTIFS(monthly!Z:Z,"",monthly!$A:$A,"&gt;="&amp;$A115,monthly!$B:$B,"&lt;="&amp;$B115)&gt;0,"NA",AVERAGEIFS(monthly!Z:Z,monthly!$A:$A,"&gt;="&amp;$A115,monthly!$B:$B,"&lt;="&amp;$B115))</f>
        <v>7.3070190226038292E-2</v>
      </c>
    </row>
    <row r="116" spans="1:34" x14ac:dyDescent="0.2">
      <c r="A116" s="1">
        <v>35977</v>
      </c>
      <c r="B116" s="1">
        <v>36068</v>
      </c>
      <c r="C116">
        <f>IF(ISBLANK(VLOOKUP($A116,quarterly_data,MATCH(C$1,quarterly!$1:$1,FALSE),FALSE)),"NA",VLOOKUP($A116,quarterly_data,MATCH(C$1,quarterly!$1:$1,FALSE),FALSE))</f>
        <v>101.93342581178395</v>
      </c>
      <c r="D116">
        <f>IF(ISBLANK(VLOOKUP($A116,quarterly_data,MATCH(D$1,quarterly!$1:$1,FALSE),FALSE)),"NA",VLOOKUP($A116,quarterly_data,MATCH(D$1,quarterly!$1:$1,FALSE),FALSE))</f>
        <v>49.8</v>
      </c>
      <c r="E116">
        <f>IF(ISBLANK(VLOOKUP($A116,quarterly_data,MATCH(E$1,quarterly!$1:$1,FALSE),FALSE)),"NA",VLOOKUP($A116,quarterly_data,MATCH(E$1,quarterly!$1:$1,FALSE),FALSE))</f>
        <v>0.1507954</v>
      </c>
      <c r="F116">
        <f>IF(ISBLANK(VLOOKUP($A116,quarterly_data,MATCH(F$1,quarterly!$1:$1,FALSE),FALSE)),"NA",VLOOKUP($A116,quarterly_data,MATCH(F$1,quarterly!$1:$1,FALSE),FALSE))</f>
        <v>3.0159100000000001E-2</v>
      </c>
      <c r="G116">
        <f>IF(ISBLANK(VLOOKUP($A116,quarterly_data,MATCH(G$1,quarterly!$1:$1,FALSE),FALSE)),"NA",VLOOKUP($A116,quarterly_data,MATCH(G$1,quarterly!$1:$1,FALSE),FALSE))</f>
        <v>12982.752</v>
      </c>
      <c r="H116">
        <f>IF(ISBLANK(VLOOKUP($A116,quarterly_data,MATCH(H$1,quarterly!$1:$1,FALSE),FALSE)),"NA",VLOOKUP($A116,quarterly_data,MATCH(H$1,quarterly!$1:$1,FALSE),FALSE))</f>
        <v>331945</v>
      </c>
      <c r="I116">
        <f>IF(ISBLANK(VLOOKUP($A116,quarterly_data,MATCH(I$1,quarterly!$1:$1,FALSE),FALSE)),"NA",VLOOKUP($A116,quarterly_data,MATCH(I$1,quarterly!$1:$1,FALSE),FALSE))</f>
        <v>0.3</v>
      </c>
      <c r="J116">
        <f>IF(ISBLANK(VLOOKUP($A116,quarterly_data,MATCH(J$1,quarterly!$1:$1,FALSE),FALSE)),"NA",VLOOKUP($A116,quarterly_data,MATCH(J$1,quarterly!$1:$1,FALSE),FALSE))</f>
        <v>46.91</v>
      </c>
      <c r="K116">
        <f>IF(COUNTIFS(monthly!C:C,"",monthly!$A:$A,"&gt;="&amp;$A116,monthly!$B:$B,"&lt;="&amp;$B116)&gt;0,"NA",AVERAGEIFS(monthly!C:C,monthly!$A:$A,"&gt;="&amp;$A116,monthly!$B:$B,"&lt;="&amp;$B116))</f>
        <v>55.066666666666663</v>
      </c>
      <c r="L116">
        <f>IF(COUNTIFS(monthly!D:D,"",monthly!$A:$A,"&gt;="&amp;$A116,monthly!$B:$B,"&lt;="&amp;$B116)&gt;0,"NA",AVERAGEIFS(monthly!D:D,monthly!$A:$A,"&gt;="&amp;$A116,monthly!$B:$B,"&lt;="&amp;$B116))</f>
        <v>0.59163333333333334</v>
      </c>
      <c r="M116">
        <f>IF(COUNTIFS(monthly!E:E,"",monthly!$A:$A,"&gt;="&amp;$A116,monthly!$B:$B,"&lt;="&amp;$B116)&gt;0,"NA",AVERAGEIFS(monthly!E:E,monthly!$A:$A,"&gt;="&amp;$A116,monthly!$B:$B,"&lt;="&amp;$B116))</f>
        <v>28.15115629747503</v>
      </c>
      <c r="N116" t="str">
        <f>IF(COUNTIFS(monthly!F:F,"",monthly!$A:$A,"&gt;="&amp;$A116,monthly!$B:$B,"&lt;="&amp;$B116)&gt;0,"NA",AVERAGEIFS(monthly!F:F,monthly!$A:$A,"&gt;="&amp;$A116,monthly!$B:$B,"&lt;="&amp;$B116))</f>
        <v>NA</v>
      </c>
      <c r="O116">
        <f>IF(COUNTIFS(monthly!G:G,"",monthly!$A:$A,"&gt;="&amp;$A116,monthly!$B:$B,"&lt;="&amp;$B116)&gt;0,"NA",AVERAGEIFS(monthly!G:G,monthly!$A:$A,"&gt;="&amp;$A116,monthly!$B:$B,"&lt;="&amp;$B116))</f>
        <v>31</v>
      </c>
      <c r="P116">
        <f>IF(COUNTIFS(monthly!H:H,"",monthly!$A:$A,"&gt;="&amp;$A116,monthly!$B:$B,"&lt;="&amp;$B116)&gt;0,"NA",AVERAGEIFS(monthly!H:H,monthly!$A:$A,"&gt;="&amp;$A116,monthly!$B:$B,"&lt;="&amp;$B116))</f>
        <v>27.766666666666669</v>
      </c>
      <c r="Q116">
        <f>IF(COUNTIFS(monthly!I:I,"",monthly!$A:$A,"&gt;="&amp;$A116,monthly!$B:$B,"&lt;="&amp;$B116)&gt;0,"NA",AVERAGEIFS(monthly!I:I,monthly!$A:$A,"&gt;="&amp;$A116,monthly!$B:$B,"&lt;="&amp;$B116))</f>
        <v>12.433333333333332</v>
      </c>
      <c r="R116">
        <f>IF(COUNTIFS(monthly!J:J,"",monthly!$A:$A,"&gt;="&amp;$A116,monthly!$B:$B,"&lt;="&amp;$B116)&gt;0,"NA",AVERAGEIFS(monthly!J:J,monthly!$A:$A,"&gt;="&amp;$A116,monthly!$B:$B,"&lt;="&amp;$B116))</f>
        <v>2.7900000000000005</v>
      </c>
      <c r="S116">
        <f>IF(COUNTIFS(monthly!K:K,"",monthly!$A:$A,"&gt;="&amp;$A116,monthly!$B:$B,"&lt;="&amp;$B116)&gt;0,"NA",AVERAGEIFS(monthly!K:K,monthly!$A:$A,"&gt;="&amp;$A116,monthly!$B:$B,"&lt;="&amp;$B116))</f>
        <v>4.9733333333333327</v>
      </c>
      <c r="T116">
        <f>IF(COUNTIFS(monthly!L:L,"",monthly!$A:$A,"&gt;="&amp;$A116,monthly!$B:$B,"&lt;="&amp;$B116)&gt;0,"NA",AVERAGEIFS(monthly!L:L,monthly!$A:$A,"&gt;="&amp;$A116,monthly!$B:$B,"&lt;="&amp;$B116))</f>
        <v>5.5314157706093185</v>
      </c>
      <c r="U116">
        <f>IF(COUNTIFS(monthly!M:M,"",monthly!$A:$A,"&gt;="&amp;$A116,monthly!$B:$B,"&lt;="&amp;$B116)&gt;0,"NA",AVERAGEIFS(monthly!M:M,monthly!$A:$A,"&gt;="&amp;$A116,monthly!$B:$B,"&lt;="&amp;$B116))</f>
        <v>-0.55808243727598494</v>
      </c>
      <c r="V116">
        <f>IF(COUNTIFS(monthly!N:N,"",monthly!$A:$A,"&gt;="&amp;$A116,monthly!$B:$B,"&lt;="&amp;$B116)&gt;0,"NA",AVERAGEIFS(monthly!N:N,monthly!$A:$A,"&gt;="&amp;$A116,monthly!$B:$B,"&lt;="&amp;$B116))</f>
        <v>5.1217466591379646</v>
      </c>
      <c r="W116">
        <f>IF(COUNTIFS(monthly!O:O,"",monthly!$A:$A,"&gt;="&amp;$A116,monthly!$B:$B,"&lt;="&amp;$B116)&gt;0,"NA",AVERAGEIFS(monthly!O:O,monthly!$A:$A,"&gt;="&amp;$A116,monthly!$B:$B,"&lt;="&amp;$B116))</f>
        <v>5.1309812409812414</v>
      </c>
      <c r="X116">
        <f>IF(COUNTIFS(monthly!P:P,"",monthly!$A:$A,"&gt;="&amp;$A116,monthly!$B:$B,"&lt;="&amp;$B116)&gt;0,"NA",AVERAGEIFS(monthly!P:P,monthly!$A:$A,"&gt;="&amp;$A116,monthly!$B:$B,"&lt;="&amp;$B116))</f>
        <v>-9.2345818432768567E-3</v>
      </c>
      <c r="Y116">
        <f>IF(COUNTIFS(monthly!Q:Q,"",monthly!$A:$A,"&gt;="&amp;$A116,monthly!$B:$B,"&lt;="&amp;$B116)&gt;0,"NA",AVERAGEIFS(monthly!Q:Q,monthly!$A:$A,"&gt;="&amp;$A116,monthly!$B:$B,"&lt;="&amp;$B116))</f>
        <v>5.501928289102203</v>
      </c>
      <c r="Z116">
        <f>IF(COUNTIFS(monthly!R:R,"",monthly!$A:$A,"&gt;="&amp;$A116,monthly!$B:$B,"&lt;="&amp;$B116)&gt;0,"NA",AVERAGEIFS(monthly!R:R,monthly!$A:$A,"&gt;="&amp;$A116,monthly!$B:$B,"&lt;="&amp;$B116))</f>
        <v>5.2033116883116888</v>
      </c>
      <c r="AA116">
        <f>IF(COUNTIFS(monthly!S:S,"",monthly!$A:$A,"&gt;="&amp;$A116,monthly!$B:$B,"&lt;="&amp;$B116)&gt;0,"NA",AVERAGEIFS(monthly!S:S,monthly!$A:$A,"&gt;="&amp;$A116,monthly!$B:$B,"&lt;="&amp;$B116))</f>
        <v>0.29861660079051394</v>
      </c>
      <c r="AB116">
        <f>IF(COUNTIFS(monthly!T:T,"",monthly!$A:$A,"&gt;="&amp;$A116,monthly!$B:$B,"&lt;="&amp;$B116)&gt;0,"NA",AVERAGEIFS(monthly!T:T,monthly!$A:$A,"&gt;="&amp;$A116,monthly!$B:$B,"&lt;="&amp;$B116))</f>
        <v>29.90761904761905</v>
      </c>
      <c r="AC116">
        <f>IF(COUNTIFS(monthly!U:U,"",monthly!$A:$A,"&gt;="&amp;$A116,monthly!$B:$B,"&lt;="&amp;$B116)&gt;0,"NA",AVERAGEIFS(monthly!U:U,monthly!$A:$A,"&gt;="&amp;$A116,monthly!$B:$B,"&lt;="&amp;$B116))</f>
        <v>122.67404411713797</v>
      </c>
      <c r="AD116">
        <f>IF(COUNTIFS(monthly!V:V,"",monthly!$A:$A,"&gt;="&amp;$A116,monthly!$B:$B,"&lt;="&amp;$B116)&gt;0,"NA",AVERAGEIFS(monthly!V:V,monthly!$A:$A,"&gt;="&amp;$A116,monthly!$B:$B,"&lt;="&amp;$B116))</f>
        <v>169.1288675952965</v>
      </c>
      <c r="AE116">
        <f>IF(COUNTIFS(monthly!W:W,"",monthly!$A:$A,"&gt;="&amp;$A116,monthly!$B:$B,"&lt;="&amp;$B116)&gt;0,"NA",AVERAGEIFS(monthly!W:W,monthly!$A:$A,"&gt;="&amp;$A116,monthly!$B:$B,"&lt;="&amp;$B116))</f>
        <v>71.194239298502609</v>
      </c>
      <c r="AF116">
        <f>IF(COUNTIFS(monthly!X:X,"",monthly!$A:$A,"&gt;="&amp;$A116,monthly!$B:$B,"&lt;="&amp;$B116)&gt;0,"NA",AVERAGEIFS(monthly!X:X,monthly!$A:$A,"&gt;="&amp;$A116,monthly!$B:$B,"&lt;="&amp;$B116))</f>
        <v>72.21392822265625</v>
      </c>
      <c r="AG116">
        <f>IF(COUNTIFS(monthly!Y:Y,"",monthly!$A:$A,"&gt;="&amp;$A116,monthly!$B:$B,"&lt;="&amp;$B116)&gt;0,"NA",AVERAGEIFS(monthly!Y:Y,monthly!$A:$A,"&gt;="&amp;$A116,monthly!$B:$B,"&lt;="&amp;$B116))</f>
        <v>72.422561645507812</v>
      </c>
      <c r="AH116">
        <f>IF(COUNTIFS(monthly!Z:Z,"",monthly!$A:$A,"&gt;="&amp;$A116,monthly!$B:$B,"&lt;="&amp;$B116)&gt;0,"NA",AVERAGEIFS(monthly!Z:Z,monthly!$A:$A,"&gt;="&amp;$A116,monthly!$B:$B,"&lt;="&amp;$B116))</f>
        <v>5.1582340151071548E-2</v>
      </c>
    </row>
    <row r="117" spans="1:34" x14ac:dyDescent="0.2">
      <c r="A117" s="1">
        <v>36069</v>
      </c>
      <c r="B117" s="1">
        <v>36159</v>
      </c>
      <c r="C117">
        <f>IF(ISBLANK(VLOOKUP($A117,quarterly_data,MATCH(C$1,quarterly!$1:$1,FALSE),FALSE)),"NA",VLOOKUP($A117,quarterly_data,MATCH(C$1,quarterly!$1:$1,FALSE),FALSE))</f>
        <v>98.830436879013874</v>
      </c>
      <c r="D117">
        <f>IF(ISBLANK(VLOOKUP($A117,quarterly_data,MATCH(D$1,quarterly!$1:$1,FALSE),FALSE)),"NA",VLOOKUP($A117,quarterly_data,MATCH(D$1,quarterly!$1:$1,FALSE),FALSE))</f>
        <v>49.2</v>
      </c>
      <c r="E117">
        <f>IF(ISBLANK(VLOOKUP($A117,quarterly_data,MATCH(E$1,quarterly!$1:$1,FALSE),FALSE)),"NA",VLOOKUP($A117,quarterly_data,MATCH(E$1,quarterly!$1:$1,FALSE),FALSE))</f>
        <v>0</v>
      </c>
      <c r="F117">
        <f>IF(ISBLANK(VLOOKUP($A117,quarterly_data,MATCH(F$1,quarterly!$1:$1,FALSE),FALSE)),"NA",VLOOKUP($A117,quarterly_data,MATCH(F$1,quarterly!$1:$1,FALSE),FALSE))</f>
        <v>1.5079499999999999E-2</v>
      </c>
      <c r="G117">
        <f>IF(ISBLANK(VLOOKUP($A117,quarterly_data,MATCH(G$1,quarterly!$1:$1,FALSE),FALSE)),"NA",VLOOKUP($A117,quarterly_data,MATCH(G$1,quarterly!$1:$1,FALSE),FALSE))</f>
        <v>13191.67</v>
      </c>
      <c r="H117">
        <f>IF(ISBLANK(VLOOKUP($A117,quarterly_data,MATCH(H$1,quarterly!$1:$1,FALSE),FALSE)),"NA",VLOOKUP($A117,quarterly_data,MATCH(H$1,quarterly!$1:$1,FALSE),FALSE))</f>
        <v>337067</v>
      </c>
      <c r="I117">
        <f>IF(ISBLANK(VLOOKUP($A117,quarterly_data,MATCH(I$1,quarterly!$1:$1,FALSE),FALSE)),"NA",VLOOKUP($A117,quarterly_data,MATCH(I$1,quarterly!$1:$1,FALSE),FALSE))</f>
        <v>0.4</v>
      </c>
      <c r="J117">
        <f>IF(ISBLANK(VLOOKUP($A117,quarterly_data,MATCH(J$1,quarterly!$1:$1,FALSE),FALSE)),"NA",VLOOKUP($A117,quarterly_data,MATCH(J$1,quarterly!$1:$1,FALSE),FALSE))</f>
        <v>47.11</v>
      </c>
      <c r="K117">
        <f>IF(COUNTIFS(monthly!C:C,"",monthly!$A:$A,"&gt;="&amp;$A117,monthly!$B:$B,"&lt;="&amp;$B117)&gt;0,"NA",AVERAGEIFS(monthly!C:C,monthly!$A:$A,"&gt;="&amp;$A117,monthly!$B:$B,"&lt;="&amp;$B117))</f>
        <v>54.900000000000006</v>
      </c>
      <c r="L117">
        <f>IF(COUNTIFS(monthly!D:D,"",monthly!$A:$A,"&gt;="&amp;$A117,monthly!$B:$B,"&lt;="&amp;$B117)&gt;0,"NA",AVERAGEIFS(monthly!D:D,monthly!$A:$A,"&gt;="&amp;$A117,monthly!$B:$B,"&lt;="&amp;$B117))</f>
        <v>0.62929999999999997</v>
      </c>
      <c r="M117">
        <f>IF(COUNTIFS(monthly!E:E,"",monthly!$A:$A,"&gt;="&amp;$A117,monthly!$B:$B,"&lt;="&amp;$B117)&gt;0,"NA",AVERAGEIFS(monthly!E:E,monthly!$A:$A,"&gt;="&amp;$A117,monthly!$B:$B,"&lt;="&amp;$B117))</f>
        <v>26.707121471556398</v>
      </c>
      <c r="N117" t="str">
        <f>IF(COUNTIFS(monthly!F:F,"",monthly!$A:$A,"&gt;="&amp;$A117,monthly!$B:$B,"&lt;="&amp;$B117)&gt;0,"NA",AVERAGEIFS(monthly!F:F,monthly!$A:$A,"&gt;="&amp;$A117,monthly!$B:$B,"&lt;="&amp;$B117))</f>
        <v>NA</v>
      </c>
      <c r="O117">
        <f>IF(COUNTIFS(monthly!G:G,"",monthly!$A:$A,"&gt;="&amp;$A117,monthly!$B:$B,"&lt;="&amp;$B117)&gt;0,"NA",AVERAGEIFS(monthly!G:G,monthly!$A:$A,"&gt;="&amp;$A117,monthly!$B:$B,"&lt;="&amp;$B117))</f>
        <v>31</v>
      </c>
      <c r="P117">
        <f>IF(COUNTIFS(monthly!H:H,"",monthly!$A:$A,"&gt;="&amp;$A117,monthly!$B:$B,"&lt;="&amp;$B117)&gt;0,"NA",AVERAGEIFS(monthly!H:H,monthly!$A:$A,"&gt;="&amp;$A117,monthly!$B:$B,"&lt;="&amp;$B117))</f>
        <v>26.6</v>
      </c>
      <c r="Q117">
        <f>IF(COUNTIFS(monthly!I:I,"",monthly!$A:$A,"&gt;="&amp;$A117,monthly!$B:$B,"&lt;="&amp;$B117)&gt;0,"NA",AVERAGEIFS(monthly!I:I,monthly!$A:$A,"&gt;="&amp;$A117,monthly!$B:$B,"&lt;="&amp;$B117))</f>
        <v>11.75</v>
      </c>
      <c r="R117">
        <f>IF(COUNTIFS(monthly!J:J,"",monthly!$A:$A,"&gt;="&amp;$A117,monthly!$B:$B,"&lt;="&amp;$B117)&gt;0,"NA",AVERAGEIFS(monthly!J:J,monthly!$A:$A,"&gt;="&amp;$A117,monthly!$B:$B,"&lt;="&amp;$B117))</f>
        <v>2.7699999999999996</v>
      </c>
      <c r="S117">
        <f>IF(COUNTIFS(monthly!K:K,"",monthly!$A:$A,"&gt;="&amp;$A117,monthly!$B:$B,"&lt;="&amp;$B117)&gt;0,"NA",AVERAGEIFS(monthly!K:K,monthly!$A:$A,"&gt;="&amp;$A117,monthly!$B:$B,"&lt;="&amp;$B117))</f>
        <v>4.9745000000000008</v>
      </c>
      <c r="T117">
        <f>IF(COUNTIFS(monthly!L:L,"",monthly!$A:$A,"&gt;="&amp;$A117,monthly!$B:$B,"&lt;="&amp;$B117)&gt;0,"NA",AVERAGEIFS(monthly!L:L,monthly!$A:$A,"&gt;="&amp;$A117,monthly!$B:$B,"&lt;="&amp;$B117))</f>
        <v>4.9484838709677428</v>
      </c>
      <c r="U117">
        <f>IF(COUNTIFS(monthly!M:M,"",monthly!$A:$A,"&gt;="&amp;$A117,monthly!$B:$B,"&lt;="&amp;$B117)&gt;0,"NA",AVERAGEIFS(monthly!M:M,monthly!$A:$A,"&gt;="&amp;$A117,monthly!$B:$B,"&lt;="&amp;$B117))</f>
        <v>2.6016129032257584E-2</v>
      </c>
      <c r="V117">
        <f>IF(COUNTIFS(monthly!N:N,"",monthly!$A:$A,"&gt;="&amp;$A117,monthly!$B:$B,"&lt;="&amp;$B117)&gt;0,"NA",AVERAGEIFS(monthly!N:N,monthly!$A:$A,"&gt;="&amp;$A117,monthly!$B:$B,"&lt;="&amp;$B117))</f>
        <v>4.480681818181818</v>
      </c>
      <c r="W117">
        <f>IF(COUNTIFS(monthly!O:O,"",monthly!$A:$A,"&gt;="&amp;$A117,monthly!$B:$B,"&lt;="&amp;$B117)&gt;0,"NA",AVERAGEIFS(monthly!O:O,monthly!$A:$A,"&gt;="&amp;$A117,monthly!$B:$B,"&lt;="&amp;$B117))</f>
        <v>4.315952380952381</v>
      </c>
      <c r="X117">
        <f>IF(COUNTIFS(monthly!P:P,"",monthly!$A:$A,"&gt;="&amp;$A117,monthly!$B:$B,"&lt;="&amp;$B117)&gt;0,"NA",AVERAGEIFS(monthly!P:P,monthly!$A:$A,"&gt;="&amp;$A117,monthly!$B:$B,"&lt;="&amp;$B117))</f>
        <v>0.16472943722943656</v>
      </c>
      <c r="Y117">
        <f>IF(COUNTIFS(monthly!Q:Q,"",monthly!$A:$A,"&gt;="&amp;$A117,monthly!$B:$B,"&lt;="&amp;$B117)&gt;0,"NA",AVERAGEIFS(monthly!Q:Q,monthly!$A:$A,"&gt;="&amp;$A117,monthly!$B:$B,"&lt;="&amp;$B117))</f>
        <v>5.0484307359307365</v>
      </c>
      <c r="Z117">
        <f>IF(COUNTIFS(monthly!R:R,"",monthly!$A:$A,"&gt;="&amp;$A117,monthly!$B:$B,"&lt;="&amp;$B117)&gt;0,"NA",AVERAGEIFS(monthly!R:R,monthly!$A:$A,"&gt;="&amp;$A117,monthly!$B:$B,"&lt;="&amp;$B117))</f>
        <v>4.6786842105263151</v>
      </c>
      <c r="AA117">
        <f>IF(COUNTIFS(monthly!S:S,"",monthly!$A:$A,"&gt;="&amp;$A117,monthly!$B:$B,"&lt;="&amp;$B117)&gt;0,"NA",AVERAGEIFS(monthly!S:S,monthly!$A:$A,"&gt;="&amp;$A117,monthly!$B:$B,"&lt;="&amp;$B117))</f>
        <v>0.36974652540442055</v>
      </c>
      <c r="AB117">
        <f>IF(COUNTIFS(monthly!T:T,"",monthly!$A:$A,"&gt;="&amp;$A117,monthly!$B:$B,"&lt;="&amp;$B117)&gt;0,"NA",AVERAGEIFS(monthly!T:T,monthly!$A:$A,"&gt;="&amp;$A117,monthly!$B:$B,"&lt;="&amp;$B117))</f>
        <v>31.415590909090909</v>
      </c>
      <c r="AC117">
        <f>IF(COUNTIFS(monthly!U:U,"",monthly!$A:$A,"&gt;="&amp;$A117,monthly!$B:$B,"&lt;="&amp;$B117)&gt;0,"NA",AVERAGEIFS(monthly!U:U,monthly!$A:$A,"&gt;="&amp;$A117,monthly!$B:$B,"&lt;="&amp;$B117))</f>
        <v>110.156059174966</v>
      </c>
      <c r="AD117">
        <f>IF(COUNTIFS(monthly!V:V,"",monthly!$A:$A,"&gt;="&amp;$A117,monthly!$B:$B,"&lt;="&amp;$B117)&gt;0,"NA",AVERAGEIFS(monthly!V:V,monthly!$A:$A,"&gt;="&amp;$A117,monthly!$B:$B,"&lt;="&amp;$B117))</f>
        <v>95.73326551643521</v>
      </c>
      <c r="AE117">
        <f>IF(COUNTIFS(monthly!W:W,"",monthly!$A:$A,"&gt;="&amp;$A117,monthly!$B:$B,"&lt;="&amp;$B117)&gt;0,"NA",AVERAGEIFS(monthly!W:W,monthly!$A:$A,"&gt;="&amp;$A117,monthly!$B:$B,"&lt;="&amp;$B117))</f>
        <v>61.184787750244141</v>
      </c>
      <c r="AF117">
        <f>IF(COUNTIFS(monthly!X:X,"",monthly!$A:$A,"&gt;="&amp;$A117,monthly!$B:$B,"&lt;="&amp;$B117)&gt;0,"NA",AVERAGEIFS(monthly!X:X,monthly!$A:$A,"&gt;="&amp;$A117,monthly!$B:$B,"&lt;="&amp;$B117))</f>
        <v>72.983634948730469</v>
      </c>
      <c r="AG117">
        <f>IF(COUNTIFS(monthly!Y:Y,"",monthly!$A:$A,"&gt;="&amp;$A117,monthly!$B:$B,"&lt;="&amp;$B117)&gt;0,"NA",AVERAGEIFS(monthly!Y:Y,monthly!$A:$A,"&gt;="&amp;$A117,monthly!$B:$B,"&lt;="&amp;$B117))</f>
        <v>43.440153121948242</v>
      </c>
      <c r="AH117">
        <f>IF(COUNTIFS(monthly!Z:Z,"",monthly!$A:$A,"&gt;="&amp;$A117,monthly!$B:$B,"&lt;="&amp;$B117)&gt;0,"NA",AVERAGEIFS(monthly!Z:Z,monthly!$A:$A,"&gt;="&amp;$A117,monthly!$B:$B,"&lt;="&amp;$B117))</f>
        <v>4.0910366922616959E-2</v>
      </c>
    </row>
    <row r="118" spans="1:34" x14ac:dyDescent="0.2">
      <c r="A118" s="1">
        <v>36161</v>
      </c>
      <c r="B118" s="1">
        <v>36249</v>
      </c>
      <c r="C118">
        <f>IF(ISBLANK(VLOOKUP($A118,quarterly_data,MATCH(C$1,quarterly!$1:$1,FALSE),FALSE)),"NA",VLOOKUP($A118,quarterly_data,MATCH(C$1,quarterly!$1:$1,FALSE),FALSE))</f>
        <v>101.08007408382976</v>
      </c>
      <c r="D118">
        <f>IF(ISBLANK(VLOOKUP($A118,quarterly_data,MATCH(D$1,quarterly!$1:$1,FALSE),FALSE)),"NA",VLOOKUP($A118,quarterly_data,MATCH(D$1,quarterly!$1:$1,FALSE),FALSE))</f>
        <v>49.7</v>
      </c>
      <c r="E118">
        <f>IF(ISBLANK(VLOOKUP($A118,quarterly_data,MATCH(E$1,quarterly!$1:$1,FALSE),FALSE)),"NA",VLOOKUP($A118,quarterly_data,MATCH(E$1,quarterly!$1:$1,FALSE),FALSE))</f>
        <v>6.8027199999999996E-2</v>
      </c>
      <c r="F118">
        <f>IF(ISBLANK(VLOOKUP($A118,quarterly_data,MATCH(F$1,quarterly!$1:$1,FALSE),FALSE)),"NA",VLOOKUP($A118,quarterly_data,MATCH(F$1,quarterly!$1:$1,FALSE),FALSE))</f>
        <v>1.8631999999999999E-2</v>
      </c>
      <c r="G118">
        <f>IF(ISBLANK(VLOOKUP($A118,quarterly_data,MATCH(G$1,quarterly!$1:$1,FALSE),FALSE)),"NA",VLOOKUP($A118,quarterly_data,MATCH(G$1,quarterly!$1:$1,FALSE),FALSE))</f>
        <v>13315.597</v>
      </c>
      <c r="H118">
        <f>IF(ISBLANK(VLOOKUP($A118,quarterly_data,MATCH(H$1,quarterly!$1:$1,FALSE),FALSE)),"NA",VLOOKUP($A118,quarterly_data,MATCH(H$1,quarterly!$1:$1,FALSE),FALSE))</f>
        <v>339582</v>
      </c>
      <c r="I118">
        <f>IF(ISBLANK(VLOOKUP($A118,quarterly_data,MATCH(I$1,quarterly!$1:$1,FALSE),FALSE)),"NA",VLOOKUP($A118,quarterly_data,MATCH(I$1,quarterly!$1:$1,FALSE),FALSE))</f>
        <v>0.5</v>
      </c>
      <c r="J118">
        <f>IF(ISBLANK(VLOOKUP($A118,quarterly_data,MATCH(J$1,quarterly!$1:$1,FALSE),FALSE)),"NA",VLOOKUP($A118,quarterly_data,MATCH(J$1,quarterly!$1:$1,FALSE),FALSE))</f>
        <v>47.08</v>
      </c>
      <c r="K118">
        <f>IF(COUNTIFS(monthly!C:C,"",monthly!$A:$A,"&gt;="&amp;$A118,monthly!$B:$B,"&lt;="&amp;$B118)&gt;0,"NA",AVERAGEIFS(monthly!C:C,monthly!$A:$A,"&gt;="&amp;$A118,monthly!$B:$B,"&lt;="&amp;$B118))</f>
        <v>55.099999999999994</v>
      </c>
      <c r="L118">
        <f>IF(COUNTIFS(monthly!D:D,"",monthly!$A:$A,"&gt;="&amp;$A118,monthly!$B:$B,"&lt;="&amp;$B118)&gt;0,"NA",AVERAGEIFS(monthly!D:D,monthly!$A:$A,"&gt;="&amp;$A118,monthly!$B:$B,"&lt;="&amp;$B118))</f>
        <v>0.62555000000000005</v>
      </c>
      <c r="M118">
        <f>IF(COUNTIFS(monthly!E:E,"",monthly!$A:$A,"&gt;="&amp;$A118,monthly!$B:$B,"&lt;="&amp;$B118)&gt;0,"NA",AVERAGEIFS(monthly!E:E,monthly!$A:$A,"&gt;="&amp;$A118,monthly!$B:$B,"&lt;="&amp;$B118))</f>
        <v>26.254562297025551</v>
      </c>
      <c r="N118" t="str">
        <f>IF(COUNTIFS(monthly!F:F,"",monthly!$A:$A,"&gt;="&amp;$A118,monthly!$B:$B,"&lt;="&amp;$B118)&gt;0,"NA",AVERAGEIFS(monthly!F:F,monthly!$A:$A,"&gt;="&amp;$A118,monthly!$B:$B,"&lt;="&amp;$B118))</f>
        <v>NA</v>
      </c>
      <c r="O118">
        <f>IF(COUNTIFS(monthly!G:G,"",monthly!$A:$A,"&gt;="&amp;$A118,monthly!$B:$B,"&lt;="&amp;$B118)&gt;0,"NA",AVERAGEIFS(monthly!G:G,monthly!$A:$A,"&gt;="&amp;$A118,monthly!$B:$B,"&lt;="&amp;$B118))</f>
        <v>27.6</v>
      </c>
      <c r="P118">
        <f>IF(COUNTIFS(monthly!H:H,"",monthly!$A:$A,"&gt;="&amp;$A118,monthly!$B:$B,"&lt;="&amp;$B118)&gt;0,"NA",AVERAGEIFS(monthly!H:H,monthly!$A:$A,"&gt;="&amp;$A118,monthly!$B:$B,"&lt;="&amp;$B118))</f>
        <v>26.1</v>
      </c>
      <c r="Q118">
        <f>IF(COUNTIFS(monthly!I:I,"",monthly!$A:$A,"&gt;="&amp;$A118,monthly!$B:$B,"&lt;="&amp;$B118)&gt;0,"NA",AVERAGEIFS(monthly!I:I,monthly!$A:$A,"&gt;="&amp;$A118,monthly!$B:$B,"&lt;="&amp;$B118))</f>
        <v>10.649999999999999</v>
      </c>
      <c r="R118">
        <f>IF(COUNTIFS(monthly!J:J,"",monthly!$A:$A,"&gt;="&amp;$A118,monthly!$B:$B,"&lt;="&amp;$B118)&gt;0,"NA",AVERAGEIFS(monthly!J:J,monthly!$A:$A,"&gt;="&amp;$A118,monthly!$B:$B,"&lt;="&amp;$B118))</f>
        <v>2.7749999999999999</v>
      </c>
      <c r="S118">
        <f>IF(COUNTIFS(monthly!K:K,"",monthly!$A:$A,"&gt;="&amp;$A118,monthly!$B:$B,"&lt;="&amp;$B118)&gt;0,"NA",AVERAGEIFS(monthly!K:K,monthly!$A:$A,"&gt;="&amp;$A118,monthly!$B:$B,"&lt;="&amp;$B118))</f>
        <v>4.7184999999999997</v>
      </c>
      <c r="T118">
        <f>IF(COUNTIFS(monthly!L:L,"",monthly!$A:$A,"&gt;="&amp;$A118,monthly!$B:$B,"&lt;="&amp;$B118)&gt;0,"NA",AVERAGEIFS(monthly!L:L,monthly!$A:$A,"&gt;="&amp;$A118,monthly!$B:$B,"&lt;="&amp;$B118))</f>
        <v>4.6986117511520744</v>
      </c>
      <c r="U118">
        <f>IF(COUNTIFS(monthly!M:M,"",monthly!$A:$A,"&gt;="&amp;$A118,monthly!$B:$B,"&lt;="&amp;$B118)&gt;0,"NA",AVERAGEIFS(monthly!M:M,monthly!$A:$A,"&gt;="&amp;$A118,monthly!$B:$B,"&lt;="&amp;$B118))</f>
        <v>1.9888248847925283E-2</v>
      </c>
      <c r="V118">
        <f>IF(COUNTIFS(monthly!N:N,"",monthly!$A:$A,"&gt;="&amp;$A118,monthly!$B:$B,"&lt;="&amp;$B118)&gt;0,"NA",AVERAGEIFS(monthly!N:N,monthly!$A:$A,"&gt;="&amp;$A118,monthly!$B:$B,"&lt;="&amp;$B118))</f>
        <v>4.8312894736842109</v>
      </c>
      <c r="W118">
        <f>IF(COUNTIFS(monthly!O:O,"",monthly!$A:$A,"&gt;="&amp;$A118,monthly!$B:$B,"&lt;="&amp;$B118)&gt;0,"NA",AVERAGEIFS(monthly!O:O,monthly!$A:$A,"&gt;="&amp;$A118,monthly!$B:$B,"&lt;="&amp;$B118))</f>
        <v>4.7457894736842103</v>
      </c>
      <c r="X118">
        <f>IF(COUNTIFS(monthly!P:P,"",monthly!$A:$A,"&gt;="&amp;$A118,monthly!$B:$B,"&lt;="&amp;$B118)&gt;0,"NA",AVERAGEIFS(monthly!P:P,monthly!$A:$A,"&gt;="&amp;$A118,monthly!$B:$B,"&lt;="&amp;$B118))</f>
        <v>8.5500000000000576E-2</v>
      </c>
      <c r="Y118">
        <f>IF(COUNTIFS(monthly!Q:Q,"",monthly!$A:$A,"&gt;="&amp;$A118,monthly!$B:$B,"&lt;="&amp;$B118)&gt;0,"NA",AVERAGEIFS(monthly!Q:Q,monthly!$A:$A,"&gt;="&amp;$A118,monthly!$B:$B,"&lt;="&amp;$B118))</f>
        <v>5.2139473684210529</v>
      </c>
      <c r="Z118">
        <f>IF(COUNTIFS(monthly!R:R,"",monthly!$A:$A,"&gt;="&amp;$A118,monthly!$B:$B,"&lt;="&amp;$B118)&gt;0,"NA",AVERAGEIFS(monthly!R:R,monthly!$A:$A,"&gt;="&amp;$A118,monthly!$B:$B,"&lt;="&amp;$B118))</f>
        <v>4.8605263157894747</v>
      </c>
      <c r="AA118">
        <f>IF(COUNTIFS(monthly!S:S,"",monthly!$A:$A,"&gt;="&amp;$A118,monthly!$B:$B,"&lt;="&amp;$B118)&gt;0,"NA",AVERAGEIFS(monthly!S:S,monthly!$A:$A,"&gt;="&amp;$A118,monthly!$B:$B,"&lt;="&amp;$B118))</f>
        <v>0.35342105263157864</v>
      </c>
      <c r="AB118">
        <f>IF(COUNTIFS(monthly!T:T,"",monthly!$A:$A,"&gt;="&amp;$A118,monthly!$B:$B,"&lt;="&amp;$B118)&gt;0,"NA",AVERAGEIFS(monthly!T:T,monthly!$A:$A,"&gt;="&amp;$A118,monthly!$B:$B,"&lt;="&amp;$B118))</f>
        <v>28.428947368421056</v>
      </c>
      <c r="AC118">
        <f>IF(COUNTIFS(monthly!U:U,"",monthly!$A:$A,"&gt;="&amp;$A118,monthly!$B:$B,"&lt;="&amp;$B118)&gt;0,"NA",AVERAGEIFS(monthly!U:U,monthly!$A:$A,"&gt;="&amp;$A118,monthly!$B:$B,"&lt;="&amp;$B118))</f>
        <v>89.908266704990922</v>
      </c>
      <c r="AD118">
        <f>IF(COUNTIFS(monthly!V:V,"",monthly!$A:$A,"&gt;="&amp;$A118,monthly!$B:$B,"&lt;="&amp;$B118)&gt;0,"NA",AVERAGEIFS(monthly!V:V,monthly!$A:$A,"&gt;="&amp;$A118,monthly!$B:$B,"&lt;="&amp;$B118))</f>
        <v>56.20132756154841</v>
      </c>
      <c r="AE118">
        <f>IF(COUNTIFS(monthly!W:W,"",monthly!$A:$A,"&gt;="&amp;$A118,monthly!$B:$B,"&lt;="&amp;$B118)&gt;0,"NA",AVERAGEIFS(monthly!W:W,monthly!$A:$A,"&gt;="&amp;$A118,monthly!$B:$B,"&lt;="&amp;$B118))</f>
        <v>61.151803970336914</v>
      </c>
      <c r="AF118">
        <f>IF(COUNTIFS(monthly!X:X,"",monthly!$A:$A,"&gt;="&amp;$A118,monthly!$B:$B,"&lt;="&amp;$B118)&gt;0,"NA",AVERAGEIFS(monthly!X:X,monthly!$A:$A,"&gt;="&amp;$A118,monthly!$B:$B,"&lt;="&amp;$B118))</f>
        <v>68.372604370117188</v>
      </c>
      <c r="AG118">
        <f>IF(COUNTIFS(monthly!Y:Y,"",monthly!$A:$A,"&gt;="&amp;$A118,monthly!$B:$B,"&lt;="&amp;$B118)&gt;0,"NA",AVERAGEIFS(monthly!Y:Y,monthly!$A:$A,"&gt;="&amp;$A118,monthly!$B:$B,"&lt;="&amp;$B118))</f>
        <v>48.973335266113281</v>
      </c>
      <c r="AH118">
        <f>IF(COUNTIFS(monthly!Z:Z,"",monthly!$A:$A,"&gt;="&amp;$A118,monthly!$B:$B,"&lt;="&amp;$B118)&gt;0,"NA",AVERAGEIFS(monthly!Z:Z,monthly!$A:$A,"&gt;="&amp;$A118,monthly!$B:$B,"&lt;="&amp;$B118))</f>
        <v>5.6309467181563377E-2</v>
      </c>
    </row>
    <row r="119" spans="1:34" x14ac:dyDescent="0.2">
      <c r="A119" s="1">
        <v>36251</v>
      </c>
      <c r="B119" s="1">
        <v>36341</v>
      </c>
      <c r="C119">
        <f>IF(ISBLANK(VLOOKUP($A119,quarterly_data,MATCH(C$1,quarterly!$1:$1,FALSE),FALSE)),"NA",VLOOKUP($A119,quarterly_data,MATCH(C$1,quarterly!$1:$1,FALSE),FALSE))</f>
        <v>106.08113930553007</v>
      </c>
      <c r="D119">
        <f>IF(ISBLANK(VLOOKUP($A119,quarterly_data,MATCH(D$1,quarterly!$1:$1,FALSE),FALSE)),"NA",VLOOKUP($A119,quarterly_data,MATCH(D$1,quarterly!$1:$1,FALSE),FALSE))</f>
        <v>49.4</v>
      </c>
      <c r="E119">
        <f>IF(ISBLANK(VLOOKUP($A119,quarterly_data,MATCH(E$1,quarterly!$1:$1,FALSE),FALSE)),"NA",VLOOKUP($A119,quarterly_data,MATCH(E$1,quarterly!$1:$1,FALSE),FALSE))</f>
        <v>0</v>
      </c>
      <c r="F119">
        <f>IF(ISBLANK(VLOOKUP($A119,quarterly_data,MATCH(F$1,quarterly!$1:$1,FALSE),FALSE)),"NA",VLOOKUP($A119,quarterly_data,MATCH(F$1,quarterly!$1:$1,FALSE),FALSE))</f>
        <v>6.8027000000000001E-3</v>
      </c>
      <c r="G119">
        <f>IF(ISBLANK(VLOOKUP($A119,quarterly_data,MATCH(G$1,quarterly!$1:$1,FALSE),FALSE)),"NA",VLOOKUP($A119,quarterly_data,MATCH(G$1,quarterly!$1:$1,FALSE),FALSE))</f>
        <v>13426.748</v>
      </c>
      <c r="H119">
        <f>IF(ISBLANK(VLOOKUP($A119,quarterly_data,MATCH(H$1,quarterly!$1:$1,FALSE),FALSE)),"NA",VLOOKUP($A119,quarterly_data,MATCH(H$1,quarterly!$1:$1,FALSE),FALSE))</f>
        <v>340901</v>
      </c>
      <c r="I119">
        <f>IF(ISBLANK(VLOOKUP($A119,quarterly_data,MATCH(I$1,quarterly!$1:$1,FALSE),FALSE)),"NA",VLOOKUP($A119,quarterly_data,MATCH(I$1,quarterly!$1:$1,FALSE),FALSE))</f>
        <v>0.5</v>
      </c>
      <c r="J119">
        <f>IF(ISBLANK(VLOOKUP($A119,quarterly_data,MATCH(J$1,quarterly!$1:$1,FALSE),FALSE)),"NA",VLOOKUP($A119,quarterly_data,MATCH(J$1,quarterly!$1:$1,FALSE),FALSE))</f>
        <v>47.29</v>
      </c>
      <c r="K119">
        <f>IF(COUNTIFS(monthly!C:C,"",monthly!$A:$A,"&gt;="&amp;$A119,monthly!$B:$B,"&lt;="&amp;$B119)&gt;0,"NA",AVERAGEIFS(monthly!C:C,monthly!$A:$A,"&gt;="&amp;$A119,monthly!$B:$B,"&lt;="&amp;$B119))</f>
        <v>58.233333333333327</v>
      </c>
      <c r="L119">
        <f>IF(COUNTIFS(monthly!D:D,"",monthly!$A:$A,"&gt;="&amp;$A119,monthly!$B:$B,"&lt;="&amp;$B119)&gt;0,"NA",AVERAGEIFS(monthly!D:D,monthly!$A:$A,"&gt;="&amp;$A119,monthly!$B:$B,"&lt;="&amp;$B119))</f>
        <v>0.65616666666666668</v>
      </c>
      <c r="M119">
        <f>IF(COUNTIFS(monthly!E:E,"",monthly!$A:$A,"&gt;="&amp;$A119,monthly!$B:$B,"&lt;="&amp;$B119)&gt;0,"NA",AVERAGEIFS(monthly!E:E,monthly!$A:$A,"&gt;="&amp;$A119,monthly!$B:$B,"&lt;="&amp;$B119))</f>
        <v>26.675014917984033</v>
      </c>
      <c r="N119" t="str">
        <f>IF(COUNTIFS(monthly!F:F,"",monthly!$A:$A,"&gt;="&amp;$A119,monthly!$B:$B,"&lt;="&amp;$B119)&gt;0,"NA",AVERAGEIFS(monthly!F:F,monthly!$A:$A,"&gt;="&amp;$A119,monthly!$B:$B,"&lt;="&amp;$B119))</f>
        <v>NA</v>
      </c>
      <c r="O119">
        <f>IF(COUNTIFS(monthly!G:G,"",monthly!$A:$A,"&gt;="&amp;$A119,monthly!$B:$B,"&lt;="&amp;$B119)&gt;0,"NA",AVERAGEIFS(monthly!G:G,monthly!$A:$A,"&gt;="&amp;$A119,monthly!$B:$B,"&lt;="&amp;$B119))</f>
        <v>27.600000000000005</v>
      </c>
      <c r="P119">
        <f>IF(COUNTIFS(monthly!H:H,"",monthly!$A:$A,"&gt;="&amp;$A119,monthly!$B:$B,"&lt;="&amp;$B119)&gt;0,"NA",AVERAGEIFS(monthly!H:H,monthly!$A:$A,"&gt;="&amp;$A119,monthly!$B:$B,"&lt;="&amp;$B119))</f>
        <v>26.100000000000005</v>
      </c>
      <c r="Q119">
        <f>IF(COUNTIFS(monthly!I:I,"",monthly!$A:$A,"&gt;="&amp;$A119,monthly!$B:$B,"&lt;="&amp;$B119)&gt;0,"NA",AVERAGEIFS(monthly!I:I,monthly!$A:$A,"&gt;="&amp;$A119,monthly!$B:$B,"&lt;="&amp;$B119))</f>
        <v>15.4</v>
      </c>
      <c r="R119">
        <f>IF(COUNTIFS(monthly!J:J,"",monthly!$A:$A,"&gt;="&amp;$A119,monthly!$B:$B,"&lt;="&amp;$B119)&gt;0,"NA",AVERAGEIFS(monthly!J:J,monthly!$A:$A,"&gt;="&amp;$A119,monthly!$B:$B,"&lt;="&amp;$B119))</f>
        <v>2.8566666666666669</v>
      </c>
      <c r="S119">
        <f>IF(COUNTIFS(monthly!K:K,"",monthly!$A:$A,"&gt;="&amp;$A119,monthly!$B:$B,"&lt;="&amp;$B119)&gt;0,"NA",AVERAGEIFS(monthly!K:K,monthly!$A:$A,"&gt;="&amp;$A119,monthly!$B:$B,"&lt;="&amp;$B119))</f>
        <v>4.75</v>
      </c>
      <c r="T119">
        <f>IF(COUNTIFS(monthly!L:L,"",monthly!$A:$A,"&gt;="&amp;$A119,monthly!$B:$B,"&lt;="&amp;$B119)&gt;0,"NA",AVERAGEIFS(monthly!L:L,monthly!$A:$A,"&gt;="&amp;$A119,monthly!$B:$B,"&lt;="&amp;$B119))</f>
        <v>4.7477526881720431</v>
      </c>
      <c r="U119">
        <f>IF(COUNTIFS(monthly!M:M,"",monthly!$A:$A,"&gt;="&amp;$A119,monthly!$B:$B,"&lt;="&amp;$B119)&gt;0,"NA",AVERAGEIFS(monthly!M:M,monthly!$A:$A,"&gt;="&amp;$A119,monthly!$B:$B,"&lt;="&amp;$B119))</f>
        <v>2.2473118279566031E-3</v>
      </c>
      <c r="V119">
        <f>IF(COUNTIFS(monthly!N:N,"",monthly!$A:$A,"&gt;="&amp;$A119,monthly!$B:$B,"&lt;="&amp;$B119)&gt;0,"NA",AVERAGEIFS(monthly!N:N,monthly!$A:$A,"&gt;="&amp;$A119,monthly!$B:$B,"&lt;="&amp;$B119))</f>
        <v>5.0883174603174597</v>
      </c>
      <c r="W119">
        <f>IF(COUNTIFS(monthly!O:O,"",monthly!$A:$A,"&gt;="&amp;$A119,monthly!$B:$B,"&lt;="&amp;$B119)&gt;0,"NA",AVERAGEIFS(monthly!O:O,monthly!$A:$A,"&gt;="&amp;$A119,monthly!$B:$B,"&lt;="&amp;$B119))</f>
        <v>5.2833181818181822</v>
      </c>
      <c r="X119">
        <f>IF(COUNTIFS(monthly!P:P,"",monthly!$A:$A,"&gt;="&amp;$A119,monthly!$B:$B,"&lt;="&amp;$B119)&gt;0,"NA",AVERAGEIFS(monthly!P:P,monthly!$A:$A,"&gt;="&amp;$A119,monthly!$B:$B,"&lt;="&amp;$B119))</f>
        <v>-0.19500072150072198</v>
      </c>
      <c r="Y119">
        <f>IF(COUNTIFS(monthly!Q:Q,"",monthly!$A:$A,"&gt;="&amp;$A119,monthly!$B:$B,"&lt;="&amp;$B119)&gt;0,"NA",AVERAGEIFS(monthly!Q:Q,monthly!$A:$A,"&gt;="&amp;$A119,monthly!$B:$B,"&lt;="&amp;$B119))</f>
        <v>5.8132936507936508</v>
      </c>
      <c r="Z119">
        <f>IF(COUNTIFS(monthly!R:R,"",monthly!$A:$A,"&gt;="&amp;$A119,monthly!$B:$B,"&lt;="&amp;$B119)&gt;0,"NA",AVERAGEIFS(monthly!R:R,monthly!$A:$A,"&gt;="&amp;$A119,monthly!$B:$B,"&lt;="&amp;$B119))</f>
        <v>5.5411969696969692</v>
      </c>
      <c r="AA119">
        <f>IF(COUNTIFS(monthly!S:S,"",monthly!$A:$A,"&gt;="&amp;$A119,monthly!$B:$B,"&lt;="&amp;$B119)&gt;0,"NA",AVERAGEIFS(monthly!S:S,monthly!$A:$A,"&gt;="&amp;$A119,monthly!$B:$B,"&lt;="&amp;$B119))</f>
        <v>0.27209668109668161</v>
      </c>
      <c r="AB119">
        <f>IF(COUNTIFS(monthly!T:T,"",monthly!$A:$A,"&gt;="&amp;$A119,monthly!$B:$B,"&lt;="&amp;$B119)&gt;0,"NA",AVERAGEIFS(monthly!T:T,monthly!$A:$A,"&gt;="&amp;$A119,monthly!$B:$B,"&lt;="&amp;$B119))</f>
        <v>24.436478354978352</v>
      </c>
      <c r="AC119">
        <f>IF(COUNTIFS(monthly!U:U,"",monthly!$A:$A,"&gt;="&amp;$A119,monthly!$B:$B,"&lt;="&amp;$B119)&gt;0,"NA",AVERAGEIFS(monthly!U:U,monthly!$A:$A,"&gt;="&amp;$A119,monthly!$B:$B,"&lt;="&amp;$B119))</f>
        <v>69.228680777614628</v>
      </c>
      <c r="AD119">
        <f>IF(COUNTIFS(monthly!V:V,"",monthly!$A:$A,"&gt;="&amp;$A119,monthly!$B:$B,"&lt;="&amp;$B119)&gt;0,"NA",AVERAGEIFS(monthly!V:V,monthly!$A:$A,"&gt;="&amp;$A119,monthly!$B:$B,"&lt;="&amp;$B119))</f>
        <v>70.503281562679817</v>
      </c>
      <c r="AE119">
        <f>IF(COUNTIFS(monthly!W:W,"",monthly!$A:$A,"&gt;="&amp;$A119,monthly!$B:$B,"&lt;="&amp;$B119)&gt;0,"NA",AVERAGEIFS(monthly!W:W,monthly!$A:$A,"&gt;="&amp;$A119,monthly!$B:$B,"&lt;="&amp;$B119))</f>
        <v>90.349896748860672</v>
      </c>
      <c r="AF119">
        <f>IF(COUNTIFS(monthly!X:X,"",monthly!$A:$A,"&gt;="&amp;$A119,monthly!$B:$B,"&lt;="&amp;$B119)&gt;0,"NA",AVERAGEIFS(monthly!X:X,monthly!$A:$A,"&gt;="&amp;$A119,monthly!$B:$B,"&lt;="&amp;$B119))</f>
        <v>92.560101826985672</v>
      </c>
      <c r="AG119">
        <f>IF(COUNTIFS(monthly!Y:Y,"",monthly!$A:$A,"&gt;="&amp;$A119,monthly!$B:$B,"&lt;="&amp;$B119)&gt;0,"NA",AVERAGEIFS(monthly!Y:Y,monthly!$A:$A,"&gt;="&amp;$A119,monthly!$B:$B,"&lt;="&amp;$B119))</f>
        <v>89.222104390462235</v>
      </c>
      <c r="AH119">
        <f>IF(COUNTIFS(monthly!Z:Z,"",monthly!$A:$A,"&gt;="&amp;$A119,monthly!$B:$B,"&lt;="&amp;$B119)&gt;0,"NA",AVERAGEIFS(monthly!Z:Z,monthly!$A:$A,"&gt;="&amp;$A119,monthly!$B:$B,"&lt;="&amp;$B119))</f>
        <v>4.6031598001718521E-2</v>
      </c>
    </row>
    <row r="120" spans="1:34" x14ac:dyDescent="0.2">
      <c r="A120" s="1">
        <v>36342</v>
      </c>
      <c r="B120" s="1">
        <v>36433</v>
      </c>
      <c r="C120">
        <f>IF(ISBLANK(VLOOKUP($A120,quarterly_data,MATCH(C$1,quarterly!$1:$1,FALSE),FALSE)),"NA",VLOOKUP($A120,quarterly_data,MATCH(C$1,quarterly!$1:$1,FALSE),FALSE))</f>
        <v>105.22589541958291</v>
      </c>
      <c r="D120">
        <f>IF(ISBLANK(VLOOKUP($A120,quarterly_data,MATCH(D$1,quarterly!$1:$1,FALSE),FALSE)),"NA",VLOOKUP($A120,quarterly_data,MATCH(D$1,quarterly!$1:$1,FALSE),FALSE))</f>
        <v>50.1</v>
      </c>
      <c r="E120">
        <f>IF(ISBLANK(VLOOKUP($A120,quarterly_data,MATCH(E$1,quarterly!$1:$1,FALSE),FALSE)),"NA",VLOOKUP($A120,quarterly_data,MATCH(E$1,quarterly!$1:$1,FALSE),FALSE))</f>
        <v>0</v>
      </c>
      <c r="F120">
        <f>IF(ISBLANK(VLOOKUP($A120,quarterly_data,MATCH(F$1,quarterly!$1:$1,FALSE),FALSE)),"NA",VLOOKUP($A120,quarterly_data,MATCH(F$1,quarterly!$1:$1,FALSE),FALSE))</f>
        <v>2.2675999999999998E-3</v>
      </c>
      <c r="G120">
        <f>IF(ISBLANK(VLOOKUP($A120,quarterly_data,MATCH(G$1,quarterly!$1:$1,FALSE),FALSE)),"NA",VLOOKUP($A120,quarterly_data,MATCH(G$1,quarterly!$1:$1,FALSE),FALSE))</f>
        <v>13604.771000000001</v>
      </c>
      <c r="H120">
        <f>IF(ISBLANK(VLOOKUP($A120,quarterly_data,MATCH(H$1,quarterly!$1:$1,FALSE),FALSE)),"NA",VLOOKUP($A120,quarterly_data,MATCH(H$1,quarterly!$1:$1,FALSE),FALSE))</f>
        <v>344645</v>
      </c>
      <c r="I120">
        <f>IF(ISBLANK(VLOOKUP($A120,quarterly_data,MATCH(I$1,quarterly!$1:$1,FALSE),FALSE)),"NA",VLOOKUP($A120,quarterly_data,MATCH(I$1,quarterly!$1:$1,FALSE),FALSE))</f>
        <v>0.8</v>
      </c>
      <c r="J120">
        <f>IF(ISBLANK(VLOOKUP($A120,quarterly_data,MATCH(J$1,quarterly!$1:$1,FALSE),FALSE)),"NA",VLOOKUP($A120,quarterly_data,MATCH(J$1,quarterly!$1:$1,FALSE),FALSE))</f>
        <v>47.72</v>
      </c>
      <c r="K120">
        <f>IF(COUNTIFS(monthly!C:C,"",monthly!$A:$A,"&gt;="&amp;$A120,monthly!$B:$B,"&lt;="&amp;$B120)&gt;0,"NA",AVERAGEIFS(monthly!C:C,monthly!$A:$A,"&gt;="&amp;$A120,monthly!$B:$B,"&lt;="&amp;$B120))</f>
        <v>56.699999999999996</v>
      </c>
      <c r="L120">
        <f>IF(COUNTIFS(monthly!D:D,"",monthly!$A:$A,"&gt;="&amp;$A120,monthly!$B:$B,"&lt;="&amp;$B120)&gt;0,"NA",AVERAGEIFS(monthly!D:D,monthly!$A:$A,"&gt;="&amp;$A120,monthly!$B:$B,"&lt;="&amp;$B120))</f>
        <v>0.64783333333333337</v>
      </c>
      <c r="M120">
        <f>IF(COUNTIFS(monthly!E:E,"",monthly!$A:$A,"&gt;="&amp;$A120,monthly!$B:$B,"&lt;="&amp;$B120)&gt;0,"NA",AVERAGEIFS(monthly!E:E,monthly!$A:$A,"&gt;="&amp;$A120,monthly!$B:$B,"&lt;="&amp;$B120))</f>
        <v>27.208001200253232</v>
      </c>
      <c r="N120" t="str">
        <f>IF(COUNTIFS(monthly!F:F,"",monthly!$A:$A,"&gt;="&amp;$A120,monthly!$B:$B,"&lt;="&amp;$B120)&gt;0,"NA",AVERAGEIFS(monthly!F:F,monthly!$A:$A,"&gt;="&amp;$A120,monthly!$B:$B,"&lt;="&amp;$B120))</f>
        <v>NA</v>
      </c>
      <c r="O120">
        <f>IF(COUNTIFS(monthly!G:G,"",monthly!$A:$A,"&gt;="&amp;$A120,monthly!$B:$B,"&lt;="&amp;$B120)&gt;0,"NA",AVERAGEIFS(monthly!G:G,monthly!$A:$A,"&gt;="&amp;$A120,monthly!$B:$B,"&lt;="&amp;$B120))</f>
        <v>27.600000000000005</v>
      </c>
      <c r="P120">
        <f>IF(COUNTIFS(monthly!H:H,"",monthly!$A:$A,"&gt;="&amp;$A120,monthly!$B:$B,"&lt;="&amp;$B120)&gt;0,"NA",AVERAGEIFS(monthly!H:H,monthly!$A:$A,"&gt;="&amp;$A120,monthly!$B:$B,"&lt;="&amp;$B120))</f>
        <v>26.100000000000005</v>
      </c>
      <c r="Q120">
        <f>IF(COUNTIFS(monthly!I:I,"",monthly!$A:$A,"&gt;="&amp;$A120,monthly!$B:$B,"&lt;="&amp;$B120)&gt;0,"NA",AVERAGEIFS(monthly!I:I,monthly!$A:$A,"&gt;="&amp;$A120,monthly!$B:$B,"&lt;="&amp;$B120))</f>
        <v>20.533333333333335</v>
      </c>
      <c r="R120">
        <f>IF(COUNTIFS(monthly!J:J,"",monthly!$A:$A,"&gt;="&amp;$A120,monthly!$B:$B,"&lt;="&amp;$B120)&gt;0,"NA",AVERAGEIFS(monthly!J:J,monthly!$A:$A,"&gt;="&amp;$A120,monthly!$B:$B,"&lt;="&amp;$B120))</f>
        <v>3.17</v>
      </c>
      <c r="S120">
        <f>IF(COUNTIFS(monthly!K:K,"",monthly!$A:$A,"&gt;="&amp;$A120,monthly!$B:$B,"&lt;="&amp;$B120)&gt;0,"NA",AVERAGEIFS(monthly!K:K,monthly!$A:$A,"&gt;="&amp;$A120,monthly!$B:$B,"&lt;="&amp;$B120))</f>
        <v>4.74</v>
      </c>
      <c r="T120">
        <f>IF(COUNTIFS(monthly!L:L,"",monthly!$A:$A,"&gt;="&amp;$A120,monthly!$B:$B,"&lt;="&amp;$B120)&gt;0,"NA",AVERAGEIFS(monthly!L:L,monthly!$A:$A,"&gt;="&amp;$A120,monthly!$B:$B,"&lt;="&amp;$B120))</f>
        <v>5.0969283154121863</v>
      </c>
      <c r="U120">
        <f>IF(COUNTIFS(monthly!M:M,"",monthly!$A:$A,"&gt;="&amp;$A120,monthly!$B:$B,"&lt;="&amp;$B120)&gt;0,"NA",AVERAGEIFS(monthly!M:M,monthly!$A:$A,"&gt;="&amp;$A120,monthly!$B:$B,"&lt;="&amp;$B120))</f>
        <v>-0.35692831541218606</v>
      </c>
      <c r="V120">
        <f>IF(COUNTIFS(monthly!N:N,"",monthly!$A:$A,"&gt;="&amp;$A120,monthly!$B:$B,"&lt;="&amp;$B120)&gt;0,"NA",AVERAGEIFS(monthly!N:N,monthly!$A:$A,"&gt;="&amp;$A120,monthly!$B:$B,"&lt;="&amp;$B120))</f>
        <v>5.3140909090909085</v>
      </c>
      <c r="W120">
        <f>IF(COUNTIFS(monthly!O:O,"",monthly!$A:$A,"&gt;="&amp;$A120,monthly!$B:$B,"&lt;="&amp;$B120)&gt;0,"NA",AVERAGEIFS(monthly!O:O,monthly!$A:$A,"&gt;="&amp;$A120,monthly!$B:$B,"&lt;="&amp;$B120))</f>
        <v>5.6316161616161615</v>
      </c>
      <c r="X120">
        <f>IF(COUNTIFS(monthly!P:P,"",monthly!$A:$A,"&gt;="&amp;$A120,monthly!$B:$B,"&lt;="&amp;$B120)&gt;0,"NA",AVERAGEIFS(monthly!P:P,monthly!$A:$A,"&gt;="&amp;$A120,monthly!$B:$B,"&lt;="&amp;$B120))</f>
        <v>-0.31752525252525299</v>
      </c>
      <c r="Y120">
        <f>IF(COUNTIFS(monthly!Q:Q,"",monthly!$A:$A,"&gt;="&amp;$A120,monthly!$B:$B,"&lt;="&amp;$B120)&gt;0,"NA",AVERAGEIFS(monthly!Q:Q,monthly!$A:$A,"&gt;="&amp;$A120,monthly!$B:$B,"&lt;="&amp;$B120))</f>
        <v>6.2724242424242433</v>
      </c>
      <c r="Z120">
        <f>IF(COUNTIFS(monthly!R:R,"",monthly!$A:$A,"&gt;="&amp;$A120,monthly!$B:$B,"&lt;="&amp;$B120)&gt;0,"NA",AVERAGEIFS(monthly!R:R,monthly!$A:$A,"&gt;="&amp;$A120,monthly!$B:$B,"&lt;="&amp;$B120))</f>
        <v>5.8820779220779222</v>
      </c>
      <c r="AA120">
        <f>IF(COUNTIFS(monthly!S:S,"",monthly!$A:$A,"&gt;="&amp;$A120,monthly!$B:$B,"&lt;="&amp;$B120)&gt;0,"NA",AVERAGEIFS(monthly!S:S,monthly!$A:$A,"&gt;="&amp;$A120,monthly!$B:$B,"&lt;="&amp;$B120))</f>
        <v>0.39034632034632083</v>
      </c>
      <c r="AB120">
        <f>IF(COUNTIFS(monthly!T:T,"",monthly!$A:$A,"&gt;="&amp;$A120,monthly!$B:$B,"&lt;="&amp;$B120)&gt;0,"NA",AVERAGEIFS(monthly!T:T,monthly!$A:$A,"&gt;="&amp;$A120,monthly!$B:$B,"&lt;="&amp;$B120))</f>
        <v>23.304704184704182</v>
      </c>
      <c r="AC120">
        <f>IF(COUNTIFS(monthly!U:U,"",monthly!$A:$A,"&gt;="&amp;$A120,monthly!$B:$B,"&lt;="&amp;$B120)&gt;0,"NA",AVERAGEIFS(monthly!U:U,monthly!$A:$A,"&gt;="&amp;$A120,monthly!$B:$B,"&lt;="&amp;$B120))</f>
        <v>69.895539695565091</v>
      </c>
      <c r="AD120">
        <f>IF(COUNTIFS(monthly!V:V,"",monthly!$A:$A,"&gt;="&amp;$A120,monthly!$B:$B,"&lt;="&amp;$B120)&gt;0,"NA",AVERAGEIFS(monthly!V:V,monthly!$A:$A,"&gt;="&amp;$A120,monthly!$B:$B,"&lt;="&amp;$B120))</f>
        <v>53.219721358655157</v>
      </c>
      <c r="AE120">
        <f>IF(COUNTIFS(monthly!W:W,"",monthly!$A:$A,"&gt;="&amp;$A120,monthly!$B:$B,"&lt;="&amp;$B120)&gt;0,"NA",AVERAGEIFS(monthly!W:W,monthly!$A:$A,"&gt;="&amp;$A120,monthly!$B:$B,"&lt;="&amp;$B120))</f>
        <v>64.861008961995438</v>
      </c>
      <c r="AF120">
        <f>IF(COUNTIFS(monthly!X:X,"",monthly!$A:$A,"&gt;="&amp;$A120,monthly!$B:$B,"&lt;="&amp;$B120)&gt;0,"NA",AVERAGEIFS(monthly!X:X,monthly!$A:$A,"&gt;="&amp;$A120,monthly!$B:$B,"&lt;="&amp;$B120))</f>
        <v>69.214019775390625</v>
      </c>
      <c r="AG120">
        <f>IF(COUNTIFS(monthly!Y:Y,"",monthly!$A:$A,"&gt;="&amp;$A120,monthly!$B:$B,"&lt;="&amp;$B120)&gt;0,"NA",AVERAGEIFS(monthly!Y:Y,monthly!$A:$A,"&gt;="&amp;$A120,monthly!$B:$B,"&lt;="&amp;$B120))</f>
        <v>58.14398193359375</v>
      </c>
      <c r="AH120">
        <f>IF(COUNTIFS(monthly!Z:Z,"",monthly!$A:$A,"&gt;="&amp;$A120,monthly!$B:$B,"&lt;="&amp;$B120)&gt;0,"NA",AVERAGEIFS(monthly!Z:Z,monthly!$A:$A,"&gt;="&amp;$A120,monthly!$B:$B,"&lt;="&amp;$B120))</f>
        <v>0.1565029559036096</v>
      </c>
    </row>
    <row r="121" spans="1:34" x14ac:dyDescent="0.2">
      <c r="A121" s="1">
        <v>36434</v>
      </c>
      <c r="B121" s="1">
        <v>36524</v>
      </c>
      <c r="C121">
        <f>IF(ISBLANK(VLOOKUP($A121,quarterly_data,MATCH(C$1,quarterly!$1:$1,FALSE),FALSE)),"NA",VLOOKUP($A121,quarterly_data,MATCH(C$1,quarterly!$1:$1,FALSE),FALSE))</f>
        <v>102.78498060673391</v>
      </c>
      <c r="D121">
        <f>IF(ISBLANK(VLOOKUP($A121,quarterly_data,MATCH(D$1,quarterly!$1:$1,FALSE),FALSE)),"NA",VLOOKUP($A121,quarterly_data,MATCH(D$1,quarterly!$1:$1,FALSE),FALSE))</f>
        <v>51</v>
      </c>
      <c r="E121">
        <f>IF(ISBLANK(VLOOKUP($A121,quarterly_data,MATCH(E$1,quarterly!$1:$1,FALSE),FALSE)),"NA",VLOOKUP($A121,quarterly_data,MATCH(E$1,quarterly!$1:$1,FALSE),FALSE))</f>
        <v>7.0952200000000007E-2</v>
      </c>
      <c r="F121">
        <f>IF(ISBLANK(VLOOKUP($A121,quarterly_data,MATCH(F$1,quarterly!$1:$1,FALSE),FALSE)),"NA",VLOOKUP($A121,quarterly_data,MATCH(F$1,quarterly!$1:$1,FALSE),FALSE))</f>
        <v>1.4190400000000001E-2</v>
      </c>
      <c r="G121">
        <f>IF(ISBLANK(VLOOKUP($A121,quarterly_data,MATCH(G$1,quarterly!$1:$1,FALSE),FALSE)),"NA",VLOOKUP($A121,quarterly_data,MATCH(G$1,quarterly!$1:$1,FALSE),FALSE))</f>
        <v>13827.98</v>
      </c>
      <c r="H121">
        <f>IF(ISBLANK(VLOOKUP($A121,quarterly_data,MATCH(H$1,quarterly!$1:$1,FALSE),FALSE)),"NA",VLOOKUP($A121,quarterly_data,MATCH(H$1,quarterly!$1:$1,FALSE),FALSE))</f>
        <v>350488</v>
      </c>
      <c r="I121">
        <f>IF(ISBLANK(VLOOKUP($A121,quarterly_data,MATCH(I$1,quarterly!$1:$1,FALSE),FALSE)),"NA",VLOOKUP($A121,quarterly_data,MATCH(I$1,quarterly!$1:$1,FALSE),FALSE))</f>
        <v>0.6</v>
      </c>
      <c r="J121">
        <f>IF(ISBLANK(VLOOKUP($A121,quarterly_data,MATCH(J$1,quarterly!$1:$1,FALSE),FALSE)),"NA",VLOOKUP($A121,quarterly_data,MATCH(J$1,quarterly!$1:$1,FALSE),FALSE))</f>
        <v>47.97</v>
      </c>
      <c r="K121">
        <f>IF(COUNTIFS(monthly!C:C,"",monthly!$A:$A,"&gt;="&amp;$A121,monthly!$B:$B,"&lt;="&amp;$B121)&gt;0,"NA",AVERAGEIFS(monthly!C:C,monthly!$A:$A,"&gt;="&amp;$A121,monthly!$B:$B,"&lt;="&amp;$B121))</f>
        <v>55.5</v>
      </c>
      <c r="L121">
        <f>IF(COUNTIFS(monthly!D:D,"",monthly!$A:$A,"&gt;="&amp;$A121,monthly!$B:$B,"&lt;="&amp;$B121)&gt;0,"NA",AVERAGEIFS(monthly!D:D,monthly!$A:$A,"&gt;="&amp;$A121,monthly!$B:$B,"&lt;="&amp;$B121))</f>
        <v>0.6411</v>
      </c>
      <c r="M121">
        <f>IF(COUNTIFS(monthly!E:E,"",monthly!$A:$A,"&gt;="&amp;$A121,monthly!$B:$B,"&lt;="&amp;$B121)&gt;0,"NA",AVERAGEIFS(monthly!E:E,monthly!$A:$A,"&gt;="&amp;$A121,monthly!$B:$B,"&lt;="&amp;$B121))</f>
        <v>27.523928141400702</v>
      </c>
      <c r="N121" t="str">
        <f>IF(COUNTIFS(monthly!F:F,"",monthly!$A:$A,"&gt;="&amp;$A121,monthly!$B:$B,"&lt;="&amp;$B121)&gt;0,"NA",AVERAGEIFS(monthly!F:F,monthly!$A:$A,"&gt;="&amp;$A121,monthly!$B:$B,"&lt;="&amp;$B121))</f>
        <v>NA</v>
      </c>
      <c r="O121">
        <f>IF(COUNTIFS(monthly!G:G,"",monthly!$A:$A,"&gt;="&amp;$A121,monthly!$B:$B,"&lt;="&amp;$B121)&gt;0,"NA",AVERAGEIFS(monthly!G:G,monthly!$A:$A,"&gt;="&amp;$A121,monthly!$B:$B,"&lt;="&amp;$B121))</f>
        <v>27.6</v>
      </c>
      <c r="P121">
        <f>IF(COUNTIFS(monthly!H:H,"",monthly!$A:$A,"&gt;="&amp;$A121,monthly!$B:$B,"&lt;="&amp;$B121)&gt;0,"NA",AVERAGEIFS(monthly!H:H,monthly!$A:$A,"&gt;="&amp;$A121,monthly!$B:$B,"&lt;="&amp;$B121))</f>
        <v>25.35</v>
      </c>
      <c r="Q121">
        <f>IF(COUNTIFS(monthly!I:I,"",monthly!$A:$A,"&gt;="&amp;$A121,monthly!$B:$B,"&lt;="&amp;$B121)&gt;0,"NA",AVERAGEIFS(monthly!I:I,monthly!$A:$A,"&gt;="&amp;$A121,monthly!$B:$B,"&lt;="&amp;$B121))</f>
        <v>23.3</v>
      </c>
      <c r="R121">
        <f>IF(COUNTIFS(monthly!J:J,"",monthly!$A:$A,"&gt;="&amp;$A121,monthly!$B:$B,"&lt;="&amp;$B121)&gt;0,"NA",AVERAGEIFS(monthly!J:J,monthly!$A:$A,"&gt;="&amp;$A121,monthly!$B:$B,"&lt;="&amp;$B121))</f>
        <v>3.65</v>
      </c>
      <c r="S121">
        <f>IF(COUNTIFS(monthly!K:K,"",monthly!$A:$A,"&gt;="&amp;$A121,monthly!$B:$B,"&lt;="&amp;$B121)&gt;0,"NA",AVERAGEIFS(monthly!K:K,monthly!$A:$A,"&gt;="&amp;$A121,monthly!$B:$B,"&lt;="&amp;$B121))</f>
        <v>4.8650000000000002</v>
      </c>
      <c r="T121">
        <f>IF(COUNTIFS(monthly!L:L,"",monthly!$A:$A,"&gt;="&amp;$A121,monthly!$B:$B,"&lt;="&amp;$B121)&gt;0,"NA",AVERAGEIFS(monthly!L:L,monthly!$A:$A,"&gt;="&amp;$A121,monthly!$B:$B,"&lt;="&amp;$B121))</f>
        <v>5.3100000000000005</v>
      </c>
      <c r="U121">
        <f>IF(COUNTIFS(monthly!M:M,"",monthly!$A:$A,"&gt;="&amp;$A121,monthly!$B:$B,"&lt;="&amp;$B121)&gt;0,"NA",AVERAGEIFS(monthly!M:M,monthly!$A:$A,"&gt;="&amp;$A121,monthly!$B:$B,"&lt;="&amp;$B121))</f>
        <v>-0.44500000000000073</v>
      </c>
      <c r="V121">
        <f>IF(COUNTIFS(monthly!N:N,"",monthly!$A:$A,"&gt;="&amp;$A121,monthly!$B:$B,"&lt;="&amp;$B121)&gt;0,"NA",AVERAGEIFS(monthly!N:N,monthly!$A:$A,"&gt;="&amp;$A121,monthly!$B:$B,"&lt;="&amp;$B121))</f>
        <v>5.8870129870129873</v>
      </c>
      <c r="W121">
        <f>IF(COUNTIFS(monthly!O:O,"",monthly!$A:$A,"&gt;="&amp;$A121,monthly!$B:$B,"&lt;="&amp;$B121)&gt;0,"NA",AVERAGEIFS(monthly!O:O,monthly!$A:$A,"&gt;="&amp;$A121,monthly!$B:$B,"&lt;="&amp;$B121))</f>
        <v>5.8622500000000004</v>
      </c>
      <c r="X121">
        <f>IF(COUNTIFS(monthly!P:P,"",monthly!$A:$A,"&gt;="&amp;$A121,monthly!$B:$B,"&lt;="&amp;$B121)&gt;0,"NA",AVERAGEIFS(monthly!P:P,monthly!$A:$A,"&gt;="&amp;$A121,monthly!$B:$B,"&lt;="&amp;$B121))</f>
        <v>2.4762987012987292E-2</v>
      </c>
      <c r="Y121">
        <f>IF(COUNTIFS(monthly!Q:Q,"",monthly!$A:$A,"&gt;="&amp;$A121,monthly!$B:$B,"&lt;="&amp;$B121)&gt;0,"NA",AVERAGEIFS(monthly!Q:Q,monthly!$A:$A,"&gt;="&amp;$A121,monthly!$B:$B,"&lt;="&amp;$B121))</f>
        <v>6.581515151515152</v>
      </c>
      <c r="Z121">
        <f>IF(COUNTIFS(monthly!R:R,"",monthly!$A:$A,"&gt;="&amp;$A121,monthly!$B:$B,"&lt;="&amp;$B121)&gt;0,"NA",AVERAGEIFS(monthly!R:R,monthly!$A:$A,"&gt;="&amp;$A121,monthly!$B:$B,"&lt;="&amp;$B121))</f>
        <v>6.0730000000000004</v>
      </c>
      <c r="AA121">
        <f>IF(COUNTIFS(monthly!S:S,"",monthly!$A:$A,"&gt;="&amp;$A121,monthly!$B:$B,"&lt;="&amp;$B121)&gt;0,"NA",AVERAGEIFS(monthly!S:S,monthly!$A:$A,"&gt;="&amp;$A121,monthly!$B:$B,"&lt;="&amp;$B121))</f>
        <v>0.50851515151515203</v>
      </c>
      <c r="AB121">
        <f>IF(COUNTIFS(monthly!T:T,"",monthly!$A:$A,"&gt;="&amp;$A121,monthly!$B:$B,"&lt;="&amp;$B121)&gt;0,"NA",AVERAGEIFS(monthly!T:T,monthly!$A:$A,"&gt;="&amp;$A121,monthly!$B:$B,"&lt;="&amp;$B121))</f>
        <v>22.919761904761902</v>
      </c>
      <c r="AC121">
        <f>IF(COUNTIFS(monthly!U:U,"",monthly!$A:$A,"&gt;="&amp;$A121,monthly!$B:$B,"&lt;="&amp;$B121)&gt;0,"NA",AVERAGEIFS(monthly!U:U,monthly!$A:$A,"&gt;="&amp;$A121,monthly!$B:$B,"&lt;="&amp;$B121))</f>
        <v>68.334619566348465</v>
      </c>
      <c r="AD121">
        <f>IF(COUNTIFS(monthly!V:V,"",monthly!$A:$A,"&gt;="&amp;$A121,monthly!$B:$B,"&lt;="&amp;$B121)&gt;0,"NA",AVERAGEIFS(monthly!V:V,monthly!$A:$A,"&gt;="&amp;$A121,monthly!$B:$B,"&lt;="&amp;$B121))</f>
        <v>59.699216784512245</v>
      </c>
      <c r="AE121">
        <f>IF(COUNTIFS(monthly!W:W,"",monthly!$A:$A,"&gt;="&amp;$A121,monthly!$B:$B,"&lt;="&amp;$B121)&gt;0,"NA",AVERAGEIFS(monthly!W:W,monthly!$A:$A,"&gt;="&amp;$A121,monthly!$B:$B,"&lt;="&amp;$B121))</f>
        <v>65.158676147460938</v>
      </c>
      <c r="AF121">
        <f>IF(COUNTIFS(monthly!X:X,"",monthly!$A:$A,"&gt;="&amp;$A121,monthly!$B:$B,"&lt;="&amp;$B121)&gt;0,"NA",AVERAGEIFS(monthly!X:X,monthly!$A:$A,"&gt;="&amp;$A121,monthly!$B:$B,"&lt;="&amp;$B121))</f>
        <v>69.88554573059082</v>
      </c>
      <c r="AG121">
        <f>IF(COUNTIFS(monthly!Y:Y,"",monthly!$A:$A,"&gt;="&amp;$A121,monthly!$B:$B,"&lt;="&amp;$B121)&gt;0,"NA",AVERAGEIFS(monthly!Y:Y,monthly!$A:$A,"&gt;="&amp;$A121,monthly!$B:$B,"&lt;="&amp;$B121))</f>
        <v>56.329959869384766</v>
      </c>
      <c r="AH121">
        <f>IF(COUNTIFS(monthly!Z:Z,"",monthly!$A:$A,"&gt;="&amp;$A121,monthly!$B:$B,"&lt;="&amp;$B121)&gt;0,"NA",AVERAGEIFS(monthly!Z:Z,monthly!$A:$A,"&gt;="&amp;$A121,monthly!$B:$B,"&lt;="&amp;$B121))</f>
        <v>8.290071040391922E-2</v>
      </c>
    </row>
    <row r="122" spans="1:34" x14ac:dyDescent="0.2">
      <c r="A122" s="1">
        <v>36526</v>
      </c>
      <c r="B122" s="1">
        <v>36615</v>
      </c>
      <c r="C122">
        <f>IF(ISBLANK(VLOOKUP($A122,quarterly_data,MATCH(C$1,quarterly!$1:$1,FALSE),FALSE)),"NA",VLOOKUP($A122,quarterly_data,MATCH(C$1,quarterly!$1:$1,FALSE),FALSE))</f>
        <v>102.42070143658479</v>
      </c>
      <c r="D122">
        <f>IF(ISBLANK(VLOOKUP($A122,quarterly_data,MATCH(D$1,quarterly!$1:$1,FALSE),FALSE)),"NA",VLOOKUP($A122,quarterly_data,MATCH(D$1,quarterly!$1:$1,FALSE),FALSE))</f>
        <v>52.7</v>
      </c>
      <c r="E122">
        <f>IF(ISBLANK(VLOOKUP($A122,quarterly_data,MATCH(E$1,quarterly!$1:$1,FALSE),FALSE)),"NA",VLOOKUP($A122,quarterly_data,MATCH(E$1,quarterly!$1:$1,FALSE),FALSE))</f>
        <v>0</v>
      </c>
      <c r="F122">
        <f>IF(ISBLANK(VLOOKUP($A122,quarterly_data,MATCH(F$1,quarterly!$1:$1,FALSE),FALSE)),"NA",VLOOKUP($A122,quarterly_data,MATCH(F$1,quarterly!$1:$1,FALSE),FALSE))</f>
        <v>7.0952000000000003E-3</v>
      </c>
      <c r="G122">
        <f>IF(ISBLANK(VLOOKUP($A122,quarterly_data,MATCH(G$1,quarterly!$1:$1,FALSE),FALSE)),"NA",VLOOKUP($A122,quarterly_data,MATCH(G$1,quarterly!$1:$1,FALSE),FALSE))</f>
        <v>13878.147000000001</v>
      </c>
      <c r="H122">
        <f>IF(ISBLANK(VLOOKUP($A122,quarterly_data,MATCH(H$1,quarterly!$1:$1,FALSE),FALSE)),"NA",VLOOKUP($A122,quarterly_data,MATCH(H$1,quarterly!$1:$1,FALSE),FALSE))</f>
        <v>351872</v>
      </c>
      <c r="I122">
        <f>IF(ISBLANK(VLOOKUP($A122,quarterly_data,MATCH(I$1,quarterly!$1:$1,FALSE),FALSE)),"NA",VLOOKUP($A122,quarterly_data,MATCH(I$1,quarterly!$1:$1,FALSE),FALSE))</f>
        <v>0.7</v>
      </c>
      <c r="J122">
        <f>IF(ISBLANK(VLOOKUP($A122,quarterly_data,MATCH(J$1,quarterly!$1:$1,FALSE),FALSE)),"NA",VLOOKUP($A122,quarterly_data,MATCH(J$1,quarterly!$1:$1,FALSE),FALSE))</f>
        <v>48.4</v>
      </c>
      <c r="K122">
        <f>IF(COUNTIFS(monthly!C:C,"",monthly!$A:$A,"&gt;="&amp;$A122,monthly!$B:$B,"&lt;="&amp;$B122)&gt;0,"NA",AVERAGEIFS(monthly!C:C,monthly!$A:$A,"&gt;="&amp;$A122,monthly!$B:$B,"&lt;="&amp;$B122))</f>
        <v>55.25</v>
      </c>
      <c r="L122">
        <f>IF(COUNTIFS(monthly!D:D,"",monthly!$A:$A,"&gt;="&amp;$A122,monthly!$B:$B,"&lt;="&amp;$B122)&gt;0,"NA",AVERAGEIFS(monthly!D:D,monthly!$A:$A,"&gt;="&amp;$A122,monthly!$B:$B,"&lt;="&amp;$B122))</f>
        <v>0.62624999999999997</v>
      </c>
      <c r="M122">
        <f>IF(COUNTIFS(monthly!E:E,"",monthly!$A:$A,"&gt;="&amp;$A122,monthly!$B:$B,"&lt;="&amp;$B122)&gt;0,"NA",AVERAGEIFS(monthly!E:E,monthly!$A:$A,"&gt;="&amp;$A122,monthly!$B:$B,"&lt;="&amp;$B122))</f>
        <v>28.696743963602998</v>
      </c>
      <c r="N122" t="str">
        <f>IF(COUNTIFS(monthly!F:F,"",monthly!$A:$A,"&gt;="&amp;$A122,monthly!$B:$B,"&lt;="&amp;$B122)&gt;0,"NA",AVERAGEIFS(monthly!F:F,monthly!$A:$A,"&gt;="&amp;$A122,monthly!$B:$B,"&lt;="&amp;$B122))</f>
        <v>NA</v>
      </c>
      <c r="O122">
        <f>IF(COUNTIFS(monthly!G:G,"",monthly!$A:$A,"&gt;="&amp;$A122,monthly!$B:$B,"&lt;="&amp;$B122)&gt;0,"NA",AVERAGEIFS(monthly!G:G,monthly!$A:$A,"&gt;="&amp;$A122,monthly!$B:$B,"&lt;="&amp;$B122))</f>
        <v>28.8</v>
      </c>
      <c r="P122">
        <f>IF(COUNTIFS(monthly!H:H,"",monthly!$A:$A,"&gt;="&amp;$A122,monthly!$B:$B,"&lt;="&amp;$B122)&gt;0,"NA",AVERAGEIFS(monthly!H:H,monthly!$A:$A,"&gt;="&amp;$A122,monthly!$B:$B,"&lt;="&amp;$B122))</f>
        <v>25.1</v>
      </c>
      <c r="Q122">
        <f>IF(COUNTIFS(monthly!I:I,"",monthly!$A:$A,"&gt;="&amp;$A122,monthly!$B:$B,"&lt;="&amp;$B122)&gt;0,"NA",AVERAGEIFS(monthly!I:I,monthly!$A:$A,"&gt;="&amp;$A122,monthly!$B:$B,"&lt;="&amp;$B122))</f>
        <v>26.549999999999997</v>
      </c>
      <c r="R122">
        <f>IF(COUNTIFS(monthly!J:J,"",monthly!$A:$A,"&gt;="&amp;$A122,monthly!$B:$B,"&lt;="&amp;$B122)&gt;0,"NA",AVERAGEIFS(monthly!J:J,monthly!$A:$A,"&gt;="&amp;$A122,monthly!$B:$B,"&lt;="&amp;$B122))</f>
        <v>4.18</v>
      </c>
      <c r="S122">
        <f>IF(COUNTIFS(monthly!K:K,"",monthly!$A:$A,"&gt;="&amp;$A122,monthly!$B:$B,"&lt;="&amp;$B122)&gt;0,"NA",AVERAGEIFS(monthly!K:K,monthly!$A:$A,"&gt;="&amp;$A122,monthly!$B:$B,"&lt;="&amp;$B122))</f>
        <v>5.2200000000000006</v>
      </c>
      <c r="T122">
        <f>IF(COUNTIFS(monthly!L:L,"",monthly!$A:$A,"&gt;="&amp;$A122,monthly!$B:$B,"&lt;="&amp;$B122)&gt;0,"NA",AVERAGEIFS(monthly!L:L,monthly!$A:$A,"&gt;="&amp;$A122,monthly!$B:$B,"&lt;="&amp;$B122))</f>
        <v>5.5916073414905458</v>
      </c>
      <c r="U122">
        <f>IF(COUNTIFS(monthly!M:M,"",monthly!$A:$A,"&gt;="&amp;$A122,monthly!$B:$B,"&lt;="&amp;$B122)&gt;0,"NA",AVERAGEIFS(monthly!M:M,monthly!$A:$A,"&gt;="&amp;$A122,monthly!$B:$B,"&lt;="&amp;$B122))</f>
        <v>-0.3716073414905452</v>
      </c>
      <c r="V122">
        <f>IF(COUNTIFS(monthly!N:N,"",monthly!$A:$A,"&gt;="&amp;$A122,monthly!$B:$B,"&lt;="&amp;$B122)&gt;0,"NA",AVERAGEIFS(monthly!N:N,monthly!$A:$A,"&gt;="&amp;$A122,monthly!$B:$B,"&lt;="&amp;$B122))</f>
        <v>6.5609774436090227</v>
      </c>
      <c r="W122">
        <f>IF(COUNTIFS(monthly!O:O,"",monthly!$A:$A,"&gt;="&amp;$A122,monthly!$B:$B,"&lt;="&amp;$B122)&gt;0,"NA",AVERAGEIFS(monthly!O:O,monthly!$A:$A,"&gt;="&amp;$A122,monthly!$B:$B,"&lt;="&amp;$B122))</f>
        <v>6.525249999999998</v>
      </c>
      <c r="X122">
        <f>IF(COUNTIFS(monthly!P:P,"",monthly!$A:$A,"&gt;="&amp;$A122,monthly!$B:$B,"&lt;="&amp;$B122)&gt;0,"NA",AVERAGEIFS(monthly!P:P,monthly!$A:$A,"&gt;="&amp;$A122,monthly!$B:$B,"&lt;="&amp;$B122))</f>
        <v>3.5727443609023801E-2</v>
      </c>
      <c r="Y122">
        <f>IF(COUNTIFS(monthly!Q:Q,"",monthly!$A:$A,"&gt;="&amp;$A122,monthly!$B:$B,"&lt;="&amp;$B122)&gt;0,"NA",AVERAGEIFS(monthly!Q:Q,monthly!$A:$A,"&gt;="&amp;$A122,monthly!$B:$B,"&lt;="&amp;$B122))</f>
        <v>7.0677568922305767</v>
      </c>
      <c r="Z122">
        <f>IF(COUNTIFS(monthly!R:R,"",monthly!$A:$A,"&gt;="&amp;$A122,monthly!$B:$B,"&lt;="&amp;$B122)&gt;0,"NA",AVERAGEIFS(monthly!R:R,monthly!$A:$A,"&gt;="&amp;$A122,monthly!$B:$B,"&lt;="&amp;$B122))</f>
        <v>6.5902500000000002</v>
      </c>
      <c r="AA122">
        <f>IF(COUNTIFS(monthly!S:S,"",monthly!$A:$A,"&gt;="&amp;$A122,monthly!$B:$B,"&lt;="&amp;$B122)&gt;0,"NA",AVERAGEIFS(monthly!S:S,monthly!$A:$A,"&gt;="&amp;$A122,monthly!$B:$B,"&lt;="&amp;$B122))</f>
        <v>0.47750689223057652</v>
      </c>
      <c r="AB122">
        <f>IF(COUNTIFS(monthly!T:T,"",monthly!$A:$A,"&gt;="&amp;$A122,monthly!$B:$B,"&lt;="&amp;$B122)&gt;0,"NA",AVERAGEIFS(monthly!T:T,monthly!$A:$A,"&gt;="&amp;$A122,monthly!$B:$B,"&lt;="&amp;$B122))</f>
        <v>23.39875</v>
      </c>
      <c r="AC122">
        <f>IF(COUNTIFS(monthly!U:U,"",monthly!$A:$A,"&gt;="&amp;$A122,monthly!$B:$B,"&lt;="&amp;$B122)&gt;0,"NA",AVERAGEIFS(monthly!U:U,monthly!$A:$A,"&gt;="&amp;$A122,monthly!$B:$B,"&lt;="&amp;$B122))</f>
        <v>64.686746172763151</v>
      </c>
      <c r="AD122">
        <f>IF(COUNTIFS(monthly!V:V,"",monthly!$A:$A,"&gt;="&amp;$A122,monthly!$B:$B,"&lt;="&amp;$B122)&gt;0,"NA",AVERAGEIFS(monthly!V:V,monthly!$A:$A,"&gt;="&amp;$A122,monthly!$B:$B,"&lt;="&amp;$B122))</f>
        <v>66.39598385960312</v>
      </c>
      <c r="AE122">
        <f>IF(COUNTIFS(monthly!W:W,"",monthly!$A:$A,"&gt;="&amp;$A122,monthly!$B:$B,"&lt;="&amp;$B122)&gt;0,"NA",AVERAGEIFS(monthly!W:W,monthly!$A:$A,"&gt;="&amp;$A122,monthly!$B:$B,"&lt;="&amp;$B122))</f>
        <v>63.999765396118164</v>
      </c>
      <c r="AF122">
        <f>IF(COUNTIFS(monthly!X:X,"",monthly!$A:$A,"&gt;="&amp;$A122,monthly!$B:$B,"&lt;="&amp;$B122)&gt;0,"NA",AVERAGEIFS(monthly!X:X,monthly!$A:$A,"&gt;="&amp;$A122,monthly!$B:$B,"&lt;="&amp;$B122))</f>
        <v>61.612480163574219</v>
      </c>
      <c r="AG122">
        <f>IF(COUNTIFS(monthly!Y:Y,"",monthly!$A:$A,"&gt;="&amp;$A122,monthly!$B:$B,"&lt;="&amp;$B122)&gt;0,"NA",AVERAGEIFS(monthly!Y:Y,monthly!$A:$A,"&gt;="&amp;$A122,monthly!$B:$B,"&lt;="&amp;$B122))</f>
        <v>66.166290283203125</v>
      </c>
      <c r="AH122">
        <f>IF(COUNTIFS(monthly!Z:Z,"",monthly!$A:$A,"&gt;="&amp;$A122,monthly!$B:$B,"&lt;="&amp;$B122)&gt;0,"NA",AVERAGEIFS(monthly!Z:Z,monthly!$A:$A,"&gt;="&amp;$A122,monthly!$B:$B,"&lt;="&amp;$B122))</f>
        <v>3.4675983712077141E-2</v>
      </c>
    </row>
    <row r="123" spans="1:34" x14ac:dyDescent="0.2">
      <c r="A123" s="1">
        <v>36617</v>
      </c>
      <c r="B123" s="1">
        <v>36707</v>
      </c>
      <c r="C123">
        <f>IF(ISBLANK(VLOOKUP($A123,quarterly_data,MATCH(C$1,quarterly!$1:$1,FALSE),FALSE)),"NA",VLOOKUP($A123,quarterly_data,MATCH(C$1,quarterly!$1:$1,FALSE),FALSE))</f>
        <v>97.523101109979322</v>
      </c>
      <c r="D123">
        <f>IF(ISBLANK(VLOOKUP($A123,quarterly_data,MATCH(D$1,quarterly!$1:$1,FALSE),FALSE)),"NA",VLOOKUP($A123,quarterly_data,MATCH(D$1,quarterly!$1:$1,FALSE),FALSE))</f>
        <v>51.8</v>
      </c>
      <c r="E123">
        <f>IF(ISBLANK(VLOOKUP($A123,quarterly_data,MATCH(E$1,quarterly!$1:$1,FALSE),FALSE)),"NA",VLOOKUP($A123,quarterly_data,MATCH(E$1,quarterly!$1:$1,FALSE),FALSE))</f>
        <v>0.26939649999999998</v>
      </c>
      <c r="F123">
        <f>IF(ISBLANK(VLOOKUP($A123,quarterly_data,MATCH(F$1,quarterly!$1:$1,FALSE),FALSE)),"NA",VLOOKUP($A123,quarterly_data,MATCH(F$1,quarterly!$1:$1,FALSE),FALSE))</f>
        <v>5.62444E-2</v>
      </c>
      <c r="G123">
        <f>IF(ISBLANK(VLOOKUP($A123,quarterly_data,MATCH(G$1,quarterly!$1:$1,FALSE),FALSE)),"NA",VLOOKUP($A123,quarterly_data,MATCH(G$1,quarterly!$1:$1,FALSE),FALSE))</f>
        <v>14130.907999999999</v>
      </c>
      <c r="H123">
        <f>IF(ISBLANK(VLOOKUP($A123,quarterly_data,MATCH(H$1,quarterly!$1:$1,FALSE),FALSE)),"NA",VLOOKUP($A123,quarterly_data,MATCH(H$1,quarterly!$1:$1,FALSE),FALSE))</f>
        <v>355338</v>
      </c>
      <c r="I123">
        <f>IF(ISBLANK(VLOOKUP($A123,quarterly_data,MATCH(I$1,quarterly!$1:$1,FALSE),FALSE)),"NA",VLOOKUP($A123,quarterly_data,MATCH(I$1,quarterly!$1:$1,FALSE),FALSE))</f>
        <v>0.6</v>
      </c>
      <c r="J123">
        <f>IF(ISBLANK(VLOOKUP($A123,quarterly_data,MATCH(J$1,quarterly!$1:$1,FALSE),FALSE)),"NA",VLOOKUP($A123,quarterly_data,MATCH(J$1,quarterly!$1:$1,FALSE),FALSE))</f>
        <v>48.77</v>
      </c>
      <c r="K123">
        <f>IF(COUNTIFS(monthly!C:C,"",monthly!$A:$A,"&gt;="&amp;$A123,monthly!$B:$B,"&lt;="&amp;$B123)&gt;0,"NA",AVERAGEIFS(monthly!C:C,monthly!$A:$A,"&gt;="&amp;$A123,monthly!$B:$B,"&lt;="&amp;$B123))</f>
        <v>52.4</v>
      </c>
      <c r="L123">
        <f>IF(COUNTIFS(monthly!D:D,"",monthly!$A:$A,"&gt;="&amp;$A123,monthly!$B:$B,"&lt;="&amp;$B123)&gt;0,"NA",AVERAGEIFS(monthly!D:D,monthly!$A:$A,"&gt;="&amp;$A123,monthly!$B:$B,"&lt;="&amp;$B123))</f>
        <v>0.58766666666666667</v>
      </c>
      <c r="M123">
        <f>IF(COUNTIFS(monthly!E:E,"",monthly!$A:$A,"&gt;="&amp;$A123,monthly!$B:$B,"&lt;="&amp;$B123)&gt;0,"NA",AVERAGEIFS(monthly!E:E,monthly!$A:$A,"&gt;="&amp;$A123,monthly!$B:$B,"&lt;="&amp;$B123))</f>
        <v>29.527475688793867</v>
      </c>
      <c r="N123" t="str">
        <f>IF(COUNTIFS(monthly!F:F,"",monthly!$A:$A,"&gt;="&amp;$A123,monthly!$B:$B,"&lt;="&amp;$B123)&gt;0,"NA",AVERAGEIFS(monthly!F:F,monthly!$A:$A,"&gt;="&amp;$A123,monthly!$B:$B,"&lt;="&amp;$B123))</f>
        <v>NA</v>
      </c>
      <c r="O123">
        <f>IF(COUNTIFS(monthly!G:G,"",monthly!$A:$A,"&gt;="&amp;$A123,monthly!$B:$B,"&lt;="&amp;$B123)&gt;0,"NA",AVERAGEIFS(monthly!G:G,monthly!$A:$A,"&gt;="&amp;$A123,monthly!$B:$B,"&lt;="&amp;$B123))</f>
        <v>28.8</v>
      </c>
      <c r="P123">
        <f>IF(COUNTIFS(monthly!H:H,"",monthly!$A:$A,"&gt;="&amp;$A123,monthly!$B:$B,"&lt;="&amp;$B123)&gt;0,"NA",AVERAGEIFS(monthly!H:H,monthly!$A:$A,"&gt;="&amp;$A123,monthly!$B:$B,"&lt;="&amp;$B123))</f>
        <v>25.433333333333337</v>
      </c>
      <c r="Q123">
        <f>IF(COUNTIFS(monthly!I:I,"",monthly!$A:$A,"&gt;="&amp;$A123,monthly!$B:$B,"&lt;="&amp;$B123)&gt;0,"NA",AVERAGEIFS(monthly!I:I,monthly!$A:$A,"&gt;="&amp;$A123,monthly!$B:$B,"&lt;="&amp;$B123))</f>
        <v>26.5</v>
      </c>
      <c r="R123">
        <f>IF(COUNTIFS(monthly!J:J,"",monthly!$A:$A,"&gt;="&amp;$A123,monthly!$B:$B,"&lt;="&amp;$B123)&gt;0,"NA",AVERAGEIFS(monthly!J:J,monthly!$A:$A,"&gt;="&amp;$A123,monthly!$B:$B,"&lt;="&amp;$B123))</f>
        <v>4.6366666666666667</v>
      </c>
      <c r="S123">
        <f>IF(COUNTIFS(monthly!K:K,"",monthly!$A:$A,"&gt;="&amp;$A123,monthly!$B:$B,"&lt;="&amp;$B123)&gt;0,"NA",AVERAGEIFS(monthly!K:K,monthly!$A:$A,"&gt;="&amp;$A123,monthly!$B:$B,"&lt;="&amp;$B123))</f>
        <v>5.8999999999999995</v>
      </c>
      <c r="T123">
        <f>IF(COUNTIFS(monthly!L:L,"",monthly!$A:$A,"&gt;="&amp;$A123,monthly!$B:$B,"&lt;="&amp;$B123)&gt;0,"NA",AVERAGEIFS(monthly!L:L,monthly!$A:$A,"&gt;="&amp;$A123,monthly!$B:$B,"&lt;="&amp;$B123))</f>
        <v>6.2720215053763448</v>
      </c>
      <c r="U123">
        <f>IF(COUNTIFS(monthly!M:M,"",monthly!$A:$A,"&gt;="&amp;$A123,monthly!$B:$B,"&lt;="&amp;$B123)&gt;0,"NA",AVERAGEIFS(monthly!M:M,monthly!$A:$A,"&gt;="&amp;$A123,monthly!$B:$B,"&lt;="&amp;$B123))</f>
        <v>-0.3720215053763451</v>
      </c>
      <c r="V123">
        <f>IF(COUNTIFS(monthly!N:N,"",monthly!$A:$A,"&gt;="&amp;$A123,monthly!$B:$B,"&lt;="&amp;$B123)&gt;0,"NA",AVERAGEIFS(monthly!N:N,monthly!$A:$A,"&gt;="&amp;$A123,monthly!$B:$B,"&lt;="&amp;$B123))</f>
        <v>6.1415170705963549</v>
      </c>
      <c r="W123">
        <f>IF(COUNTIFS(monthly!O:O,"",monthly!$A:$A,"&gt;="&amp;$A123,monthly!$B:$B,"&lt;="&amp;$B123)&gt;0,"NA",AVERAGEIFS(monthly!O:O,monthly!$A:$A,"&gt;="&amp;$A123,monthly!$B:$B,"&lt;="&amp;$B123))</f>
        <v>6.5650159489633166</v>
      </c>
      <c r="X123">
        <f>IF(COUNTIFS(monthly!P:P,"",monthly!$A:$A,"&gt;="&amp;$A123,monthly!$B:$B,"&lt;="&amp;$B123)&gt;0,"NA",AVERAGEIFS(monthly!P:P,monthly!$A:$A,"&gt;="&amp;$A123,monthly!$B:$B,"&lt;="&amp;$B123))</f>
        <v>-0.42349887836696176</v>
      </c>
      <c r="Y123">
        <f>IF(COUNTIFS(monthly!Q:Q,"",monthly!$A:$A,"&gt;="&amp;$A123,monthly!$B:$B,"&lt;="&amp;$B123)&gt;0,"NA",AVERAGEIFS(monthly!Q:Q,monthly!$A:$A,"&gt;="&amp;$A123,monthly!$B:$B,"&lt;="&amp;$B123))</f>
        <v>6.3009130028823117</v>
      </c>
      <c r="Z123">
        <f>IF(COUNTIFS(monthly!R:R,"",monthly!$A:$A,"&gt;="&amp;$A123,monthly!$B:$B,"&lt;="&amp;$B123)&gt;0,"NA",AVERAGEIFS(monthly!R:R,monthly!$A:$A,"&gt;="&amp;$A123,monthly!$B:$B,"&lt;="&amp;$B123))</f>
        <v>6.1760845295055828</v>
      </c>
      <c r="AA123">
        <f>IF(COUNTIFS(monthly!S:S,"",monthly!$A:$A,"&gt;="&amp;$A123,monthly!$B:$B,"&lt;="&amp;$B123)&gt;0,"NA",AVERAGEIFS(monthly!S:S,monthly!$A:$A,"&gt;="&amp;$A123,monthly!$B:$B,"&lt;="&amp;$B123))</f>
        <v>0.12482847337673035</v>
      </c>
      <c r="AB123">
        <f>IF(COUNTIFS(monthly!T:T,"",monthly!$A:$A,"&gt;="&amp;$A123,monthly!$B:$B,"&lt;="&amp;$B123)&gt;0,"NA",AVERAGEIFS(monthly!T:T,monthly!$A:$A,"&gt;="&amp;$A123,monthly!$B:$B,"&lt;="&amp;$B123))</f>
        <v>25.025797448165871</v>
      </c>
      <c r="AC123">
        <f>IF(COUNTIFS(monthly!U:U,"",monthly!$A:$A,"&gt;="&amp;$A123,monthly!$B:$B,"&lt;="&amp;$B123)&gt;0,"NA",AVERAGEIFS(monthly!U:U,monthly!$A:$A,"&gt;="&amp;$A123,monthly!$B:$B,"&lt;="&amp;$B123))</f>
        <v>81.198543449335205</v>
      </c>
      <c r="AD123">
        <f>IF(COUNTIFS(monthly!V:V,"",monthly!$A:$A,"&gt;="&amp;$A123,monthly!$B:$B,"&lt;="&amp;$B123)&gt;0,"NA",AVERAGEIFS(monthly!V:V,monthly!$A:$A,"&gt;="&amp;$A123,monthly!$B:$B,"&lt;="&amp;$B123))</f>
        <v>92.407740904993304</v>
      </c>
      <c r="AE123">
        <f>IF(COUNTIFS(monthly!W:W,"",monthly!$A:$A,"&gt;="&amp;$A123,monthly!$B:$B,"&lt;="&amp;$B123)&gt;0,"NA",AVERAGEIFS(monthly!W:W,monthly!$A:$A,"&gt;="&amp;$A123,monthly!$B:$B,"&lt;="&amp;$B123))</f>
        <v>64.294479370117188</v>
      </c>
      <c r="AF123">
        <f>IF(COUNTIFS(monthly!X:X,"",monthly!$A:$A,"&gt;="&amp;$A123,monthly!$B:$B,"&lt;="&amp;$B123)&gt;0,"NA",AVERAGEIFS(monthly!X:X,monthly!$A:$A,"&gt;="&amp;$A123,monthly!$B:$B,"&lt;="&amp;$B123))</f>
        <v>68.049757639567062</v>
      </c>
      <c r="AG123">
        <f>IF(COUNTIFS(monthly!Y:Y,"",monthly!$A:$A,"&gt;="&amp;$A123,monthly!$B:$B,"&lt;="&amp;$B123)&gt;0,"NA",AVERAGEIFS(monthly!Y:Y,monthly!$A:$A,"&gt;="&amp;$A123,monthly!$B:$B,"&lt;="&amp;$B123))</f>
        <v>59.106413523356117</v>
      </c>
      <c r="AH123">
        <f>IF(COUNTIFS(monthly!Z:Z,"",monthly!$A:$A,"&gt;="&amp;$A123,monthly!$B:$B,"&lt;="&amp;$B123)&gt;0,"NA",AVERAGEIFS(monthly!Z:Z,monthly!$A:$A,"&gt;="&amp;$A123,monthly!$B:$B,"&lt;="&amp;$B123))</f>
        <v>6.9036372005939484E-2</v>
      </c>
    </row>
    <row r="124" spans="1:34" x14ac:dyDescent="0.2">
      <c r="A124" s="1">
        <v>36708</v>
      </c>
      <c r="B124" s="1">
        <v>36799</v>
      </c>
      <c r="C124">
        <f>IF(ISBLANK(VLOOKUP($A124,quarterly_data,MATCH(C$1,quarterly!$1:$1,FALSE),FALSE)),"NA",VLOOKUP($A124,quarterly_data,MATCH(C$1,quarterly!$1:$1,FALSE),FALSE))</f>
        <v>96.930840415353231</v>
      </c>
      <c r="D124">
        <f>IF(ISBLANK(VLOOKUP($A124,quarterly_data,MATCH(D$1,quarterly!$1:$1,FALSE),FALSE)),"NA",VLOOKUP($A124,quarterly_data,MATCH(D$1,quarterly!$1:$1,FALSE),FALSE))</f>
        <v>52.6</v>
      </c>
      <c r="E124">
        <f>IF(ISBLANK(VLOOKUP($A124,quarterly_data,MATCH(E$1,quarterly!$1:$1,FALSE),FALSE)),"NA",VLOOKUP($A124,quarterly_data,MATCH(E$1,quarterly!$1:$1,FALSE),FALSE))</f>
        <v>0.23702300000000001</v>
      </c>
      <c r="F124">
        <f>IF(ISBLANK(VLOOKUP($A124,quarterly_data,MATCH(F$1,quarterly!$1:$1,FALSE),FALSE)),"NA",VLOOKUP($A124,quarterly_data,MATCH(F$1,quarterly!$1:$1,FALSE),FALSE))</f>
        <v>7.4344300000000002E-2</v>
      </c>
      <c r="G124">
        <f>IF(ISBLANK(VLOOKUP($A124,quarterly_data,MATCH(G$1,quarterly!$1:$1,FALSE),FALSE)),"NA",VLOOKUP($A124,quarterly_data,MATCH(G$1,quarterly!$1:$1,FALSE),FALSE))</f>
        <v>14145.312</v>
      </c>
      <c r="H124">
        <f>IF(ISBLANK(VLOOKUP($A124,quarterly_data,MATCH(H$1,quarterly!$1:$1,FALSE),FALSE)),"NA",VLOOKUP($A124,quarterly_data,MATCH(H$1,quarterly!$1:$1,FALSE),FALSE))</f>
        <v>356306</v>
      </c>
      <c r="I124">
        <f>IF(ISBLANK(VLOOKUP($A124,quarterly_data,MATCH(I$1,quarterly!$1:$1,FALSE),FALSE)),"NA",VLOOKUP($A124,quarterly_data,MATCH(I$1,quarterly!$1:$1,FALSE),FALSE))</f>
        <v>0.5</v>
      </c>
      <c r="J124">
        <f>IF(ISBLANK(VLOOKUP($A124,quarterly_data,MATCH(J$1,quarterly!$1:$1,FALSE),FALSE)),"NA",VLOOKUP($A124,quarterly_data,MATCH(J$1,quarterly!$1:$1,FALSE),FALSE))</f>
        <v>50.59</v>
      </c>
      <c r="K124">
        <f>IF(COUNTIFS(monthly!C:C,"",monthly!$A:$A,"&gt;="&amp;$A124,monthly!$B:$B,"&lt;="&amp;$B124)&gt;0,"NA",AVERAGEIFS(monthly!C:C,monthly!$A:$A,"&gt;="&amp;$A124,monthly!$B:$B,"&lt;="&amp;$B124))</f>
        <v>51.6</v>
      </c>
      <c r="L124">
        <f>IF(COUNTIFS(monthly!D:D,"",monthly!$A:$A,"&gt;="&amp;$A124,monthly!$B:$B,"&lt;="&amp;$B124)&gt;0,"NA",AVERAGEIFS(monthly!D:D,monthly!$A:$A,"&gt;="&amp;$A124,monthly!$B:$B,"&lt;="&amp;$B124))</f>
        <v>0.56676666666666664</v>
      </c>
      <c r="M124">
        <f>IF(COUNTIFS(monthly!E:E,"",monthly!$A:$A,"&gt;="&amp;$A124,monthly!$B:$B,"&lt;="&amp;$B124)&gt;0,"NA",AVERAGEIFS(monthly!E:E,monthly!$A:$A,"&gt;="&amp;$A124,monthly!$B:$B,"&lt;="&amp;$B124))</f>
        <v>30.668389610415801</v>
      </c>
      <c r="N124" t="str">
        <f>IF(COUNTIFS(monthly!F:F,"",monthly!$A:$A,"&gt;="&amp;$A124,monthly!$B:$B,"&lt;="&amp;$B124)&gt;0,"NA",AVERAGEIFS(monthly!F:F,monthly!$A:$A,"&gt;="&amp;$A124,monthly!$B:$B,"&lt;="&amp;$B124))</f>
        <v>NA</v>
      </c>
      <c r="O124">
        <f>IF(COUNTIFS(monthly!G:G,"",monthly!$A:$A,"&gt;="&amp;$A124,monthly!$B:$B,"&lt;="&amp;$B124)&gt;0,"NA",AVERAGEIFS(monthly!G:G,monthly!$A:$A,"&gt;="&amp;$A124,monthly!$B:$B,"&lt;="&amp;$B124))</f>
        <v>28.8</v>
      </c>
      <c r="P124">
        <f>IF(COUNTIFS(monthly!H:H,"",monthly!$A:$A,"&gt;="&amp;$A124,monthly!$B:$B,"&lt;="&amp;$B124)&gt;0,"NA",AVERAGEIFS(monthly!H:H,monthly!$A:$A,"&gt;="&amp;$A124,monthly!$B:$B,"&lt;="&amp;$B124))</f>
        <v>26.133333333333336</v>
      </c>
      <c r="Q124">
        <f>IF(COUNTIFS(monthly!I:I,"",monthly!$A:$A,"&gt;="&amp;$A124,monthly!$B:$B,"&lt;="&amp;$B124)&gt;0,"NA",AVERAGEIFS(monthly!I:I,monthly!$A:$A,"&gt;="&amp;$A124,monthly!$B:$B,"&lt;="&amp;$B124))</f>
        <v>30.166666666666668</v>
      </c>
      <c r="R124">
        <f>IF(COUNTIFS(monthly!J:J,"",monthly!$A:$A,"&gt;="&amp;$A124,monthly!$B:$B,"&lt;="&amp;$B124)&gt;0,"NA",AVERAGEIFS(monthly!J:J,monthly!$A:$A,"&gt;="&amp;$A124,monthly!$B:$B,"&lt;="&amp;$B124))</f>
        <v>4.8666666666666663</v>
      </c>
      <c r="S124">
        <f>IF(COUNTIFS(monthly!K:K,"",monthly!$A:$A,"&gt;="&amp;$A124,monthly!$B:$B,"&lt;="&amp;$B124)&gt;0,"NA",AVERAGEIFS(monthly!K:K,monthly!$A:$A,"&gt;="&amp;$A124,monthly!$B:$B,"&lt;="&amp;$B124))</f>
        <v>6.1566666666666663</v>
      </c>
      <c r="T124">
        <f>IF(COUNTIFS(monthly!L:L,"",monthly!$A:$A,"&gt;="&amp;$A124,monthly!$B:$B,"&lt;="&amp;$B124)&gt;0,"NA",AVERAGEIFS(monthly!L:L,monthly!$A:$A,"&gt;="&amp;$A124,monthly!$B:$B,"&lt;="&amp;$B124))</f>
        <v>6.5194301075268797</v>
      </c>
      <c r="U124">
        <f>IF(COUNTIFS(monthly!M:M,"",monthly!$A:$A,"&gt;="&amp;$A124,monthly!$B:$B,"&lt;="&amp;$B124)&gt;0,"NA",AVERAGEIFS(monthly!M:M,monthly!$A:$A,"&gt;="&amp;$A124,monthly!$B:$B,"&lt;="&amp;$B124))</f>
        <v>-0.36276344086021312</v>
      </c>
      <c r="V124">
        <f>IF(COUNTIFS(monthly!N:N,"",monthly!$A:$A,"&gt;="&amp;$A124,monthly!$B:$B,"&lt;="&amp;$B124)&gt;0,"NA",AVERAGEIFS(monthly!N:N,monthly!$A:$A,"&gt;="&amp;$A124,monthly!$B:$B,"&lt;="&amp;$B124))</f>
        <v>6.1769116632160115</v>
      </c>
      <c r="W124">
        <f>IF(COUNTIFS(monthly!O:O,"",monthly!$A:$A,"&gt;="&amp;$A124,monthly!$B:$B,"&lt;="&amp;$B124)&gt;0,"NA",AVERAGEIFS(monthly!O:O,monthly!$A:$A,"&gt;="&amp;$A124,monthly!$B:$B,"&lt;="&amp;$B124))</f>
        <v>6.2163985507246364</v>
      </c>
      <c r="X124">
        <f>IF(COUNTIFS(monthly!P:P,"",monthly!$A:$A,"&gt;="&amp;$A124,monthly!$B:$B,"&lt;="&amp;$B124)&gt;0,"NA",AVERAGEIFS(monthly!P:P,monthly!$A:$A,"&gt;="&amp;$A124,monthly!$B:$B,"&lt;="&amp;$B124))</f>
        <v>-3.9486887508625536E-2</v>
      </c>
      <c r="Y124">
        <f>IF(COUNTIFS(monthly!Q:Q,"",monthly!$A:$A,"&gt;="&amp;$A124,monthly!$B:$B,"&lt;="&amp;$B124)&gt;0,"NA",AVERAGEIFS(monthly!Q:Q,monthly!$A:$A,"&gt;="&amp;$A124,monthly!$B:$B,"&lt;="&amp;$B124))</f>
        <v>6.1751621808143549</v>
      </c>
      <c r="Z124">
        <f>IF(COUNTIFS(monthly!R:R,"",monthly!$A:$A,"&gt;="&amp;$A124,monthly!$B:$B,"&lt;="&amp;$B124)&gt;0,"NA",AVERAGEIFS(monthly!R:R,monthly!$A:$A,"&gt;="&amp;$A124,monthly!$B:$B,"&lt;="&amp;$B124))</f>
        <v>5.8930289855072466</v>
      </c>
      <c r="AA124">
        <f>IF(COUNTIFS(monthly!S:S,"",monthly!$A:$A,"&gt;="&amp;$A124,monthly!$B:$B,"&lt;="&amp;$B124)&gt;0,"NA",AVERAGEIFS(monthly!S:S,monthly!$A:$A,"&gt;="&amp;$A124,monthly!$B:$B,"&lt;="&amp;$B124))</f>
        <v>0.28213319530710795</v>
      </c>
      <c r="AB124">
        <f>IF(COUNTIFS(monthly!T:T,"",monthly!$A:$A,"&gt;="&amp;$A124,monthly!$B:$B,"&lt;="&amp;$B124)&gt;0,"NA",AVERAGEIFS(monthly!T:T,monthly!$A:$A,"&gt;="&amp;$A124,monthly!$B:$B,"&lt;="&amp;$B124))</f>
        <v>19.223065217391305</v>
      </c>
      <c r="AC124">
        <f>IF(COUNTIFS(monthly!U:U,"",monthly!$A:$A,"&gt;="&amp;$A124,monthly!$B:$B,"&lt;="&amp;$B124)&gt;0,"NA",AVERAGEIFS(monthly!U:U,monthly!$A:$A,"&gt;="&amp;$A124,monthly!$B:$B,"&lt;="&amp;$B124))</f>
        <v>61.534194469135848</v>
      </c>
      <c r="AD124">
        <f>IF(COUNTIFS(monthly!V:V,"",monthly!$A:$A,"&gt;="&amp;$A124,monthly!$B:$B,"&lt;="&amp;$B124)&gt;0,"NA",AVERAGEIFS(monthly!V:V,monthly!$A:$A,"&gt;="&amp;$A124,monthly!$B:$B,"&lt;="&amp;$B124))</f>
        <v>59.585399721761185</v>
      </c>
      <c r="AE124">
        <f>IF(COUNTIFS(monthly!W:W,"",monthly!$A:$A,"&gt;="&amp;$A124,monthly!$B:$B,"&lt;="&amp;$B124)&gt;0,"NA",AVERAGEIFS(monthly!W:W,monthly!$A:$A,"&gt;="&amp;$A124,monthly!$B:$B,"&lt;="&amp;$B124))</f>
        <v>50.362092336018883</v>
      </c>
      <c r="AF124">
        <f>IF(COUNTIFS(monthly!X:X,"",monthly!$A:$A,"&gt;="&amp;$A124,monthly!$B:$B,"&lt;="&amp;$B124)&gt;0,"NA",AVERAGEIFS(monthly!X:X,monthly!$A:$A,"&gt;="&amp;$A124,monthly!$B:$B,"&lt;="&amp;$B124))</f>
        <v>56.984752655029297</v>
      </c>
      <c r="AG124">
        <f>IF(COUNTIFS(monthly!Y:Y,"",monthly!$A:$A,"&gt;="&amp;$A124,monthly!$B:$B,"&lt;="&amp;$B124)&gt;0,"NA",AVERAGEIFS(monthly!Y:Y,monthly!$A:$A,"&gt;="&amp;$A124,monthly!$B:$B,"&lt;="&amp;$B124))</f>
        <v>39.279047648111977</v>
      </c>
      <c r="AH124">
        <f>IF(COUNTIFS(monthly!Z:Z,"",monthly!$A:$A,"&gt;="&amp;$A124,monthly!$B:$B,"&lt;="&amp;$B124)&gt;0,"NA",AVERAGEIFS(monthly!Z:Z,monthly!$A:$A,"&gt;="&amp;$A124,monthly!$B:$B,"&lt;="&amp;$B124))</f>
        <v>5.2902656296888985E-2</v>
      </c>
    </row>
    <row r="125" spans="1:34" x14ac:dyDescent="0.2">
      <c r="A125" s="1">
        <v>36800</v>
      </c>
      <c r="B125" s="1">
        <v>36890</v>
      </c>
      <c r="C125">
        <f>IF(ISBLANK(VLOOKUP($A125,quarterly_data,MATCH(C$1,quarterly!$1:$1,FALSE),FALSE)),"NA",VLOOKUP($A125,quarterly_data,MATCH(C$1,quarterly!$1:$1,FALSE),FALSE))</f>
        <v>92.319697695584651</v>
      </c>
      <c r="D125">
        <f>IF(ISBLANK(VLOOKUP($A125,quarterly_data,MATCH(D$1,quarterly!$1:$1,FALSE),FALSE)),"NA",VLOOKUP($A125,quarterly_data,MATCH(D$1,quarterly!$1:$1,FALSE),FALSE))</f>
        <v>52.4</v>
      </c>
      <c r="E125">
        <f>IF(ISBLANK(VLOOKUP($A125,quarterly_data,MATCH(E$1,quarterly!$1:$1,FALSE),FALSE)),"NA",VLOOKUP($A125,quarterly_data,MATCH(E$1,quarterly!$1:$1,FALSE),FALSE))</f>
        <v>0.1394117</v>
      </c>
      <c r="F125">
        <f>IF(ISBLANK(VLOOKUP($A125,quarterly_data,MATCH(F$1,quarterly!$1:$1,FALSE),FALSE)),"NA",VLOOKUP($A125,quarterly_data,MATCH(F$1,quarterly!$1:$1,FALSE),FALSE))</f>
        <v>6.05645E-2</v>
      </c>
      <c r="G125">
        <f>IF(ISBLANK(VLOOKUP($A125,quarterly_data,MATCH(G$1,quarterly!$1:$1,FALSE),FALSE)),"NA",VLOOKUP($A125,quarterly_data,MATCH(G$1,quarterly!$1:$1,FALSE),FALSE))</f>
        <v>14229.764999999999</v>
      </c>
      <c r="H125">
        <f>IF(ISBLANK(VLOOKUP($A125,quarterly_data,MATCH(H$1,quarterly!$1:$1,FALSE),FALSE)),"NA",VLOOKUP($A125,quarterly_data,MATCH(H$1,quarterly!$1:$1,FALSE),FALSE))</f>
        <v>354859</v>
      </c>
      <c r="I125">
        <f>IF(ISBLANK(VLOOKUP($A125,quarterly_data,MATCH(I$1,quarterly!$1:$1,FALSE),FALSE)),"NA",VLOOKUP($A125,quarterly_data,MATCH(I$1,quarterly!$1:$1,FALSE),FALSE))</f>
        <v>0.6</v>
      </c>
      <c r="J125">
        <f>IF(ISBLANK(VLOOKUP($A125,quarterly_data,MATCH(J$1,quarterly!$1:$1,FALSE),FALSE)),"NA",VLOOKUP($A125,quarterly_data,MATCH(J$1,quarterly!$1:$1,FALSE),FALSE))</f>
        <v>50.76</v>
      </c>
      <c r="K125">
        <f>IF(COUNTIFS(monthly!C:C,"",monthly!$A:$A,"&gt;="&amp;$A125,monthly!$B:$B,"&lt;="&amp;$B125)&gt;0,"NA",AVERAGEIFS(monthly!C:C,monthly!$A:$A,"&gt;="&amp;$A125,monthly!$B:$B,"&lt;="&amp;$B125))</f>
        <v>48.7</v>
      </c>
      <c r="L125">
        <f>IF(COUNTIFS(monthly!D:D,"",monthly!$A:$A,"&gt;="&amp;$A125,monthly!$B:$B,"&lt;="&amp;$B125)&gt;0,"NA",AVERAGEIFS(monthly!D:D,monthly!$A:$A,"&gt;="&amp;$A125,monthly!$B:$B,"&lt;="&amp;$B125))</f>
        <v>0.51875000000000004</v>
      </c>
      <c r="M125">
        <f>IF(COUNTIFS(monthly!E:E,"",monthly!$A:$A,"&gt;="&amp;$A125,monthly!$B:$B,"&lt;="&amp;$B125)&gt;0,"NA",AVERAGEIFS(monthly!E:E,monthly!$A:$A,"&gt;="&amp;$A125,monthly!$B:$B,"&lt;="&amp;$B125))</f>
        <v>30.952073172012749</v>
      </c>
      <c r="N125" t="str">
        <f>IF(COUNTIFS(monthly!F:F,"",monthly!$A:$A,"&gt;="&amp;$A125,monthly!$B:$B,"&lt;="&amp;$B125)&gt;0,"NA",AVERAGEIFS(monthly!F:F,monthly!$A:$A,"&gt;="&amp;$A125,monthly!$B:$B,"&lt;="&amp;$B125))</f>
        <v>NA</v>
      </c>
      <c r="O125">
        <f>IF(COUNTIFS(monthly!G:G,"",monthly!$A:$A,"&gt;="&amp;$A125,monthly!$B:$B,"&lt;="&amp;$B125)&gt;0,"NA",AVERAGEIFS(monthly!G:G,monthly!$A:$A,"&gt;="&amp;$A125,monthly!$B:$B,"&lt;="&amp;$B125))</f>
        <v>28.8</v>
      </c>
      <c r="P125">
        <f>IF(COUNTIFS(monthly!H:H,"",monthly!$A:$A,"&gt;="&amp;$A125,monthly!$B:$B,"&lt;="&amp;$B125)&gt;0,"NA",AVERAGEIFS(monthly!H:H,monthly!$A:$A,"&gt;="&amp;$A125,monthly!$B:$B,"&lt;="&amp;$B125))</f>
        <v>27.2</v>
      </c>
      <c r="Q125">
        <f>IF(COUNTIFS(monthly!I:I,"",monthly!$A:$A,"&gt;="&amp;$A125,monthly!$B:$B,"&lt;="&amp;$B125)&gt;0,"NA",AVERAGEIFS(monthly!I:I,monthly!$A:$A,"&gt;="&amp;$A125,monthly!$B:$B,"&lt;="&amp;$B125))</f>
        <v>31.7</v>
      </c>
      <c r="R125">
        <f>IF(COUNTIFS(monthly!J:J,"",monthly!$A:$A,"&gt;="&amp;$A125,monthly!$B:$B,"&lt;="&amp;$B125)&gt;0,"NA",AVERAGEIFS(monthly!J:J,monthly!$A:$A,"&gt;="&amp;$A125,monthly!$B:$B,"&lt;="&amp;$B125))</f>
        <v>5.085</v>
      </c>
      <c r="S125">
        <f>IF(COUNTIFS(monthly!K:K,"",monthly!$A:$A,"&gt;="&amp;$A125,monthly!$B:$B,"&lt;="&amp;$B125)&gt;0,"NA",AVERAGEIFS(monthly!K:K,monthly!$A:$A,"&gt;="&amp;$A125,monthly!$B:$B,"&lt;="&amp;$B125))</f>
        <v>6.2249999999999996</v>
      </c>
      <c r="T125">
        <f>IF(COUNTIFS(monthly!L:L,"",monthly!$A:$A,"&gt;="&amp;$A125,monthly!$B:$B,"&lt;="&amp;$B125)&gt;0,"NA",AVERAGEIFS(monthly!L:L,monthly!$A:$A,"&gt;="&amp;$A125,monthly!$B:$B,"&lt;="&amp;$B125))</f>
        <v>6.5118440860215063</v>
      </c>
      <c r="U125">
        <f>IF(COUNTIFS(monthly!M:M,"",monthly!$A:$A,"&gt;="&amp;$A125,monthly!$B:$B,"&lt;="&amp;$B125)&gt;0,"NA",AVERAGEIFS(monthly!M:M,monthly!$A:$A,"&gt;="&amp;$A125,monthly!$B:$B,"&lt;="&amp;$B125))</f>
        <v>-0.28684408602150668</v>
      </c>
      <c r="V125">
        <f>IF(COUNTIFS(monthly!N:N,"",monthly!$A:$A,"&gt;="&amp;$A125,monthly!$B:$B,"&lt;="&amp;$B125)&gt;0,"NA",AVERAGEIFS(monthly!N:N,monthly!$A:$A,"&gt;="&amp;$A125,monthly!$B:$B,"&lt;="&amp;$B125))</f>
        <v>5.9702272727272732</v>
      </c>
      <c r="W125">
        <f>IF(COUNTIFS(monthly!O:O,"",monthly!$A:$A,"&gt;="&amp;$A125,monthly!$B:$B,"&lt;="&amp;$B125)&gt;0,"NA",AVERAGEIFS(monthly!O:O,monthly!$A:$A,"&gt;="&amp;$A125,monthly!$B:$B,"&lt;="&amp;$B125))</f>
        <v>5.8938095238095247</v>
      </c>
      <c r="X125">
        <f>IF(COUNTIFS(monthly!P:P,"",monthly!$A:$A,"&gt;="&amp;$A125,monthly!$B:$B,"&lt;="&amp;$B125)&gt;0,"NA",AVERAGEIFS(monthly!P:P,monthly!$A:$A,"&gt;="&amp;$A125,monthly!$B:$B,"&lt;="&amp;$B125))</f>
        <v>7.641774891774844E-2</v>
      </c>
      <c r="Y125">
        <f>IF(COUNTIFS(monthly!Q:Q,"",monthly!$A:$A,"&gt;="&amp;$A125,monthly!$B:$B,"&lt;="&amp;$B125)&gt;0,"NA",AVERAGEIFS(monthly!Q:Q,monthly!$A:$A,"&gt;="&amp;$A125,monthly!$B:$B,"&lt;="&amp;$B125))</f>
        <v>6.0487500000000001</v>
      </c>
      <c r="Z125">
        <f>IF(COUNTIFS(monthly!R:R,"",monthly!$A:$A,"&gt;="&amp;$A125,monthly!$B:$B,"&lt;="&amp;$B125)&gt;0,"NA",AVERAGEIFS(monthly!R:R,monthly!$A:$A,"&gt;="&amp;$A125,monthly!$B:$B,"&lt;="&amp;$B125))</f>
        <v>5.7278571428571432</v>
      </c>
      <c r="AA125">
        <f>IF(COUNTIFS(monthly!S:S,"",monthly!$A:$A,"&gt;="&amp;$A125,monthly!$B:$B,"&lt;="&amp;$B125)&gt;0,"NA",AVERAGEIFS(monthly!S:S,monthly!$A:$A,"&gt;="&amp;$A125,monthly!$B:$B,"&lt;="&amp;$B125))</f>
        <v>0.32089285714285687</v>
      </c>
      <c r="AB125">
        <f>IF(COUNTIFS(monthly!T:T,"",monthly!$A:$A,"&gt;="&amp;$A125,monthly!$B:$B,"&lt;="&amp;$B125)&gt;0,"NA",AVERAGEIFS(monthly!T:T,monthly!$A:$A,"&gt;="&amp;$A125,monthly!$B:$B,"&lt;="&amp;$B125))</f>
        <v>25.791428571428568</v>
      </c>
      <c r="AC125">
        <f>IF(COUNTIFS(monthly!U:U,"",monthly!$A:$A,"&gt;="&amp;$A125,monthly!$B:$B,"&lt;="&amp;$B125)&gt;0,"NA",AVERAGEIFS(monthly!U:U,monthly!$A:$A,"&gt;="&amp;$A125,monthly!$B:$B,"&lt;="&amp;$B125))</f>
        <v>88.701214433696776</v>
      </c>
      <c r="AD125">
        <f>IF(COUNTIFS(monthly!V:V,"",monthly!$A:$A,"&gt;="&amp;$A125,monthly!$B:$B,"&lt;="&amp;$B125)&gt;0,"NA",AVERAGEIFS(monthly!V:V,monthly!$A:$A,"&gt;="&amp;$A125,monthly!$B:$B,"&lt;="&amp;$B125))</f>
        <v>76.175973478472059</v>
      </c>
      <c r="AE125">
        <f>IF(COUNTIFS(monthly!W:W,"",monthly!$A:$A,"&gt;="&amp;$A125,monthly!$B:$B,"&lt;="&amp;$B125)&gt;0,"NA",AVERAGEIFS(monthly!W:W,monthly!$A:$A,"&gt;="&amp;$A125,monthly!$B:$B,"&lt;="&amp;$B125))</f>
        <v>60.758544921875</v>
      </c>
      <c r="AF125">
        <f>IF(COUNTIFS(monthly!X:X,"",monthly!$A:$A,"&gt;="&amp;$A125,monthly!$B:$B,"&lt;="&amp;$B125)&gt;0,"NA",AVERAGEIFS(monthly!X:X,monthly!$A:$A,"&gt;="&amp;$A125,monthly!$B:$B,"&lt;="&amp;$B125))</f>
        <v>63.372646331787109</v>
      </c>
      <c r="AG125">
        <f>IF(COUNTIFS(monthly!Y:Y,"",monthly!$A:$A,"&gt;="&amp;$A125,monthly!$B:$B,"&lt;="&amp;$B125)&gt;0,"NA",AVERAGEIFS(monthly!Y:Y,monthly!$A:$A,"&gt;="&amp;$A125,monthly!$B:$B,"&lt;="&amp;$B125))</f>
        <v>62.408477783203125</v>
      </c>
      <c r="AH125">
        <f>IF(COUNTIFS(monthly!Z:Z,"",monthly!$A:$A,"&gt;="&amp;$A125,monthly!$B:$B,"&lt;="&amp;$B125)&gt;0,"NA",AVERAGEIFS(monthly!Z:Z,monthly!$A:$A,"&gt;="&amp;$A125,monthly!$B:$B,"&lt;="&amp;$B125))</f>
        <v>2.6262602768838406E-2</v>
      </c>
    </row>
    <row r="126" spans="1:34" x14ac:dyDescent="0.2">
      <c r="A126" s="1">
        <v>36892</v>
      </c>
      <c r="B126" s="1">
        <v>36980</v>
      </c>
      <c r="C126">
        <f>IF(ISBLANK(VLOOKUP($A126,quarterly_data,MATCH(C$1,quarterly!$1:$1,FALSE),FALSE)),"NA",VLOOKUP($A126,quarterly_data,MATCH(C$1,quarterly!$1:$1,FALSE),FALSE))</f>
        <v>93.699592497544444</v>
      </c>
      <c r="D126">
        <f>IF(ISBLANK(VLOOKUP($A126,quarterly_data,MATCH(D$1,quarterly!$1:$1,FALSE),FALSE)),"NA",VLOOKUP($A126,quarterly_data,MATCH(D$1,quarterly!$1:$1,FALSE),FALSE))</f>
        <v>52.4</v>
      </c>
      <c r="E126">
        <f>IF(ISBLANK(VLOOKUP($A126,quarterly_data,MATCH(E$1,quarterly!$1:$1,FALSE),FALSE)),"NA",VLOOKUP($A126,quarterly_data,MATCH(E$1,quarterly!$1:$1,FALSE),FALSE))</f>
        <v>0</v>
      </c>
      <c r="F126">
        <f>IF(ISBLANK(VLOOKUP($A126,quarterly_data,MATCH(F$1,quarterly!$1:$1,FALSE),FALSE)),"NA",VLOOKUP($A126,quarterly_data,MATCH(F$1,quarterly!$1:$1,FALSE),FALSE))</f>
        <v>2.1841900000000001E-2</v>
      </c>
      <c r="G126">
        <f>IF(ISBLANK(VLOOKUP($A126,quarterly_data,MATCH(G$1,quarterly!$1:$1,FALSE),FALSE)),"NA",VLOOKUP($A126,quarterly_data,MATCH(G$1,quarterly!$1:$1,FALSE),FALSE))</f>
        <v>14183.12</v>
      </c>
      <c r="H126">
        <f>IF(ISBLANK(VLOOKUP($A126,quarterly_data,MATCH(H$1,quarterly!$1:$1,FALSE),FALSE)),"NA",VLOOKUP($A126,quarterly_data,MATCH(H$1,quarterly!$1:$1,FALSE),FALSE))</f>
        <v>358221</v>
      </c>
      <c r="I126">
        <f>IF(ISBLANK(VLOOKUP($A126,quarterly_data,MATCH(I$1,quarterly!$1:$1,FALSE),FALSE)),"NA",VLOOKUP($A126,quarterly_data,MATCH(I$1,quarterly!$1:$1,FALSE),FALSE))</f>
        <v>1</v>
      </c>
      <c r="J126">
        <f>IF(ISBLANK(VLOOKUP($A126,quarterly_data,MATCH(J$1,quarterly!$1:$1,FALSE),FALSE)),"NA",VLOOKUP($A126,quarterly_data,MATCH(J$1,quarterly!$1:$1,FALSE),FALSE))</f>
        <v>51.3</v>
      </c>
      <c r="K126">
        <f>IF(COUNTIFS(monthly!C:C,"",monthly!$A:$A,"&gt;="&amp;$A126,monthly!$B:$B,"&lt;="&amp;$B126)&gt;0,"NA",AVERAGEIFS(monthly!C:C,monthly!$A:$A,"&gt;="&amp;$A126,monthly!$B:$B,"&lt;="&amp;$B126))</f>
        <v>50.2</v>
      </c>
      <c r="L126">
        <f>IF(COUNTIFS(monthly!D:D,"",monthly!$A:$A,"&gt;="&amp;$A126,monthly!$B:$B,"&lt;="&amp;$B126)&gt;0,"NA",AVERAGEIFS(monthly!D:D,monthly!$A:$A,"&gt;="&amp;$A126,monthly!$B:$B,"&lt;="&amp;$B126))</f>
        <v>0.53580000000000005</v>
      </c>
      <c r="M126">
        <f>IF(COUNTIFS(monthly!E:E,"",monthly!$A:$A,"&gt;="&amp;$A126,monthly!$B:$B,"&lt;="&amp;$B126)&gt;0,"NA",AVERAGEIFS(monthly!E:E,monthly!$A:$A,"&gt;="&amp;$A126,monthly!$B:$B,"&lt;="&amp;$B126))</f>
        <v>30.742937231970352</v>
      </c>
      <c r="N126" t="str">
        <f>IF(COUNTIFS(monthly!F:F,"",monthly!$A:$A,"&gt;="&amp;$A126,monthly!$B:$B,"&lt;="&amp;$B126)&gt;0,"NA",AVERAGEIFS(monthly!F:F,monthly!$A:$A,"&gt;="&amp;$A126,monthly!$B:$B,"&lt;="&amp;$B126))</f>
        <v>NA</v>
      </c>
      <c r="O126">
        <f>IF(COUNTIFS(monthly!G:G,"",monthly!$A:$A,"&gt;="&amp;$A126,monthly!$B:$B,"&lt;="&amp;$B126)&gt;0,"NA",AVERAGEIFS(monthly!G:G,monthly!$A:$A,"&gt;="&amp;$A126,monthly!$B:$B,"&lt;="&amp;$B126))</f>
        <v>30</v>
      </c>
      <c r="P126">
        <f>IF(COUNTIFS(monthly!H:H,"",monthly!$A:$A,"&gt;="&amp;$A126,monthly!$B:$B,"&lt;="&amp;$B126)&gt;0,"NA",AVERAGEIFS(monthly!H:H,monthly!$A:$A,"&gt;="&amp;$A126,monthly!$B:$B,"&lt;="&amp;$B126))</f>
        <v>32.1</v>
      </c>
      <c r="Q126">
        <f>IF(COUNTIFS(monthly!I:I,"",monthly!$A:$A,"&gt;="&amp;$A126,monthly!$B:$B,"&lt;="&amp;$B126)&gt;0,"NA",AVERAGEIFS(monthly!I:I,monthly!$A:$A,"&gt;="&amp;$A126,monthly!$B:$B,"&lt;="&amp;$B126))</f>
        <v>26.5</v>
      </c>
      <c r="R126">
        <f>IF(COUNTIFS(monthly!J:J,"",monthly!$A:$A,"&gt;="&amp;$A126,monthly!$B:$B,"&lt;="&amp;$B126)&gt;0,"NA",AVERAGEIFS(monthly!J:J,monthly!$A:$A,"&gt;="&amp;$A126,monthly!$B:$B,"&lt;="&amp;$B126))</f>
        <v>4.84</v>
      </c>
      <c r="S126">
        <f>IF(COUNTIFS(monthly!K:K,"",monthly!$A:$A,"&gt;="&amp;$A126,monthly!$B:$B,"&lt;="&amp;$B126)&gt;0,"NA",AVERAGEIFS(monthly!K:K,monthly!$A:$A,"&gt;="&amp;$A126,monthly!$B:$B,"&lt;="&amp;$B126))</f>
        <v>6.04</v>
      </c>
      <c r="T126">
        <f>IF(COUNTIFS(monthly!L:L,"",monthly!$A:$A,"&gt;="&amp;$A126,monthly!$B:$B,"&lt;="&amp;$B126)&gt;0,"NA",AVERAGEIFS(monthly!L:L,monthly!$A:$A,"&gt;="&amp;$A126,monthly!$B:$B,"&lt;="&amp;$B126))</f>
        <v>5.7350460829493084</v>
      </c>
      <c r="U126">
        <f>IF(COUNTIFS(monthly!M:M,"",monthly!$A:$A,"&gt;="&amp;$A126,monthly!$B:$B,"&lt;="&amp;$B126)&gt;0,"NA",AVERAGEIFS(monthly!M:M,monthly!$A:$A,"&gt;="&amp;$A126,monthly!$B:$B,"&lt;="&amp;$B126))</f>
        <v>0.30495391705069119</v>
      </c>
      <c r="V126">
        <f>IF(COUNTIFS(monthly!N:N,"",monthly!$A:$A,"&gt;="&amp;$A126,monthly!$B:$B,"&lt;="&amp;$B126)&gt;0,"NA",AVERAGEIFS(monthly!N:N,monthly!$A:$A,"&gt;="&amp;$A126,monthly!$B:$B,"&lt;="&amp;$B126))</f>
        <v>4.9339702380952382</v>
      </c>
      <c r="W126">
        <f>IF(COUNTIFS(monthly!O:O,"",monthly!$A:$A,"&gt;="&amp;$A126,monthly!$B:$B,"&lt;="&amp;$B126)&gt;0,"NA",AVERAGEIFS(monthly!O:O,monthly!$A:$A,"&gt;="&amp;$A126,monthly!$B:$B,"&lt;="&amp;$B126))</f>
        <v>4.7084210526315786</v>
      </c>
      <c r="X126">
        <f>IF(COUNTIFS(monthly!P:P,"",monthly!$A:$A,"&gt;="&amp;$A126,monthly!$B:$B,"&lt;="&amp;$B126)&gt;0,"NA",AVERAGEIFS(monthly!P:P,monthly!$A:$A,"&gt;="&amp;$A126,monthly!$B:$B,"&lt;="&amp;$B126))</f>
        <v>0.2255491854636591</v>
      </c>
      <c r="Y126">
        <f>IF(COUNTIFS(monthly!Q:Q,"",monthly!$A:$A,"&gt;="&amp;$A126,monthly!$B:$B,"&lt;="&amp;$B126)&gt;0,"NA",AVERAGEIFS(monthly!Q:Q,monthly!$A:$A,"&gt;="&amp;$A126,monthly!$B:$B,"&lt;="&amp;$B126))</f>
        <v>5.3633630952380953</v>
      </c>
      <c r="Z126">
        <f>IF(COUNTIFS(monthly!R:R,"",monthly!$A:$A,"&gt;="&amp;$A126,monthly!$B:$B,"&lt;="&amp;$B126)&gt;0,"NA",AVERAGEIFS(monthly!R:R,monthly!$A:$A,"&gt;="&amp;$A126,monthly!$B:$B,"&lt;="&amp;$B126))</f>
        <v>5.1299498746867176</v>
      </c>
      <c r="AA126">
        <f>IF(COUNTIFS(monthly!S:S,"",monthly!$A:$A,"&gt;="&amp;$A126,monthly!$B:$B,"&lt;="&amp;$B126)&gt;0,"NA",AVERAGEIFS(monthly!S:S,monthly!$A:$A,"&gt;="&amp;$A126,monthly!$B:$B,"&lt;="&amp;$B126))</f>
        <v>0.23341322055137814</v>
      </c>
      <c r="AB126">
        <f>IF(COUNTIFS(monthly!T:T,"",monthly!$A:$A,"&gt;="&amp;$A126,monthly!$B:$B,"&lt;="&amp;$B126)&gt;0,"NA",AVERAGEIFS(monthly!T:T,monthly!$A:$A,"&gt;="&amp;$A126,monthly!$B:$B,"&lt;="&amp;$B126))</f>
        <v>24.165075187969926</v>
      </c>
      <c r="AC126">
        <f>IF(COUNTIFS(monthly!U:U,"",monthly!$A:$A,"&gt;="&amp;$A126,monthly!$B:$B,"&lt;="&amp;$B126)&gt;0,"NA",AVERAGEIFS(monthly!U:U,monthly!$A:$A,"&gt;="&amp;$A126,monthly!$B:$B,"&lt;="&amp;$B126))</f>
        <v>99.898576514170713</v>
      </c>
      <c r="AD126">
        <f>IF(COUNTIFS(monthly!V:V,"",monthly!$A:$A,"&gt;="&amp;$A126,monthly!$B:$B,"&lt;="&amp;$B126)&gt;0,"NA",AVERAGEIFS(monthly!V:V,monthly!$A:$A,"&gt;="&amp;$A126,monthly!$B:$B,"&lt;="&amp;$B126))</f>
        <v>113.07037816780843</v>
      </c>
      <c r="AE126">
        <f>IF(COUNTIFS(monthly!W:W,"",monthly!$A:$A,"&gt;="&amp;$A126,monthly!$B:$B,"&lt;="&amp;$B126)&gt;0,"NA",AVERAGEIFS(monthly!W:W,monthly!$A:$A,"&gt;="&amp;$A126,monthly!$B:$B,"&lt;="&amp;$B126))</f>
        <v>50.993633270263672</v>
      </c>
      <c r="AF126">
        <f>IF(COUNTIFS(monthly!X:X,"",monthly!$A:$A,"&gt;="&amp;$A126,monthly!$B:$B,"&lt;="&amp;$B126)&gt;0,"NA",AVERAGEIFS(monthly!X:X,monthly!$A:$A,"&gt;="&amp;$A126,monthly!$B:$B,"&lt;="&amp;$B126))</f>
        <v>58.696125030517578</v>
      </c>
      <c r="AG126">
        <f>IF(COUNTIFS(monthly!Y:Y,"",monthly!$A:$A,"&gt;="&amp;$A126,monthly!$B:$B,"&lt;="&amp;$B126)&gt;0,"NA",AVERAGEIFS(monthly!Y:Y,monthly!$A:$A,"&gt;="&amp;$A126,monthly!$B:$B,"&lt;="&amp;$B126))</f>
        <v>41.88499641418457</v>
      </c>
      <c r="AH126">
        <f>IF(COUNTIFS(monthly!Z:Z,"",monthly!$A:$A,"&gt;="&amp;$A126,monthly!$B:$B,"&lt;="&amp;$B126)&gt;0,"NA",AVERAGEIFS(monthly!Z:Z,monthly!$A:$A,"&gt;="&amp;$A126,monthly!$B:$B,"&lt;="&amp;$B126))</f>
        <v>1.6449056100100279E-2</v>
      </c>
    </row>
    <row r="127" spans="1:34" x14ac:dyDescent="0.2">
      <c r="A127" s="1">
        <v>36982</v>
      </c>
      <c r="B127" s="1">
        <v>37072</v>
      </c>
      <c r="C127">
        <f>IF(ISBLANK(VLOOKUP($A127,quarterly_data,MATCH(C$1,quarterly!$1:$1,FALSE),FALSE)),"NA",VLOOKUP($A127,quarterly_data,MATCH(C$1,quarterly!$1:$1,FALSE),FALSE))</f>
        <v>93.222922617160307</v>
      </c>
      <c r="D127">
        <f>IF(ISBLANK(VLOOKUP($A127,quarterly_data,MATCH(D$1,quarterly!$1:$1,FALSE),FALSE)),"NA",VLOOKUP($A127,quarterly_data,MATCH(D$1,quarterly!$1:$1,FALSE),FALSE))</f>
        <v>52.1</v>
      </c>
      <c r="E127">
        <f>IF(ISBLANK(VLOOKUP($A127,quarterly_data,MATCH(E$1,quarterly!$1:$1,FALSE),FALSE)),"NA",VLOOKUP($A127,quarterly_data,MATCH(E$1,quarterly!$1:$1,FALSE),FALSE))</f>
        <v>0.1349892</v>
      </c>
      <c r="F127">
        <f>IF(ISBLANK(VLOOKUP($A127,quarterly_data,MATCH(F$1,quarterly!$1:$1,FALSE),FALSE)),"NA",VLOOKUP($A127,quarterly_data,MATCH(F$1,quarterly!$1:$1,FALSE),FALSE))</f>
        <v>3.1644899999999997E-2</v>
      </c>
      <c r="G127">
        <f>IF(ISBLANK(VLOOKUP($A127,quarterly_data,MATCH(G$1,quarterly!$1:$1,FALSE),FALSE)),"NA",VLOOKUP($A127,quarterly_data,MATCH(G$1,quarterly!$1:$1,FALSE),FALSE))</f>
        <v>14271.694</v>
      </c>
      <c r="H127">
        <f>IF(ISBLANK(VLOOKUP($A127,quarterly_data,MATCH(H$1,quarterly!$1:$1,FALSE),FALSE)),"NA",VLOOKUP($A127,quarterly_data,MATCH(H$1,quarterly!$1:$1,FALSE),FALSE))</f>
        <v>361444</v>
      </c>
      <c r="I127">
        <f>IF(ISBLANK(VLOOKUP($A127,quarterly_data,MATCH(I$1,quarterly!$1:$1,FALSE),FALSE)),"NA",VLOOKUP($A127,quarterly_data,MATCH(I$1,quarterly!$1:$1,FALSE),FALSE))</f>
        <v>0.8</v>
      </c>
      <c r="J127">
        <f>IF(ISBLANK(VLOOKUP($A127,quarterly_data,MATCH(J$1,quarterly!$1:$1,FALSE),FALSE)),"NA",VLOOKUP($A127,quarterly_data,MATCH(J$1,quarterly!$1:$1,FALSE),FALSE))</f>
        <v>51.73</v>
      </c>
      <c r="K127">
        <f>IF(COUNTIFS(monthly!C:C,"",monthly!$A:$A,"&gt;="&amp;$A127,monthly!$B:$B,"&lt;="&amp;$B127)&gt;0,"NA",AVERAGEIFS(monthly!C:C,monthly!$A:$A,"&gt;="&amp;$A127,monthly!$B:$B,"&lt;="&amp;$B127))</f>
        <v>49.4</v>
      </c>
      <c r="L127">
        <f>IF(COUNTIFS(monthly!D:D,"",monthly!$A:$A,"&gt;="&amp;$A127,monthly!$B:$B,"&lt;="&amp;$B127)&gt;0,"NA",AVERAGEIFS(monthly!D:D,monthly!$A:$A,"&gt;="&amp;$A127,monthly!$B:$B,"&lt;="&amp;$B127))</f>
        <v>0.5087666666666667</v>
      </c>
      <c r="M127">
        <f>IF(COUNTIFS(monthly!E:E,"",monthly!$A:$A,"&gt;="&amp;$A127,monthly!$B:$B,"&lt;="&amp;$B127)&gt;0,"NA",AVERAGEIFS(monthly!E:E,monthly!$A:$A,"&gt;="&amp;$A127,monthly!$B:$B,"&lt;="&amp;$B127))</f>
        <v>31.999011982457301</v>
      </c>
      <c r="N127" t="str">
        <f>IF(COUNTIFS(monthly!F:F,"",monthly!$A:$A,"&gt;="&amp;$A127,monthly!$B:$B,"&lt;="&amp;$B127)&gt;0,"NA",AVERAGEIFS(monthly!F:F,monthly!$A:$A,"&gt;="&amp;$A127,monthly!$B:$B,"&lt;="&amp;$B127))</f>
        <v>NA</v>
      </c>
      <c r="O127">
        <f>IF(COUNTIFS(monthly!G:G,"",monthly!$A:$A,"&gt;="&amp;$A127,monthly!$B:$B,"&lt;="&amp;$B127)&gt;0,"NA",AVERAGEIFS(monthly!G:G,monthly!$A:$A,"&gt;="&amp;$A127,monthly!$B:$B,"&lt;="&amp;$B127))</f>
        <v>30</v>
      </c>
      <c r="P127">
        <f>IF(COUNTIFS(monthly!H:H,"",monthly!$A:$A,"&gt;="&amp;$A127,monthly!$B:$B,"&lt;="&amp;$B127)&gt;0,"NA",AVERAGEIFS(monthly!H:H,monthly!$A:$A,"&gt;="&amp;$A127,monthly!$B:$B,"&lt;="&amp;$B127))</f>
        <v>33.733333333333327</v>
      </c>
      <c r="Q127">
        <f>IF(COUNTIFS(monthly!I:I,"",monthly!$A:$A,"&gt;="&amp;$A127,monthly!$B:$B,"&lt;="&amp;$B127)&gt;0,"NA",AVERAGEIFS(monthly!I:I,monthly!$A:$A,"&gt;="&amp;$A127,monthly!$B:$B,"&lt;="&amp;$B127))</f>
        <v>27.266666666666666</v>
      </c>
      <c r="R127">
        <f>IF(COUNTIFS(monthly!J:J,"",monthly!$A:$A,"&gt;="&amp;$A127,monthly!$B:$B,"&lt;="&amp;$B127)&gt;0,"NA",AVERAGEIFS(monthly!J:J,monthly!$A:$A,"&gt;="&amp;$A127,monthly!$B:$B,"&lt;="&amp;$B127))</f>
        <v>4.6933333333333342</v>
      </c>
      <c r="S127">
        <f>IF(COUNTIFS(monthly!K:K,"",monthly!$A:$A,"&gt;="&amp;$A127,monthly!$B:$B,"&lt;="&amp;$B127)&gt;0,"NA",AVERAGEIFS(monthly!K:K,monthly!$A:$A,"&gt;="&amp;$A127,monthly!$B:$B,"&lt;="&amp;$B127))</f>
        <v>5.0133333333333328</v>
      </c>
      <c r="T127">
        <f>IF(COUNTIFS(monthly!L:L,"",monthly!$A:$A,"&gt;="&amp;$A127,monthly!$B:$B,"&lt;="&amp;$B127)&gt;0,"NA",AVERAGEIFS(monthly!L:L,monthly!$A:$A,"&gt;="&amp;$A127,monthly!$B:$B,"&lt;="&amp;$B127))</f>
        <v>4.3279749103942651</v>
      </c>
      <c r="U127">
        <f>IF(COUNTIFS(monthly!M:M,"",monthly!$A:$A,"&gt;="&amp;$A127,monthly!$B:$B,"&lt;="&amp;$B127)&gt;0,"NA",AVERAGEIFS(monthly!M:M,monthly!$A:$A,"&gt;="&amp;$A127,monthly!$B:$B,"&lt;="&amp;$B127))</f>
        <v>0.68535842293906823</v>
      </c>
      <c r="V127">
        <f>IF(COUNTIFS(monthly!N:N,"",monthly!$A:$A,"&gt;="&amp;$A127,monthly!$B:$B,"&lt;="&amp;$B127)&gt;0,"NA",AVERAGEIFS(monthly!N:N,monthly!$A:$A,"&gt;="&amp;$A127,monthly!$B:$B,"&lt;="&amp;$B127))</f>
        <v>4.9899194847020931</v>
      </c>
      <c r="W127">
        <f>IF(COUNTIFS(monthly!O:O,"",monthly!$A:$A,"&gt;="&amp;$A127,monthly!$B:$B,"&lt;="&amp;$B127)&gt;0,"NA",AVERAGEIFS(monthly!O:O,monthly!$A:$A,"&gt;="&amp;$A127,monthly!$B:$B,"&lt;="&amp;$B127))</f>
        <v>4.1913333333333336</v>
      </c>
      <c r="X127">
        <f>IF(COUNTIFS(monthly!P:P,"",monthly!$A:$A,"&gt;="&amp;$A127,monthly!$B:$B,"&lt;="&amp;$B127)&gt;0,"NA",AVERAGEIFS(monthly!P:P,monthly!$A:$A,"&gt;="&amp;$A127,monthly!$B:$B,"&lt;="&amp;$B127))</f>
        <v>0.79858615136875921</v>
      </c>
      <c r="Y127">
        <f>IF(COUNTIFS(monthly!Q:Q,"",monthly!$A:$A,"&gt;="&amp;$A127,monthly!$B:$B,"&lt;="&amp;$B127)&gt;0,"NA",AVERAGEIFS(monthly!Q:Q,monthly!$A:$A,"&gt;="&amp;$A127,monthly!$B:$B,"&lt;="&amp;$B127))</f>
        <v>5.8058168276972628</v>
      </c>
      <c r="Z127">
        <f>IF(COUNTIFS(monthly!R:R,"",monthly!$A:$A,"&gt;="&amp;$A127,monthly!$B:$B,"&lt;="&amp;$B127)&gt;0,"NA",AVERAGEIFS(monthly!R:R,monthly!$A:$A,"&gt;="&amp;$A127,monthly!$B:$B,"&lt;="&amp;$B127))</f>
        <v>5.2722164502164501</v>
      </c>
      <c r="AA127">
        <f>IF(COUNTIFS(monthly!S:S,"",monthly!$A:$A,"&gt;="&amp;$A127,monthly!$B:$B,"&lt;="&amp;$B127)&gt;0,"NA",AVERAGEIFS(monthly!S:S,monthly!$A:$A,"&gt;="&amp;$A127,monthly!$B:$B,"&lt;="&amp;$B127))</f>
        <v>0.53360037748081302</v>
      </c>
      <c r="AB127">
        <f>IF(COUNTIFS(monthly!T:T,"",monthly!$A:$A,"&gt;="&amp;$A127,monthly!$B:$B,"&lt;="&amp;$B127)&gt;0,"NA",AVERAGEIFS(monthly!T:T,monthly!$A:$A,"&gt;="&amp;$A127,monthly!$B:$B,"&lt;="&amp;$B127))</f>
        <v>24.006189033189031</v>
      </c>
      <c r="AC127">
        <f>IF(COUNTIFS(monthly!U:U,"",monthly!$A:$A,"&gt;="&amp;$A127,monthly!$B:$B,"&lt;="&amp;$B127)&gt;0,"NA",AVERAGEIFS(monthly!U:U,monthly!$A:$A,"&gt;="&amp;$A127,monthly!$B:$B,"&lt;="&amp;$B127))</f>
        <v>88.346916282551732</v>
      </c>
      <c r="AD127">
        <f>IF(COUNTIFS(monthly!V:V,"",monthly!$A:$A,"&gt;="&amp;$A127,monthly!$B:$B,"&lt;="&amp;$B127)&gt;0,"NA",AVERAGEIFS(monthly!V:V,monthly!$A:$A,"&gt;="&amp;$A127,monthly!$B:$B,"&lt;="&amp;$B127))</f>
        <v>77.676467986798258</v>
      </c>
      <c r="AE127">
        <f>IF(COUNTIFS(monthly!W:W,"",monthly!$A:$A,"&gt;="&amp;$A127,monthly!$B:$B,"&lt;="&amp;$B127)&gt;0,"NA",AVERAGEIFS(monthly!W:W,monthly!$A:$A,"&gt;="&amp;$A127,monthly!$B:$B,"&lt;="&amp;$B127))</f>
        <v>61.00331242879232</v>
      </c>
      <c r="AF127">
        <f>IF(COUNTIFS(monthly!X:X,"",monthly!$A:$A,"&gt;="&amp;$A127,monthly!$B:$B,"&lt;="&amp;$B127)&gt;0,"NA",AVERAGEIFS(monthly!X:X,monthly!$A:$A,"&gt;="&amp;$A127,monthly!$B:$B,"&lt;="&amp;$B127))</f>
        <v>64.477255503336593</v>
      </c>
      <c r="AG127">
        <f>IF(COUNTIFS(monthly!Y:Y,"",monthly!$A:$A,"&gt;="&amp;$A127,monthly!$B:$B,"&lt;="&amp;$B127)&gt;0,"NA",AVERAGEIFS(monthly!Y:Y,monthly!$A:$A,"&gt;="&amp;$A127,monthly!$B:$B,"&lt;="&amp;$B127))</f>
        <v>56.083621978759766</v>
      </c>
      <c r="AH127">
        <f>IF(COUNTIFS(monthly!Z:Z,"",monthly!$A:$A,"&gt;="&amp;$A127,monthly!$B:$B,"&lt;="&amp;$B127)&gt;0,"NA",AVERAGEIFS(monthly!Z:Z,monthly!$A:$A,"&gt;="&amp;$A127,monthly!$B:$B,"&lt;="&amp;$B127))</f>
        <v>3.2276034976045288E-2</v>
      </c>
    </row>
    <row r="128" spans="1:34" x14ac:dyDescent="0.2">
      <c r="A128" s="1">
        <v>37073</v>
      </c>
      <c r="B128" s="1">
        <v>37164</v>
      </c>
      <c r="C128">
        <f>IF(ISBLANK(VLOOKUP($A128,quarterly_data,MATCH(C$1,quarterly!$1:$1,FALSE),FALSE)),"NA",VLOOKUP($A128,quarterly_data,MATCH(C$1,quarterly!$1:$1,FALSE),FALSE))</f>
        <v>92.98100104915477</v>
      </c>
      <c r="D128">
        <f>IF(ISBLANK(VLOOKUP($A128,quarterly_data,MATCH(D$1,quarterly!$1:$1,FALSE),FALSE)),"NA",VLOOKUP($A128,quarterly_data,MATCH(D$1,quarterly!$1:$1,FALSE),FALSE))</f>
        <v>52.8</v>
      </c>
      <c r="E128">
        <f>IF(ISBLANK(VLOOKUP($A128,quarterly_data,MATCH(E$1,quarterly!$1:$1,FALSE),FALSE)),"NA",VLOOKUP($A128,quarterly_data,MATCH(E$1,quarterly!$1:$1,FALSE),FALSE))</f>
        <v>0.14285709999999999</v>
      </c>
      <c r="F128">
        <f>IF(ISBLANK(VLOOKUP($A128,quarterly_data,MATCH(F$1,quarterly!$1:$1,FALSE),FALSE)),"NA",VLOOKUP($A128,quarterly_data,MATCH(F$1,quarterly!$1:$1,FALSE),FALSE))</f>
        <v>4.2070400000000001E-2</v>
      </c>
      <c r="G128">
        <f>IF(ISBLANK(VLOOKUP($A128,quarterly_data,MATCH(G$1,quarterly!$1:$1,FALSE),FALSE)),"NA",VLOOKUP($A128,quarterly_data,MATCH(G$1,quarterly!$1:$1,FALSE),FALSE))</f>
        <v>14214.516</v>
      </c>
      <c r="H128">
        <f>IF(ISBLANK(VLOOKUP($A128,quarterly_data,MATCH(H$1,quarterly!$1:$1,FALSE),FALSE)),"NA",VLOOKUP($A128,quarterly_data,MATCH(H$1,quarterly!$1:$1,FALSE),FALSE))</f>
        <v>365512</v>
      </c>
      <c r="I128">
        <f>IF(ISBLANK(VLOOKUP($A128,quarterly_data,MATCH(I$1,quarterly!$1:$1,FALSE),FALSE)),"NA",VLOOKUP($A128,quarterly_data,MATCH(I$1,quarterly!$1:$1,FALSE),FALSE))</f>
        <v>0.7</v>
      </c>
      <c r="J128">
        <f>IF(ISBLANK(VLOOKUP($A128,quarterly_data,MATCH(J$1,quarterly!$1:$1,FALSE),FALSE)),"NA",VLOOKUP($A128,quarterly_data,MATCH(J$1,quarterly!$1:$1,FALSE),FALSE))</f>
        <v>51.87</v>
      </c>
      <c r="K128">
        <f>IF(COUNTIFS(monthly!C:C,"",monthly!$A:$A,"&gt;="&amp;$A128,monthly!$B:$B,"&lt;="&amp;$B128)&gt;0,"NA",AVERAGEIFS(monthly!C:C,monthly!$A:$A,"&gt;="&amp;$A128,monthly!$B:$B,"&lt;="&amp;$B128))</f>
        <v>48.733333333333327</v>
      </c>
      <c r="L128">
        <f>IF(COUNTIFS(monthly!D:D,"",monthly!$A:$A,"&gt;="&amp;$A128,monthly!$B:$B,"&lt;="&amp;$B128)&gt;0,"NA",AVERAGEIFS(monthly!D:D,monthly!$A:$A,"&gt;="&amp;$A128,monthly!$B:$B,"&lt;="&amp;$B128))</f>
        <v>0.51019999999999999</v>
      </c>
      <c r="M128">
        <f>IF(COUNTIFS(monthly!E:E,"",monthly!$A:$A,"&gt;="&amp;$A128,monthly!$B:$B,"&lt;="&amp;$B128)&gt;0,"NA",AVERAGEIFS(monthly!E:E,monthly!$A:$A,"&gt;="&amp;$A128,monthly!$B:$B,"&lt;="&amp;$B128))</f>
        <v>31.705683467303032</v>
      </c>
      <c r="N128" t="str">
        <f>IF(COUNTIFS(monthly!F:F,"",monthly!$A:$A,"&gt;="&amp;$A128,monthly!$B:$B,"&lt;="&amp;$B128)&gt;0,"NA",AVERAGEIFS(monthly!F:F,monthly!$A:$A,"&gt;="&amp;$A128,monthly!$B:$B,"&lt;="&amp;$B128))</f>
        <v>NA</v>
      </c>
      <c r="O128">
        <f>IF(COUNTIFS(monthly!G:G,"",monthly!$A:$A,"&gt;="&amp;$A128,monthly!$B:$B,"&lt;="&amp;$B128)&gt;0,"NA",AVERAGEIFS(monthly!G:G,monthly!$A:$A,"&gt;="&amp;$A128,monthly!$B:$B,"&lt;="&amp;$B128))</f>
        <v>30</v>
      </c>
      <c r="P128">
        <f>IF(COUNTIFS(monthly!H:H,"",monthly!$A:$A,"&gt;="&amp;$A128,monthly!$B:$B,"&lt;="&amp;$B128)&gt;0,"NA",AVERAGEIFS(monthly!H:H,monthly!$A:$A,"&gt;="&amp;$A128,monthly!$B:$B,"&lt;="&amp;$B128))</f>
        <v>33.533333333333331</v>
      </c>
      <c r="Q128">
        <f>IF(COUNTIFS(monthly!I:I,"",monthly!$A:$A,"&gt;="&amp;$A128,monthly!$B:$B,"&lt;="&amp;$B128)&gt;0,"NA",AVERAGEIFS(monthly!I:I,monthly!$A:$A,"&gt;="&amp;$A128,monthly!$B:$B,"&lt;="&amp;$B128))</f>
        <v>25.233333333333334</v>
      </c>
      <c r="R128">
        <f>IF(COUNTIFS(monthly!J:J,"",monthly!$A:$A,"&gt;="&amp;$A128,monthly!$B:$B,"&lt;="&amp;$B128)&gt;0,"NA",AVERAGEIFS(monthly!J:J,monthly!$A:$A,"&gt;="&amp;$A128,monthly!$B:$B,"&lt;="&amp;$B128))</f>
        <v>4.5799999999999992</v>
      </c>
      <c r="S128">
        <f>IF(COUNTIFS(monthly!K:K,"",monthly!$A:$A,"&gt;="&amp;$A128,monthly!$B:$B,"&lt;="&amp;$B128)&gt;0,"NA",AVERAGEIFS(monthly!K:K,monthly!$A:$A,"&gt;="&amp;$A128,monthly!$B:$B,"&lt;="&amp;$B128))</f>
        <v>4.9133333333333331</v>
      </c>
      <c r="T128">
        <f>IF(COUNTIFS(monthly!L:L,"",monthly!$A:$A,"&gt;="&amp;$A128,monthly!$B:$B,"&lt;="&amp;$B128)&gt;0,"NA",AVERAGEIFS(monthly!L:L,monthly!$A:$A,"&gt;="&amp;$A128,monthly!$B:$B,"&lt;="&amp;$B128))</f>
        <v>3.4968709677419358</v>
      </c>
      <c r="U128">
        <f>IF(COUNTIFS(monthly!M:M,"",monthly!$A:$A,"&gt;="&amp;$A128,monthly!$B:$B,"&lt;="&amp;$B128)&gt;0,"NA",AVERAGEIFS(monthly!M:M,monthly!$A:$A,"&gt;="&amp;$A128,monthly!$B:$B,"&lt;="&amp;$B128))</f>
        <v>1.4164623655913975</v>
      </c>
      <c r="V128">
        <f>IF(COUNTIFS(monthly!N:N,"",monthly!$A:$A,"&gt;="&amp;$A128,monthly!$B:$B,"&lt;="&amp;$B128)&gt;0,"NA",AVERAGEIFS(monthly!N:N,monthly!$A:$A,"&gt;="&amp;$A128,monthly!$B:$B,"&lt;="&amp;$B128))</f>
        <v>4.9972618577075103</v>
      </c>
      <c r="W128">
        <f>IF(COUNTIFS(monthly!O:O,"",monthly!$A:$A,"&gt;="&amp;$A128,monthly!$B:$B,"&lt;="&amp;$B128)&gt;0,"NA",AVERAGEIFS(monthly!O:O,monthly!$A:$A,"&gt;="&amp;$A128,monthly!$B:$B,"&lt;="&amp;$B128))</f>
        <v>3.6382620874436729</v>
      </c>
      <c r="X128">
        <f>IF(COUNTIFS(monthly!P:P,"",monthly!$A:$A,"&gt;="&amp;$A128,monthly!$B:$B,"&lt;="&amp;$B128)&gt;0,"NA",AVERAGEIFS(monthly!P:P,monthly!$A:$A,"&gt;="&amp;$A128,monthly!$B:$B,"&lt;="&amp;$B128))</f>
        <v>1.3589997702638368</v>
      </c>
      <c r="Y128">
        <f>IF(COUNTIFS(monthly!Q:Q,"",monthly!$A:$A,"&gt;="&amp;$A128,monthly!$B:$B,"&lt;="&amp;$B128)&gt;0,"NA",AVERAGEIFS(monthly!Q:Q,monthly!$A:$A,"&gt;="&amp;$A128,monthly!$B:$B,"&lt;="&amp;$B128))</f>
        <v>5.8087117918313567</v>
      </c>
      <c r="Z128">
        <f>IF(COUNTIFS(monthly!R:R,"",monthly!$A:$A,"&gt;="&amp;$A128,monthly!$B:$B,"&lt;="&amp;$B128)&gt;0,"NA",AVERAGEIFS(monthly!R:R,monthly!$A:$A,"&gt;="&amp;$A128,monthly!$B:$B,"&lt;="&amp;$B128))</f>
        <v>4.979753176632971</v>
      </c>
      <c r="AA128">
        <f>IF(COUNTIFS(monthly!S:S,"",monthly!$A:$A,"&gt;="&amp;$A128,monthly!$B:$B,"&lt;="&amp;$B128)&gt;0,"NA",AVERAGEIFS(monthly!S:S,monthly!$A:$A,"&gt;="&amp;$A128,monthly!$B:$B,"&lt;="&amp;$B128))</f>
        <v>0.82895861519838565</v>
      </c>
      <c r="AB128">
        <f>IF(COUNTIFS(monthly!T:T,"",monthly!$A:$A,"&gt;="&amp;$A128,monthly!$B:$B,"&lt;="&amp;$B128)&gt;0,"NA",AVERAGEIFS(monthly!T:T,monthly!$A:$A,"&gt;="&amp;$A128,monthly!$B:$B,"&lt;="&amp;$B128))</f>
        <v>26.414420979986193</v>
      </c>
      <c r="AC128">
        <f>IF(COUNTIFS(monthly!U:U,"",monthly!$A:$A,"&gt;="&amp;$A128,monthly!$B:$B,"&lt;="&amp;$B128)&gt;0,"NA",AVERAGEIFS(monthly!U:U,monthly!$A:$A,"&gt;="&amp;$A128,monthly!$B:$B,"&lt;="&amp;$B128))</f>
        <v>119.93969519265856</v>
      </c>
      <c r="AD128">
        <f>IF(COUNTIFS(monthly!V:V,"",monthly!$A:$A,"&gt;="&amp;$A128,monthly!$B:$B,"&lt;="&amp;$B128)&gt;0,"NA",AVERAGEIFS(monthly!V:V,monthly!$A:$A,"&gt;="&amp;$A128,monthly!$B:$B,"&lt;="&amp;$B128))</f>
        <v>120.11243973023977</v>
      </c>
      <c r="AE128">
        <f>IF(COUNTIFS(monthly!W:W,"",monthly!$A:$A,"&gt;="&amp;$A128,monthly!$B:$B,"&lt;="&amp;$B128)&gt;0,"NA",AVERAGEIFS(monthly!W:W,monthly!$A:$A,"&gt;="&amp;$A128,monthly!$B:$B,"&lt;="&amp;$B128))</f>
        <v>207.94285456339517</v>
      </c>
      <c r="AF128">
        <f>IF(COUNTIFS(monthly!X:X,"",monthly!$A:$A,"&gt;="&amp;$A128,monthly!$B:$B,"&lt;="&amp;$B128)&gt;0,"NA",AVERAGEIFS(monthly!X:X,monthly!$A:$A,"&gt;="&amp;$A128,monthly!$B:$B,"&lt;="&amp;$B128))</f>
        <v>126.96482467651367</v>
      </c>
      <c r="AG128">
        <f>IF(COUNTIFS(monthly!Y:Y,"",monthly!$A:$A,"&gt;="&amp;$A128,monthly!$B:$B,"&lt;="&amp;$B128)&gt;0,"NA",AVERAGEIFS(monthly!Y:Y,monthly!$A:$A,"&gt;="&amp;$A128,monthly!$B:$B,"&lt;="&amp;$B128))</f>
        <v>322.89615503946942</v>
      </c>
      <c r="AH128">
        <f>IF(COUNTIFS(monthly!Z:Z,"",monthly!$A:$A,"&gt;="&amp;$A128,monthly!$B:$B,"&lt;="&amp;$B128)&gt;0,"NA",AVERAGEIFS(monthly!Z:Z,monthly!$A:$A,"&gt;="&amp;$A128,monthly!$B:$B,"&lt;="&amp;$B128))</f>
        <v>0.15406255175669989</v>
      </c>
    </row>
    <row r="129" spans="1:34" x14ac:dyDescent="0.2">
      <c r="A129" s="1">
        <v>37165</v>
      </c>
      <c r="B129" s="1">
        <v>37255</v>
      </c>
      <c r="C129">
        <f>IF(ISBLANK(VLOOKUP($A129,quarterly_data,MATCH(C$1,quarterly!$1:$1,FALSE),FALSE)),"NA",VLOOKUP($A129,quarterly_data,MATCH(C$1,quarterly!$1:$1,FALSE),FALSE))</f>
        <v>93.699041679179302</v>
      </c>
      <c r="D129">
        <f>IF(ISBLANK(VLOOKUP($A129,quarterly_data,MATCH(D$1,quarterly!$1:$1,FALSE),FALSE)),"NA",VLOOKUP($A129,quarterly_data,MATCH(D$1,quarterly!$1:$1,FALSE),FALSE))</f>
        <v>52.7</v>
      </c>
      <c r="E129">
        <f>IF(ISBLANK(VLOOKUP($A129,quarterly_data,MATCH(E$1,quarterly!$1:$1,FALSE),FALSE)),"NA",VLOOKUP($A129,quarterly_data,MATCH(E$1,quarterly!$1:$1,FALSE),FALSE))</f>
        <v>7.0841600000000005E-2</v>
      </c>
      <c r="F129">
        <f>IF(ISBLANK(VLOOKUP($A129,quarterly_data,MATCH(F$1,quarterly!$1:$1,FALSE),FALSE)),"NA",VLOOKUP($A129,quarterly_data,MATCH(F$1,quarterly!$1:$1,FALSE),FALSE))</f>
        <v>3.2953700000000002E-2</v>
      </c>
      <c r="G129">
        <f>IF(ISBLANK(VLOOKUP($A129,quarterly_data,MATCH(G$1,quarterly!$1:$1,FALSE),FALSE)),"NA",VLOOKUP($A129,quarterly_data,MATCH(G$1,quarterly!$1:$1,FALSE),FALSE))</f>
        <v>14253.574000000001</v>
      </c>
      <c r="H129">
        <f>IF(ISBLANK(VLOOKUP($A129,quarterly_data,MATCH(H$1,quarterly!$1:$1,FALSE),FALSE)),"NA",VLOOKUP($A129,quarterly_data,MATCH(H$1,quarterly!$1:$1,FALSE),FALSE))</f>
        <v>369855</v>
      </c>
      <c r="I129">
        <f>IF(ISBLANK(VLOOKUP($A129,quarterly_data,MATCH(I$1,quarterly!$1:$1,FALSE),FALSE)),"NA",VLOOKUP($A129,quarterly_data,MATCH(I$1,quarterly!$1:$1,FALSE),FALSE))</f>
        <v>0.8</v>
      </c>
      <c r="J129">
        <f>IF(ISBLANK(VLOOKUP($A129,quarterly_data,MATCH(J$1,quarterly!$1:$1,FALSE),FALSE)),"NA",VLOOKUP($A129,quarterly_data,MATCH(J$1,quarterly!$1:$1,FALSE),FALSE))</f>
        <v>52.35</v>
      </c>
      <c r="K129">
        <f>IF(COUNTIFS(monthly!C:C,"",monthly!$A:$A,"&gt;="&amp;$A129,monthly!$B:$B,"&lt;="&amp;$B129)&gt;0,"NA",AVERAGEIFS(monthly!C:C,monthly!$A:$A,"&gt;="&amp;$A129,monthly!$B:$B,"&lt;="&amp;$B129))</f>
        <v>49.55</v>
      </c>
      <c r="L129">
        <f>IF(COUNTIFS(monthly!D:D,"",monthly!$A:$A,"&gt;="&amp;$A129,monthly!$B:$B,"&lt;="&amp;$B129)&gt;0,"NA",AVERAGEIFS(monthly!D:D,monthly!$A:$A,"&gt;="&amp;$A129,monthly!$B:$B,"&lt;="&amp;$B129))</f>
        <v>0.51265000000000005</v>
      </c>
      <c r="M129">
        <f>IF(COUNTIFS(monthly!E:E,"",monthly!$A:$A,"&gt;="&amp;$A129,monthly!$B:$B,"&lt;="&amp;$B129)&gt;0,"NA",AVERAGEIFS(monthly!E:E,monthly!$A:$A,"&gt;="&amp;$A129,monthly!$B:$B,"&lt;="&amp;$B129))</f>
        <v>30.411218585631602</v>
      </c>
      <c r="N129" t="str">
        <f>IF(COUNTIFS(monthly!F:F,"",monthly!$A:$A,"&gt;="&amp;$A129,monthly!$B:$B,"&lt;="&amp;$B129)&gt;0,"NA",AVERAGEIFS(monthly!F:F,monthly!$A:$A,"&gt;="&amp;$A129,monthly!$B:$B,"&lt;="&amp;$B129))</f>
        <v>NA</v>
      </c>
      <c r="O129">
        <f>IF(COUNTIFS(monthly!G:G,"",monthly!$A:$A,"&gt;="&amp;$A129,monthly!$B:$B,"&lt;="&amp;$B129)&gt;0,"NA",AVERAGEIFS(monthly!G:G,monthly!$A:$A,"&gt;="&amp;$A129,monthly!$B:$B,"&lt;="&amp;$B129))</f>
        <v>30</v>
      </c>
      <c r="P129">
        <f>IF(COUNTIFS(monthly!H:H,"",monthly!$A:$A,"&gt;="&amp;$A129,monthly!$B:$B,"&lt;="&amp;$B129)&gt;0,"NA",AVERAGEIFS(monthly!H:H,monthly!$A:$A,"&gt;="&amp;$A129,monthly!$B:$B,"&lt;="&amp;$B129))</f>
        <v>30.9</v>
      </c>
      <c r="Q129">
        <f>IF(COUNTIFS(monthly!I:I,"",monthly!$A:$A,"&gt;="&amp;$A129,monthly!$B:$B,"&lt;="&amp;$B129)&gt;0,"NA",AVERAGEIFS(monthly!I:I,monthly!$A:$A,"&gt;="&amp;$A129,monthly!$B:$B,"&lt;="&amp;$B129))</f>
        <v>19.7</v>
      </c>
      <c r="R129">
        <f>IF(COUNTIFS(monthly!J:J,"",monthly!$A:$A,"&gt;="&amp;$A129,monthly!$B:$B,"&lt;="&amp;$B129)&gt;0,"NA",AVERAGEIFS(monthly!J:J,monthly!$A:$A,"&gt;="&amp;$A129,monthly!$B:$B,"&lt;="&amp;$B129))</f>
        <v>4.4849999999999994</v>
      </c>
      <c r="S129">
        <f>IF(COUNTIFS(monthly!K:K,"",monthly!$A:$A,"&gt;="&amp;$A129,monthly!$B:$B,"&lt;="&amp;$B129)&gt;0,"NA",AVERAGEIFS(monthly!K:K,monthly!$A:$A,"&gt;="&amp;$A129,monthly!$B:$B,"&lt;="&amp;$B129))</f>
        <v>4.5</v>
      </c>
      <c r="T129">
        <f>IF(COUNTIFS(monthly!L:L,"",monthly!$A:$A,"&gt;="&amp;$A129,monthly!$B:$B,"&lt;="&amp;$B129)&gt;0,"NA",AVERAGEIFS(monthly!L:L,monthly!$A:$A,"&gt;="&amp;$A129,monthly!$B:$B,"&lt;="&amp;$B129))</f>
        <v>2.2860806451612907</v>
      </c>
      <c r="U129">
        <f>IF(COUNTIFS(monthly!M:M,"",monthly!$A:$A,"&gt;="&amp;$A129,monthly!$B:$B,"&lt;="&amp;$B129)&gt;0,"NA",AVERAGEIFS(monthly!M:M,monthly!$A:$A,"&gt;="&amp;$A129,monthly!$B:$B,"&lt;="&amp;$B129))</f>
        <v>2.2139193548387093</v>
      </c>
      <c r="V129">
        <f>IF(COUNTIFS(monthly!N:N,"",monthly!$A:$A,"&gt;="&amp;$A129,monthly!$B:$B,"&lt;="&amp;$B129)&gt;0,"NA",AVERAGEIFS(monthly!N:N,monthly!$A:$A,"&gt;="&amp;$A129,monthly!$B:$B,"&lt;="&amp;$B129))</f>
        <v>4.2743972332015812</v>
      </c>
      <c r="W129">
        <f>IF(COUNTIFS(monthly!O:O,"",monthly!$A:$A,"&gt;="&amp;$A129,monthly!$B:$B,"&lt;="&amp;$B129)&gt;0,"NA",AVERAGEIFS(monthly!O:O,monthly!$A:$A,"&gt;="&amp;$A129,monthly!$B:$B,"&lt;="&amp;$B129))</f>
        <v>2.7542045454545452</v>
      </c>
      <c r="X129">
        <f>IF(COUNTIFS(monthly!P:P,"",monthly!$A:$A,"&gt;="&amp;$A129,monthly!$B:$B,"&lt;="&amp;$B129)&gt;0,"NA",AVERAGEIFS(monthly!P:P,monthly!$A:$A,"&gt;="&amp;$A129,monthly!$B:$B,"&lt;="&amp;$B129))</f>
        <v>1.5201926877470358</v>
      </c>
      <c r="Y129">
        <f>IF(COUNTIFS(monthly!Q:Q,"",monthly!$A:$A,"&gt;="&amp;$A129,monthly!$B:$B,"&lt;="&amp;$B129)&gt;0,"NA",AVERAGEIFS(monthly!Q:Q,monthly!$A:$A,"&gt;="&amp;$A129,monthly!$B:$B,"&lt;="&amp;$B129))</f>
        <v>5.4326679841897239</v>
      </c>
      <c r="Z129">
        <f>IF(COUNTIFS(monthly!R:R,"",monthly!$A:$A,"&gt;="&amp;$A129,monthly!$B:$B,"&lt;="&amp;$B129)&gt;0,"NA",AVERAGEIFS(monthly!R:R,monthly!$A:$A,"&gt;="&amp;$A129,monthly!$B:$B,"&lt;="&amp;$B129))</f>
        <v>4.6091590909090909</v>
      </c>
      <c r="AA129">
        <f>IF(COUNTIFS(monthly!S:S,"",monthly!$A:$A,"&gt;="&amp;$A129,monthly!$B:$B,"&lt;="&amp;$B129)&gt;0,"NA",AVERAGEIFS(monthly!S:S,monthly!$A:$A,"&gt;="&amp;$A129,monthly!$B:$B,"&lt;="&amp;$B129))</f>
        <v>0.82350889328063248</v>
      </c>
      <c r="AB129">
        <f>IF(COUNTIFS(monthly!T:T,"",monthly!$A:$A,"&gt;="&amp;$A129,monthly!$B:$B,"&lt;="&amp;$B129)&gt;0,"NA",AVERAGEIFS(monthly!T:T,monthly!$A:$A,"&gt;="&amp;$A129,monthly!$B:$B,"&lt;="&amp;$B129))</f>
        <v>29.676128364389232</v>
      </c>
      <c r="AC129">
        <f>IF(COUNTIFS(monthly!U:U,"",monthly!$A:$A,"&gt;="&amp;$A129,monthly!$B:$B,"&lt;="&amp;$B129)&gt;0,"NA",AVERAGEIFS(monthly!U:U,monthly!$A:$A,"&gt;="&amp;$A129,monthly!$B:$B,"&lt;="&amp;$B129))</f>
        <v>148.07589226322671</v>
      </c>
      <c r="AD129">
        <f>IF(COUNTIFS(monthly!V:V,"",monthly!$A:$A,"&gt;="&amp;$A129,monthly!$B:$B,"&lt;="&amp;$B129)&gt;0,"NA",AVERAGEIFS(monthly!V:V,monthly!$A:$A,"&gt;="&amp;$A129,monthly!$B:$B,"&lt;="&amp;$B129))</f>
        <v>208.36468231751567</v>
      </c>
      <c r="AE129">
        <f>IF(COUNTIFS(monthly!W:W,"",monthly!$A:$A,"&gt;="&amp;$A129,monthly!$B:$B,"&lt;="&amp;$B129)&gt;0,"NA",AVERAGEIFS(monthly!W:W,monthly!$A:$A,"&gt;="&amp;$A129,monthly!$B:$B,"&lt;="&amp;$B129))</f>
        <v>409.65780639648438</v>
      </c>
      <c r="AF129">
        <f>IF(COUNTIFS(monthly!X:X,"",monthly!$A:$A,"&gt;="&amp;$A129,monthly!$B:$B,"&lt;="&amp;$B129)&gt;0,"NA",AVERAGEIFS(monthly!X:X,monthly!$A:$A,"&gt;="&amp;$A129,monthly!$B:$B,"&lt;="&amp;$B129))</f>
        <v>205.57131958007812</v>
      </c>
      <c r="AG129">
        <f>IF(COUNTIFS(monthly!Y:Y,"",monthly!$A:$A,"&gt;="&amp;$A129,monthly!$B:$B,"&lt;="&amp;$B129)&gt;0,"NA",AVERAGEIFS(monthly!Y:Y,monthly!$A:$A,"&gt;="&amp;$A129,monthly!$B:$B,"&lt;="&amp;$B129))</f>
        <v>681.91053771972656</v>
      </c>
      <c r="AH129">
        <f>IF(COUNTIFS(monthly!Z:Z,"",monthly!$A:$A,"&gt;="&amp;$A129,monthly!$B:$B,"&lt;="&amp;$B129)&gt;0,"NA",AVERAGEIFS(monthly!Z:Z,monthly!$A:$A,"&gt;="&amp;$A129,monthly!$B:$B,"&lt;="&amp;$B129))</f>
        <v>0.29293903708457947</v>
      </c>
    </row>
    <row r="130" spans="1:34" x14ac:dyDescent="0.2">
      <c r="A130" s="1">
        <v>37257</v>
      </c>
      <c r="B130" s="1">
        <v>37345</v>
      </c>
      <c r="C130">
        <f>IF(ISBLANK(VLOOKUP($A130,quarterly_data,MATCH(C$1,quarterly!$1:$1,FALSE),FALSE)),"NA",VLOOKUP($A130,quarterly_data,MATCH(C$1,quarterly!$1:$1,FALSE),FALSE))</f>
        <v>96.9556378361588</v>
      </c>
      <c r="D130">
        <f>IF(ISBLANK(VLOOKUP($A130,quarterly_data,MATCH(D$1,quarterly!$1:$1,FALSE),FALSE)),"NA",VLOOKUP($A130,quarterly_data,MATCH(D$1,quarterly!$1:$1,FALSE),FALSE))</f>
        <v>53.8</v>
      </c>
      <c r="E130">
        <f>IF(ISBLANK(VLOOKUP($A130,quarterly_data,MATCH(E$1,quarterly!$1:$1,FALSE),FALSE)),"NA",VLOOKUP($A130,quarterly_data,MATCH(E$1,quarterly!$1:$1,FALSE),FALSE))</f>
        <v>0.29364259999999998</v>
      </c>
      <c r="F130">
        <f>IF(ISBLANK(VLOOKUP($A130,quarterly_data,MATCH(F$1,quarterly!$1:$1,FALSE),FALSE)),"NA",VLOOKUP($A130,quarterly_data,MATCH(F$1,quarterly!$1:$1,FALSE),FALSE))</f>
        <v>7.0574600000000001E-2</v>
      </c>
      <c r="G130">
        <f>IF(ISBLANK(VLOOKUP($A130,quarterly_data,MATCH(G$1,quarterly!$1:$1,FALSE),FALSE)),"NA",VLOOKUP($A130,quarterly_data,MATCH(G$1,quarterly!$1:$1,FALSE),FALSE))</f>
        <v>14372.785</v>
      </c>
      <c r="H130">
        <f>IF(ISBLANK(VLOOKUP($A130,quarterly_data,MATCH(H$1,quarterly!$1:$1,FALSE),FALSE)),"NA",VLOOKUP($A130,quarterly_data,MATCH(H$1,quarterly!$1:$1,FALSE),FALSE))</f>
        <v>372745</v>
      </c>
      <c r="I130">
        <f>IF(ISBLANK(VLOOKUP($A130,quarterly_data,MATCH(I$1,quarterly!$1:$1,FALSE),FALSE)),"NA",VLOOKUP($A130,quarterly_data,MATCH(I$1,quarterly!$1:$1,FALSE),FALSE))</f>
        <v>0.8</v>
      </c>
      <c r="J130">
        <f>IF(ISBLANK(VLOOKUP($A130,quarterly_data,MATCH(J$1,quarterly!$1:$1,FALSE),FALSE)),"NA",VLOOKUP($A130,quarterly_data,MATCH(J$1,quarterly!$1:$1,FALSE),FALSE))</f>
        <v>52.82</v>
      </c>
      <c r="K130">
        <f>IF(COUNTIFS(monthly!C:C,"",monthly!$A:$A,"&gt;="&amp;$A130,monthly!$B:$B,"&lt;="&amp;$B130)&gt;0,"NA",AVERAGEIFS(monthly!C:C,monthly!$A:$A,"&gt;="&amp;$A130,monthly!$B:$B,"&lt;="&amp;$B130))</f>
        <v>50.650000000000006</v>
      </c>
      <c r="L130">
        <f>IF(COUNTIFS(monthly!D:D,"",monthly!$A:$A,"&gt;="&amp;$A130,monthly!$B:$B,"&lt;="&amp;$B130)&gt;0,"NA",AVERAGEIFS(monthly!D:D,monthly!$A:$A,"&gt;="&amp;$A130,monthly!$B:$B,"&lt;="&amp;$B130))</f>
        <v>0.5121</v>
      </c>
      <c r="M130">
        <f>IF(COUNTIFS(monthly!E:E,"",monthly!$A:$A,"&gt;="&amp;$A130,monthly!$B:$B,"&lt;="&amp;$B130)&gt;0,"NA",AVERAGEIFS(monthly!E:E,monthly!$A:$A,"&gt;="&amp;$A130,monthly!$B:$B,"&lt;="&amp;$B130))</f>
        <v>31.25932440972845</v>
      </c>
      <c r="N130" t="str">
        <f>IF(COUNTIFS(monthly!F:F,"",monthly!$A:$A,"&gt;="&amp;$A130,monthly!$B:$B,"&lt;="&amp;$B130)&gt;0,"NA",AVERAGEIFS(monthly!F:F,monthly!$A:$A,"&gt;="&amp;$A130,monthly!$B:$B,"&lt;="&amp;$B130))</f>
        <v>NA</v>
      </c>
      <c r="O130">
        <f>IF(COUNTIFS(monthly!G:G,"",monthly!$A:$A,"&gt;="&amp;$A130,monthly!$B:$B,"&lt;="&amp;$B130)&gt;0,"NA",AVERAGEIFS(monthly!G:G,monthly!$A:$A,"&gt;="&amp;$A130,monthly!$B:$B,"&lt;="&amp;$B130))</f>
        <v>29.3</v>
      </c>
      <c r="P130">
        <f>IF(COUNTIFS(monthly!H:H,"",monthly!$A:$A,"&gt;="&amp;$A130,monthly!$B:$B,"&lt;="&amp;$B130)&gt;0,"NA",AVERAGEIFS(monthly!H:H,monthly!$A:$A,"&gt;="&amp;$A130,monthly!$B:$B,"&lt;="&amp;$B130))</f>
        <v>27.75</v>
      </c>
      <c r="Q130">
        <f>IF(COUNTIFS(monthly!I:I,"",monthly!$A:$A,"&gt;="&amp;$A130,monthly!$B:$B,"&lt;="&amp;$B130)&gt;0,"NA",AVERAGEIFS(monthly!I:I,monthly!$A:$A,"&gt;="&amp;$A130,monthly!$B:$B,"&lt;="&amp;$B130))</f>
        <v>19.899999999999999</v>
      </c>
      <c r="R130">
        <f>IF(COUNTIFS(monthly!J:J,"",monthly!$A:$A,"&gt;="&amp;$A130,monthly!$B:$B,"&lt;="&amp;$B130)&gt;0,"NA",AVERAGEIFS(monthly!J:J,monthly!$A:$A,"&gt;="&amp;$A130,monthly!$B:$B,"&lt;="&amp;$B130))</f>
        <v>4.165</v>
      </c>
      <c r="S130">
        <f>IF(COUNTIFS(monthly!K:K,"",monthly!$A:$A,"&gt;="&amp;$A130,monthly!$B:$B,"&lt;="&amp;$B130)&gt;0,"NA",AVERAGEIFS(monthly!K:K,monthly!$A:$A,"&gt;="&amp;$A130,monthly!$B:$B,"&lt;="&amp;$B130))</f>
        <v>4.24</v>
      </c>
      <c r="T130">
        <f>IF(COUNTIFS(monthly!L:L,"",monthly!$A:$A,"&gt;="&amp;$A130,monthly!$B:$B,"&lt;="&amp;$B130)&gt;0,"NA",AVERAGEIFS(monthly!L:L,monthly!$A:$A,"&gt;="&amp;$A130,monthly!$B:$B,"&lt;="&amp;$B130))</f>
        <v>1.7346601382488482</v>
      </c>
      <c r="U130">
        <f>IF(COUNTIFS(monthly!M:M,"",monthly!$A:$A,"&gt;="&amp;$A130,monthly!$B:$B,"&lt;="&amp;$B130)&gt;0,"NA",AVERAGEIFS(monthly!M:M,monthly!$A:$A,"&gt;="&amp;$A130,monthly!$B:$B,"&lt;="&amp;$B130))</f>
        <v>2.5053398617511524</v>
      </c>
      <c r="V130">
        <f>IF(COUNTIFS(monthly!N:N,"",monthly!$A:$A,"&gt;="&amp;$A130,monthly!$B:$B,"&lt;="&amp;$B130)&gt;0,"NA",AVERAGEIFS(monthly!N:N,monthly!$A:$A,"&gt;="&amp;$A130,monthly!$B:$B,"&lt;="&amp;$B130))</f>
        <v>4.8663749999999997</v>
      </c>
      <c r="W130">
        <f>IF(COUNTIFS(monthly!O:O,"",monthly!$A:$A,"&gt;="&amp;$A130,monthly!$B:$B,"&lt;="&amp;$B130)&gt;0,"NA",AVERAGEIFS(monthly!O:O,monthly!$A:$A,"&gt;="&amp;$A130,monthly!$B:$B,"&lt;="&amp;$B130))</f>
        <v>3.0216791979949873</v>
      </c>
      <c r="X130">
        <f>IF(COUNTIFS(monthly!P:P,"",monthly!$A:$A,"&gt;="&amp;$A130,monthly!$B:$B,"&lt;="&amp;$B130)&gt;0,"NA",AVERAGEIFS(monthly!P:P,monthly!$A:$A,"&gt;="&amp;$A130,monthly!$B:$B,"&lt;="&amp;$B130))</f>
        <v>1.8446958020050128</v>
      </c>
      <c r="Y130">
        <f>IF(COUNTIFS(monthly!Q:Q,"",monthly!$A:$A,"&gt;="&amp;$A130,monthly!$B:$B,"&lt;="&amp;$B130)&gt;0,"NA",AVERAGEIFS(monthly!Q:Q,monthly!$A:$A,"&gt;="&amp;$A130,monthly!$B:$B,"&lt;="&amp;$B130))</f>
        <v>5.9020416666666673</v>
      </c>
      <c r="Z130">
        <f>IF(COUNTIFS(monthly!R:R,"",monthly!$A:$A,"&gt;="&amp;$A130,monthly!$B:$B,"&lt;="&amp;$B130)&gt;0,"NA",AVERAGEIFS(monthly!R:R,monthly!$A:$A,"&gt;="&amp;$A130,monthly!$B:$B,"&lt;="&amp;$B130))</f>
        <v>4.9736466165413526</v>
      </c>
      <c r="AA130">
        <f>IF(COUNTIFS(monthly!S:S,"",monthly!$A:$A,"&gt;="&amp;$A130,monthly!$B:$B,"&lt;="&amp;$B130)&gt;0,"NA",AVERAGEIFS(monthly!S:S,monthly!$A:$A,"&gt;="&amp;$A130,monthly!$B:$B,"&lt;="&amp;$B130))</f>
        <v>0.9283950501253142</v>
      </c>
      <c r="AB130">
        <f>IF(COUNTIFS(monthly!T:T,"",monthly!$A:$A,"&gt;="&amp;$A130,monthly!$B:$B,"&lt;="&amp;$B130)&gt;0,"NA",AVERAGEIFS(monthly!T:T,monthly!$A:$A,"&gt;="&amp;$A130,monthly!$B:$B,"&lt;="&amp;$B130))</f>
        <v>22.564323308270673</v>
      </c>
      <c r="AC130">
        <f>IF(COUNTIFS(monthly!U:U,"",monthly!$A:$A,"&gt;="&amp;$A130,monthly!$B:$B,"&lt;="&amp;$B130)&gt;0,"NA",AVERAGEIFS(monthly!U:U,monthly!$A:$A,"&gt;="&amp;$A130,monthly!$B:$B,"&lt;="&amp;$B130))</f>
        <v>96.686225902868955</v>
      </c>
      <c r="AD130">
        <f>IF(COUNTIFS(monthly!V:V,"",monthly!$A:$A,"&gt;="&amp;$A130,monthly!$B:$B,"&lt;="&amp;$B130)&gt;0,"NA",AVERAGEIFS(monthly!V:V,monthly!$A:$A,"&gt;="&amp;$A130,monthly!$B:$B,"&lt;="&amp;$B130))</f>
        <v>55.554887022872464</v>
      </c>
      <c r="AE130">
        <f>IF(COUNTIFS(monthly!W:W,"",monthly!$A:$A,"&gt;="&amp;$A130,monthly!$B:$B,"&lt;="&amp;$B130)&gt;0,"NA",AVERAGEIFS(monthly!W:W,monthly!$A:$A,"&gt;="&amp;$A130,monthly!$B:$B,"&lt;="&amp;$B130))</f>
        <v>159.33145904541016</v>
      </c>
      <c r="AF130">
        <f>IF(COUNTIFS(monthly!X:X,"",monthly!$A:$A,"&gt;="&amp;$A130,monthly!$B:$B,"&lt;="&amp;$B130)&gt;0,"NA",AVERAGEIFS(monthly!X:X,monthly!$A:$A,"&gt;="&amp;$A130,monthly!$B:$B,"&lt;="&amp;$B130))</f>
        <v>101.34827423095703</v>
      </c>
      <c r="AG130">
        <f>IF(COUNTIFS(monthly!Y:Y,"",monthly!$A:$A,"&gt;="&amp;$A130,monthly!$B:$B,"&lt;="&amp;$B130)&gt;0,"NA",AVERAGEIFS(monthly!Y:Y,monthly!$A:$A,"&gt;="&amp;$A130,monthly!$B:$B,"&lt;="&amp;$B130))</f>
        <v>237.59626007080078</v>
      </c>
      <c r="AH130">
        <f>IF(COUNTIFS(monthly!Z:Z,"",monthly!$A:$A,"&gt;="&amp;$A130,monthly!$B:$B,"&lt;="&amp;$B130)&gt;0,"NA",AVERAGEIFS(monthly!Z:Z,monthly!$A:$A,"&gt;="&amp;$A130,monthly!$B:$B,"&lt;="&amp;$B130))</f>
        <v>0.10027117654681206</v>
      </c>
    </row>
    <row r="131" spans="1:34" x14ac:dyDescent="0.2">
      <c r="A131" s="1">
        <v>37347</v>
      </c>
      <c r="B131" s="1">
        <v>37437</v>
      </c>
      <c r="C131">
        <f>IF(ISBLANK(VLOOKUP($A131,quarterly_data,MATCH(C$1,quarterly!$1:$1,FALSE),FALSE)),"NA",VLOOKUP($A131,quarterly_data,MATCH(C$1,quarterly!$1:$1,FALSE),FALSE))</f>
        <v>100.52517750889514</v>
      </c>
      <c r="D131">
        <f>IF(ISBLANK(VLOOKUP($A131,quarterly_data,MATCH(D$1,quarterly!$1:$1,FALSE),FALSE)),"NA",VLOOKUP($A131,quarterly_data,MATCH(D$1,quarterly!$1:$1,FALSE),FALSE))</f>
        <v>53.2</v>
      </c>
      <c r="E131">
        <f>IF(ISBLANK(VLOOKUP($A131,quarterly_data,MATCH(E$1,quarterly!$1:$1,FALSE),FALSE)),"NA",VLOOKUP($A131,quarterly_data,MATCH(E$1,quarterly!$1:$1,FALSE),FALSE))</f>
        <v>0</v>
      </c>
      <c r="F131">
        <f>IF(ISBLANK(VLOOKUP($A131,quarterly_data,MATCH(F$1,quarterly!$1:$1,FALSE),FALSE)),"NA",VLOOKUP($A131,quarterly_data,MATCH(F$1,quarterly!$1:$1,FALSE),FALSE))</f>
        <v>3.17256E-2</v>
      </c>
      <c r="G131">
        <f>IF(ISBLANK(VLOOKUP($A131,quarterly_data,MATCH(G$1,quarterly!$1:$1,FALSE),FALSE)),"NA",VLOOKUP($A131,quarterly_data,MATCH(G$1,quarterly!$1:$1,FALSE),FALSE))</f>
        <v>14460.848</v>
      </c>
      <c r="H131">
        <f>IF(ISBLANK(VLOOKUP($A131,quarterly_data,MATCH(H$1,quarterly!$1:$1,FALSE),FALSE)),"NA",VLOOKUP($A131,quarterly_data,MATCH(H$1,quarterly!$1:$1,FALSE),FALSE))</f>
        <v>379233</v>
      </c>
      <c r="I131">
        <f>IF(ISBLANK(VLOOKUP($A131,quarterly_data,MATCH(I$1,quarterly!$1:$1,FALSE),FALSE)),"NA",VLOOKUP($A131,quarterly_data,MATCH(I$1,quarterly!$1:$1,FALSE),FALSE))</f>
        <v>0.6</v>
      </c>
      <c r="J131">
        <f>IF(ISBLANK(VLOOKUP($A131,quarterly_data,MATCH(J$1,quarterly!$1:$1,FALSE),FALSE)),"NA",VLOOKUP($A131,quarterly_data,MATCH(J$1,quarterly!$1:$1,FALSE),FALSE))</f>
        <v>53.2</v>
      </c>
      <c r="K131">
        <f>IF(COUNTIFS(monthly!C:C,"",monthly!$A:$A,"&gt;="&amp;$A131,monthly!$B:$B,"&lt;="&amp;$B131)&gt;0,"NA",AVERAGEIFS(monthly!C:C,monthly!$A:$A,"&gt;="&amp;$A131,monthly!$B:$B,"&lt;="&amp;$B131))</f>
        <v>52.633333333333326</v>
      </c>
      <c r="L131">
        <f>IF(COUNTIFS(monthly!D:D,"",monthly!$A:$A,"&gt;="&amp;$A131,monthly!$B:$B,"&lt;="&amp;$B131)&gt;0,"NA",AVERAGEIFS(monthly!D:D,monthly!$A:$A,"&gt;="&amp;$A131,monthly!$B:$B,"&lt;="&amp;$B131))</f>
        <v>0.55730000000000002</v>
      </c>
      <c r="M131">
        <f>IF(COUNTIFS(monthly!E:E,"",monthly!$A:$A,"&gt;="&amp;$A131,monthly!$B:$B,"&lt;="&amp;$B131)&gt;0,"NA",AVERAGEIFS(monthly!E:E,monthly!$A:$A,"&gt;="&amp;$A131,monthly!$B:$B,"&lt;="&amp;$B131))</f>
        <v>31.447004005639268</v>
      </c>
      <c r="N131" t="str">
        <f>IF(COUNTIFS(monthly!F:F,"",monthly!$A:$A,"&gt;="&amp;$A131,monthly!$B:$B,"&lt;="&amp;$B131)&gt;0,"NA",AVERAGEIFS(monthly!F:F,monthly!$A:$A,"&gt;="&amp;$A131,monthly!$B:$B,"&lt;="&amp;$B131))</f>
        <v>NA</v>
      </c>
      <c r="O131">
        <f>IF(COUNTIFS(monthly!G:G,"",monthly!$A:$A,"&gt;="&amp;$A131,monthly!$B:$B,"&lt;="&amp;$B131)&gt;0,"NA",AVERAGEIFS(monthly!G:G,monthly!$A:$A,"&gt;="&amp;$A131,monthly!$B:$B,"&lt;="&amp;$B131))</f>
        <v>29.3</v>
      </c>
      <c r="P131">
        <f>IF(COUNTIFS(monthly!H:H,"",monthly!$A:$A,"&gt;="&amp;$A131,monthly!$B:$B,"&lt;="&amp;$B131)&gt;0,"NA",AVERAGEIFS(monthly!H:H,monthly!$A:$A,"&gt;="&amp;$A131,monthly!$B:$B,"&lt;="&amp;$B131))</f>
        <v>26.3</v>
      </c>
      <c r="Q131">
        <f>IF(COUNTIFS(monthly!I:I,"",monthly!$A:$A,"&gt;="&amp;$A131,monthly!$B:$B,"&lt;="&amp;$B131)&gt;0,"NA",AVERAGEIFS(monthly!I:I,monthly!$A:$A,"&gt;="&amp;$A131,monthly!$B:$B,"&lt;="&amp;$B131))</f>
        <v>25.066666666666663</v>
      </c>
      <c r="R131">
        <f>IF(COUNTIFS(monthly!J:J,"",monthly!$A:$A,"&gt;="&amp;$A131,monthly!$B:$B,"&lt;="&amp;$B131)&gt;0,"NA",AVERAGEIFS(monthly!J:J,monthly!$A:$A,"&gt;="&amp;$A131,monthly!$B:$B,"&lt;="&amp;$B131))</f>
        <v>4.01</v>
      </c>
      <c r="S131">
        <f>IF(COUNTIFS(monthly!K:K,"",monthly!$A:$A,"&gt;="&amp;$A131,monthly!$B:$B,"&lt;="&amp;$B131)&gt;0,"NA",AVERAGEIFS(monthly!K:K,monthly!$A:$A,"&gt;="&amp;$A131,monthly!$B:$B,"&lt;="&amp;$B131))</f>
        <v>4.4666666666666659</v>
      </c>
      <c r="T131">
        <f>IF(COUNTIFS(monthly!L:L,"",monthly!$A:$A,"&gt;="&amp;$A131,monthly!$B:$B,"&lt;="&amp;$B131)&gt;0,"NA",AVERAGEIFS(monthly!L:L,monthly!$A:$A,"&gt;="&amp;$A131,monthly!$B:$B,"&lt;="&amp;$B131))</f>
        <v>1.7515412186379928</v>
      </c>
      <c r="U131">
        <f>IF(COUNTIFS(monthly!M:M,"",monthly!$A:$A,"&gt;="&amp;$A131,monthly!$B:$B,"&lt;="&amp;$B131)&gt;0,"NA",AVERAGEIFS(monthly!M:M,monthly!$A:$A,"&gt;="&amp;$A131,monthly!$B:$B,"&lt;="&amp;$B131))</f>
        <v>2.7151254480286737</v>
      </c>
      <c r="V131">
        <f>IF(COUNTIFS(monthly!N:N,"",monthly!$A:$A,"&gt;="&amp;$A131,monthly!$B:$B,"&lt;="&amp;$B131)&gt;0,"NA",AVERAGEIFS(monthly!N:N,monthly!$A:$A,"&gt;="&amp;$A131,monthly!$B:$B,"&lt;="&amp;$B131))</f>
        <v>5.5243838672768879</v>
      </c>
      <c r="W131">
        <f>IF(COUNTIFS(monthly!O:O,"",monthly!$A:$A,"&gt;="&amp;$A131,monthly!$B:$B,"&lt;="&amp;$B131)&gt;0,"NA",AVERAGEIFS(monthly!O:O,monthly!$A:$A,"&gt;="&amp;$A131,monthly!$B:$B,"&lt;="&amp;$B131))</f>
        <v>3.2266060606060605</v>
      </c>
      <c r="X131">
        <f>IF(COUNTIFS(monthly!P:P,"",monthly!$A:$A,"&gt;="&amp;$A131,monthly!$B:$B,"&lt;="&amp;$B131)&gt;0,"NA",AVERAGEIFS(monthly!P:P,monthly!$A:$A,"&gt;="&amp;$A131,monthly!$B:$B,"&lt;="&amp;$B131))</f>
        <v>2.297777806670827</v>
      </c>
      <c r="Y131">
        <f>IF(COUNTIFS(monthly!Q:Q,"",monthly!$A:$A,"&gt;="&amp;$A131,monthly!$B:$B,"&lt;="&amp;$B131)&gt;0,"NA",AVERAGEIFS(monthly!Q:Q,monthly!$A:$A,"&gt;="&amp;$A131,monthly!$B:$B,"&lt;="&amp;$B131))</f>
        <v>6.1722829900839065</v>
      </c>
      <c r="Z131">
        <f>IF(COUNTIFS(monthly!R:R,"",monthly!$A:$A,"&gt;="&amp;$A131,monthly!$B:$B,"&lt;="&amp;$B131)&gt;0,"NA",AVERAGEIFS(monthly!R:R,monthly!$A:$A,"&gt;="&amp;$A131,monthly!$B:$B,"&lt;="&amp;$B131))</f>
        <v>5.1006515151515144</v>
      </c>
      <c r="AA131">
        <f>IF(COUNTIFS(monthly!S:S,"",monthly!$A:$A,"&gt;="&amp;$A131,monthly!$B:$B,"&lt;="&amp;$B131)&gt;0,"NA",AVERAGEIFS(monthly!S:S,monthly!$A:$A,"&gt;="&amp;$A131,monthly!$B:$B,"&lt;="&amp;$B131))</f>
        <v>1.0716314749323914</v>
      </c>
      <c r="AB131">
        <f>IF(COUNTIFS(monthly!T:T,"",monthly!$A:$A,"&gt;="&amp;$A131,monthly!$B:$B,"&lt;="&amp;$B131)&gt;0,"NA",AVERAGEIFS(monthly!T:T,monthly!$A:$A,"&gt;="&amp;$A131,monthly!$B:$B,"&lt;="&amp;$B131))</f>
        <v>21.753060606060611</v>
      </c>
      <c r="AC131">
        <f>IF(COUNTIFS(monthly!U:U,"",monthly!$A:$A,"&gt;="&amp;$A131,monthly!$B:$B,"&lt;="&amp;$B131)&gt;0,"NA",AVERAGEIFS(monthly!U:U,monthly!$A:$A,"&gt;="&amp;$A131,monthly!$B:$B,"&lt;="&amp;$B131))</f>
        <v>85.265191242541817</v>
      </c>
      <c r="AD131">
        <f>IF(COUNTIFS(monthly!V:V,"",monthly!$A:$A,"&gt;="&amp;$A131,monthly!$B:$B,"&lt;="&amp;$B131)&gt;0,"NA",AVERAGEIFS(monthly!V:V,monthly!$A:$A,"&gt;="&amp;$A131,monthly!$B:$B,"&lt;="&amp;$B131))</f>
        <v>60.258921740621872</v>
      </c>
      <c r="AE131">
        <f>IF(COUNTIFS(monthly!W:W,"",monthly!$A:$A,"&gt;="&amp;$A131,monthly!$B:$B,"&lt;="&amp;$B131)&gt;0,"NA",AVERAGEIFS(monthly!W:W,monthly!$A:$A,"&gt;="&amp;$A131,monthly!$B:$B,"&lt;="&amp;$B131))</f>
        <v>156.7164306640625</v>
      </c>
      <c r="AF131">
        <f>IF(COUNTIFS(monthly!X:X,"",monthly!$A:$A,"&gt;="&amp;$A131,monthly!$B:$B,"&lt;="&amp;$B131)&gt;0,"NA",AVERAGEIFS(monthly!X:X,monthly!$A:$A,"&gt;="&amp;$A131,monthly!$B:$B,"&lt;="&amp;$B131))</f>
        <v>123.59400685628255</v>
      </c>
      <c r="AG131">
        <f>IF(COUNTIFS(monthly!Y:Y,"",monthly!$A:$A,"&gt;="&amp;$A131,monthly!$B:$B,"&lt;="&amp;$B131)&gt;0,"NA",AVERAGEIFS(monthly!Y:Y,monthly!$A:$A,"&gt;="&amp;$A131,monthly!$B:$B,"&lt;="&amp;$B131))</f>
        <v>208.05754089355469</v>
      </c>
      <c r="AH131">
        <f>IF(COUNTIFS(monthly!Z:Z,"",monthly!$A:$A,"&gt;="&amp;$A131,monthly!$B:$B,"&lt;="&amp;$B131)&gt;0,"NA",AVERAGEIFS(monthly!Z:Z,monthly!$A:$A,"&gt;="&amp;$A131,monthly!$B:$B,"&lt;="&amp;$B131))</f>
        <v>0.10622259726126988</v>
      </c>
    </row>
    <row r="132" spans="1:34" x14ac:dyDescent="0.2">
      <c r="A132" s="1">
        <v>37438</v>
      </c>
      <c r="B132" s="1">
        <v>37529</v>
      </c>
      <c r="C132">
        <f>IF(ISBLANK(VLOOKUP($A132,quarterly_data,MATCH(C$1,quarterly!$1:$1,FALSE),FALSE)),"NA",VLOOKUP($A132,quarterly_data,MATCH(C$1,quarterly!$1:$1,FALSE),FALSE))</f>
        <v>97.273672740146694</v>
      </c>
      <c r="D132">
        <f>IF(ISBLANK(VLOOKUP($A132,quarterly_data,MATCH(D$1,quarterly!$1:$1,FALSE),FALSE)),"NA",VLOOKUP($A132,quarterly_data,MATCH(D$1,quarterly!$1:$1,FALSE),FALSE))</f>
        <v>53.3</v>
      </c>
      <c r="E132">
        <f>IF(ISBLANK(VLOOKUP($A132,quarterly_data,MATCH(E$1,quarterly!$1:$1,FALSE),FALSE)),"NA",VLOOKUP($A132,quarterly_data,MATCH(E$1,quarterly!$1:$1,FALSE),FALSE))</f>
        <v>0</v>
      </c>
      <c r="F132">
        <f>IF(ISBLANK(VLOOKUP($A132,quarterly_data,MATCH(F$1,quarterly!$1:$1,FALSE),FALSE)),"NA",VLOOKUP($A132,quarterly_data,MATCH(F$1,quarterly!$1:$1,FALSE),FALSE))</f>
        <v>9.7880999999999992E-3</v>
      </c>
      <c r="G132">
        <f>IF(ISBLANK(VLOOKUP($A132,quarterly_data,MATCH(G$1,quarterly!$1:$1,FALSE),FALSE)),"NA",VLOOKUP($A132,quarterly_data,MATCH(G$1,quarterly!$1:$1,FALSE),FALSE))</f>
        <v>14519.633</v>
      </c>
      <c r="H132">
        <f>IF(ISBLANK(VLOOKUP($A132,quarterly_data,MATCH(H$1,quarterly!$1:$1,FALSE),FALSE)),"NA",VLOOKUP($A132,quarterly_data,MATCH(H$1,quarterly!$1:$1,FALSE),FALSE))</f>
        <v>380108</v>
      </c>
      <c r="I132">
        <f>IF(ISBLANK(VLOOKUP($A132,quarterly_data,MATCH(I$1,quarterly!$1:$1,FALSE),FALSE)),"NA",VLOOKUP($A132,quarterly_data,MATCH(I$1,quarterly!$1:$1,FALSE),FALSE))</f>
        <v>0.7</v>
      </c>
      <c r="J132">
        <f>IF(ISBLANK(VLOOKUP($A132,quarterly_data,MATCH(J$1,quarterly!$1:$1,FALSE),FALSE)),"NA",VLOOKUP($A132,quarterly_data,MATCH(J$1,quarterly!$1:$1,FALSE),FALSE))</f>
        <v>53.56</v>
      </c>
      <c r="K132">
        <f>IF(COUNTIFS(monthly!C:C,"",monthly!$A:$A,"&gt;="&amp;$A132,monthly!$B:$B,"&lt;="&amp;$B132)&gt;0,"NA",AVERAGEIFS(monthly!C:C,monthly!$A:$A,"&gt;="&amp;$A132,monthly!$B:$B,"&lt;="&amp;$B132))</f>
        <v>51.033333333333331</v>
      </c>
      <c r="L132">
        <f>IF(COUNTIFS(monthly!D:D,"",monthly!$A:$A,"&gt;="&amp;$A132,monthly!$B:$B,"&lt;="&amp;$B132)&gt;0,"NA",AVERAGEIFS(monthly!D:D,monthly!$A:$A,"&gt;="&amp;$A132,monthly!$B:$B,"&lt;="&amp;$B132))</f>
        <v>0.54816666666666658</v>
      </c>
      <c r="M132">
        <f>IF(COUNTIFS(monthly!E:E,"",monthly!$A:$A,"&gt;="&amp;$A132,monthly!$B:$B,"&lt;="&amp;$B132)&gt;0,"NA",AVERAGEIFS(monthly!E:E,monthly!$A:$A,"&gt;="&amp;$A132,monthly!$B:$B,"&lt;="&amp;$B132))</f>
        <v>31.02961467919377</v>
      </c>
      <c r="N132" t="str">
        <f>IF(COUNTIFS(monthly!F:F,"",monthly!$A:$A,"&gt;="&amp;$A132,monthly!$B:$B,"&lt;="&amp;$B132)&gt;0,"NA",AVERAGEIFS(monthly!F:F,monthly!$A:$A,"&gt;="&amp;$A132,monthly!$B:$B,"&lt;="&amp;$B132))</f>
        <v>NA</v>
      </c>
      <c r="O132">
        <f>IF(COUNTIFS(monthly!G:G,"",monthly!$A:$A,"&gt;="&amp;$A132,monthly!$B:$B,"&lt;="&amp;$B132)&gt;0,"NA",AVERAGEIFS(monthly!G:G,monthly!$A:$A,"&gt;="&amp;$A132,monthly!$B:$B,"&lt;="&amp;$B132))</f>
        <v>29.3</v>
      </c>
      <c r="P132">
        <f>IF(COUNTIFS(monthly!H:H,"",monthly!$A:$A,"&gt;="&amp;$A132,monthly!$B:$B,"&lt;="&amp;$B132)&gt;0,"NA",AVERAGEIFS(monthly!H:H,monthly!$A:$A,"&gt;="&amp;$A132,monthly!$B:$B,"&lt;="&amp;$B132))</f>
        <v>22.733333333333334</v>
      </c>
      <c r="Q132">
        <f>IF(COUNTIFS(monthly!I:I,"",monthly!$A:$A,"&gt;="&amp;$A132,monthly!$B:$B,"&lt;="&amp;$B132)&gt;0,"NA",AVERAGEIFS(monthly!I:I,monthly!$A:$A,"&gt;="&amp;$A132,monthly!$B:$B,"&lt;="&amp;$B132))</f>
        <v>26.900000000000002</v>
      </c>
      <c r="R132">
        <f>IF(COUNTIFS(monthly!J:J,"",monthly!$A:$A,"&gt;="&amp;$A132,monthly!$B:$B,"&lt;="&amp;$B132)&gt;0,"NA",AVERAGEIFS(monthly!J:J,monthly!$A:$A,"&gt;="&amp;$A132,monthly!$B:$B,"&lt;="&amp;$B132))</f>
        <v>4.456666666666667</v>
      </c>
      <c r="S132">
        <f>IF(COUNTIFS(monthly!K:K,"",monthly!$A:$A,"&gt;="&amp;$A132,monthly!$B:$B,"&lt;="&amp;$B132)&gt;0,"NA",AVERAGEIFS(monthly!K:K,monthly!$A:$A,"&gt;="&amp;$A132,monthly!$B:$B,"&lt;="&amp;$B132))</f>
        <v>4.75</v>
      </c>
      <c r="T132">
        <f>IF(COUNTIFS(monthly!L:L,"",monthly!$A:$A,"&gt;="&amp;$A132,monthly!$B:$B,"&lt;="&amp;$B132)&gt;0,"NA",AVERAGEIFS(monthly!L:L,monthly!$A:$A,"&gt;="&amp;$A132,monthly!$B:$B,"&lt;="&amp;$B132))</f>
        <v>1.7409749103942651</v>
      </c>
      <c r="U132">
        <f>IF(COUNTIFS(monthly!M:M,"",monthly!$A:$A,"&gt;="&amp;$A132,monthly!$B:$B,"&lt;="&amp;$B132)&gt;0,"NA",AVERAGEIFS(monthly!M:M,monthly!$A:$A,"&gt;="&amp;$A132,monthly!$B:$B,"&lt;="&amp;$B132))</f>
        <v>3.0090250896057351</v>
      </c>
      <c r="V132">
        <f>IF(COUNTIFS(monthly!N:N,"",monthly!$A:$A,"&gt;="&amp;$A132,monthly!$B:$B,"&lt;="&amp;$B132)&gt;0,"NA",AVERAGEIFS(monthly!N:N,monthly!$A:$A,"&gt;="&amp;$A132,monthly!$B:$B,"&lt;="&amp;$B132))</f>
        <v>5.0712141602358987</v>
      </c>
      <c r="W132">
        <f>IF(COUNTIFS(monthly!O:O,"",monthly!$A:$A,"&gt;="&amp;$A132,monthly!$B:$B,"&lt;="&amp;$B132)&gt;0,"NA",AVERAGEIFS(monthly!O:O,monthly!$A:$A,"&gt;="&amp;$A132,monthly!$B:$B,"&lt;="&amp;$B132))</f>
        <v>2.2316515151515151</v>
      </c>
      <c r="X132">
        <f>IF(COUNTIFS(monthly!P:P,"",monthly!$A:$A,"&gt;="&amp;$A132,monthly!$B:$B,"&lt;="&amp;$B132)&gt;0,"NA",AVERAGEIFS(monthly!P:P,monthly!$A:$A,"&gt;="&amp;$A132,monthly!$B:$B,"&lt;="&amp;$B132))</f>
        <v>2.8395626450843836</v>
      </c>
      <c r="Y132">
        <f>IF(COUNTIFS(monthly!Q:Q,"",monthly!$A:$A,"&gt;="&amp;$A132,monthly!$B:$B,"&lt;="&amp;$B132)&gt;0,"NA",AVERAGEIFS(monthly!Q:Q,monthly!$A:$A,"&gt;="&amp;$A132,monthly!$B:$B,"&lt;="&amp;$B132))</f>
        <v>5.6479686617730094</v>
      </c>
      <c r="Z132">
        <f>IF(COUNTIFS(monthly!R:R,"",monthly!$A:$A,"&gt;="&amp;$A132,monthly!$B:$B,"&lt;="&amp;$B132)&gt;0,"NA",AVERAGEIFS(monthly!R:R,monthly!$A:$A,"&gt;="&amp;$A132,monthly!$B:$B,"&lt;="&amp;$B132))</f>
        <v>4.2601515151515148</v>
      </c>
      <c r="AA132">
        <f>IF(COUNTIFS(monthly!S:S,"",monthly!$A:$A,"&gt;="&amp;$A132,monthly!$B:$B,"&lt;="&amp;$B132)&gt;0,"NA",AVERAGEIFS(monthly!S:S,monthly!$A:$A,"&gt;="&amp;$A132,monthly!$B:$B,"&lt;="&amp;$B132))</f>
        <v>1.3878171466214948</v>
      </c>
      <c r="AB132">
        <f>IF(COUNTIFS(monthly!T:T,"",monthly!$A:$A,"&gt;="&amp;$A132,monthly!$B:$B,"&lt;="&amp;$B132)&gt;0,"NA",AVERAGEIFS(monthly!T:T,monthly!$A:$A,"&gt;="&amp;$A132,monthly!$B:$B,"&lt;="&amp;$B132))</f>
        <v>35.146590909090911</v>
      </c>
      <c r="AC132">
        <f>IF(COUNTIFS(monthly!U:U,"",monthly!$A:$A,"&gt;="&amp;$A132,monthly!$B:$B,"&lt;="&amp;$B132)&gt;0,"NA",AVERAGEIFS(monthly!U:U,monthly!$A:$A,"&gt;="&amp;$A132,monthly!$B:$B,"&lt;="&amp;$B132))</f>
        <v>110.58775390650543</v>
      </c>
      <c r="AD132">
        <f>IF(COUNTIFS(monthly!V:V,"",monthly!$A:$A,"&gt;="&amp;$A132,monthly!$B:$B,"&lt;="&amp;$B132)&gt;0,"NA",AVERAGEIFS(monthly!V:V,monthly!$A:$A,"&gt;="&amp;$A132,monthly!$B:$B,"&lt;="&amp;$B132))</f>
        <v>108.26170759038241</v>
      </c>
      <c r="AE132">
        <f>IF(COUNTIFS(monthly!W:W,"",monthly!$A:$A,"&gt;="&amp;$A132,monthly!$B:$B,"&lt;="&amp;$B132)&gt;0,"NA",AVERAGEIFS(monthly!W:W,monthly!$A:$A,"&gt;="&amp;$A132,monthly!$B:$B,"&lt;="&amp;$B132))</f>
        <v>141.58206431070963</v>
      </c>
      <c r="AF132">
        <f>IF(COUNTIFS(monthly!X:X,"",monthly!$A:$A,"&gt;="&amp;$A132,monthly!$B:$B,"&lt;="&amp;$B132)&gt;0,"NA",AVERAGEIFS(monthly!X:X,monthly!$A:$A,"&gt;="&amp;$A132,monthly!$B:$B,"&lt;="&amp;$B132))</f>
        <v>123.52562204996745</v>
      </c>
      <c r="AG132">
        <f>IF(COUNTIFS(monthly!Y:Y,"",monthly!$A:$A,"&gt;="&amp;$A132,monthly!$B:$B,"&lt;="&amp;$B132)&gt;0,"NA",AVERAGEIFS(monthly!Y:Y,monthly!$A:$A,"&gt;="&amp;$A132,monthly!$B:$B,"&lt;="&amp;$B132))</f>
        <v>171.53445943196616</v>
      </c>
      <c r="AH132">
        <f>IF(COUNTIFS(monthly!Z:Z,"",monthly!$A:$A,"&gt;="&amp;$A132,monthly!$B:$B,"&lt;="&amp;$B132)&gt;0,"NA",AVERAGEIFS(monthly!Z:Z,monthly!$A:$A,"&gt;="&amp;$A132,monthly!$B:$B,"&lt;="&amp;$B132))</f>
        <v>7.5437361995379135E-2</v>
      </c>
    </row>
    <row r="133" spans="1:34" x14ac:dyDescent="0.2">
      <c r="A133" s="1">
        <v>37530</v>
      </c>
      <c r="B133" s="1">
        <v>37620</v>
      </c>
      <c r="C133">
        <f>IF(ISBLANK(VLOOKUP($A133,quarterly_data,MATCH(C$1,quarterly!$1:$1,FALSE),FALSE)),"NA",VLOOKUP($A133,quarterly_data,MATCH(C$1,quarterly!$1:$1,FALSE),FALSE))</f>
        <v>99.599377199866993</v>
      </c>
      <c r="D133">
        <f>IF(ISBLANK(VLOOKUP($A133,quarterly_data,MATCH(D$1,quarterly!$1:$1,FALSE),FALSE)),"NA",VLOOKUP($A133,quarterly_data,MATCH(D$1,quarterly!$1:$1,FALSE),FALSE))</f>
        <v>53.7</v>
      </c>
      <c r="E133">
        <f>IF(ISBLANK(VLOOKUP($A133,quarterly_data,MATCH(E$1,quarterly!$1:$1,FALSE),FALSE)),"NA",VLOOKUP($A133,quarterly_data,MATCH(E$1,quarterly!$1:$1,FALSE),FALSE))</f>
        <v>0</v>
      </c>
      <c r="F133">
        <f>IF(ISBLANK(VLOOKUP($A133,quarterly_data,MATCH(F$1,quarterly!$1:$1,FALSE),FALSE)),"NA",VLOOKUP($A133,quarterly_data,MATCH(F$1,quarterly!$1:$1,FALSE),FALSE))</f>
        <v>0</v>
      </c>
      <c r="G133">
        <f>IF(ISBLANK(VLOOKUP($A133,quarterly_data,MATCH(G$1,quarterly!$1:$1,FALSE),FALSE)),"NA",VLOOKUP($A133,quarterly_data,MATCH(G$1,quarterly!$1:$1,FALSE),FALSE))</f>
        <v>14537.58</v>
      </c>
      <c r="H133">
        <f>IF(ISBLANK(VLOOKUP($A133,quarterly_data,MATCH(H$1,quarterly!$1:$1,FALSE),FALSE)),"NA",VLOOKUP($A133,quarterly_data,MATCH(H$1,quarterly!$1:$1,FALSE),FALSE))</f>
        <v>383279</v>
      </c>
      <c r="I133">
        <f>IF(ISBLANK(VLOOKUP($A133,quarterly_data,MATCH(I$1,quarterly!$1:$1,FALSE),FALSE)),"NA",VLOOKUP($A133,quarterly_data,MATCH(I$1,quarterly!$1:$1,FALSE),FALSE))</f>
        <v>0.7</v>
      </c>
      <c r="J133">
        <f>IF(ISBLANK(VLOOKUP($A133,quarterly_data,MATCH(J$1,quarterly!$1:$1,FALSE),FALSE)),"NA",VLOOKUP($A133,quarterly_data,MATCH(J$1,quarterly!$1:$1,FALSE),FALSE))</f>
        <v>53.92</v>
      </c>
      <c r="K133">
        <f>IF(COUNTIFS(monthly!C:C,"",monthly!$A:$A,"&gt;="&amp;$A133,monthly!$B:$B,"&lt;="&amp;$B133)&gt;0,"NA",AVERAGEIFS(monthly!C:C,monthly!$A:$A,"&gt;="&amp;$A133,monthly!$B:$B,"&lt;="&amp;$B133))</f>
        <v>52</v>
      </c>
      <c r="L133">
        <f>IF(COUNTIFS(monthly!D:D,"",monthly!$A:$A,"&gt;="&amp;$A133,monthly!$B:$B,"&lt;="&amp;$B133)&gt;0,"NA",AVERAGEIFS(monthly!D:D,monthly!$A:$A,"&gt;="&amp;$A133,monthly!$B:$B,"&lt;="&amp;$B133))</f>
        <v>0.55709999999999993</v>
      </c>
      <c r="M133">
        <f>IF(COUNTIFS(monthly!E:E,"",monthly!$A:$A,"&gt;="&amp;$A133,monthly!$B:$B,"&lt;="&amp;$B133)&gt;0,"NA",AVERAGEIFS(monthly!E:E,monthly!$A:$A,"&gt;="&amp;$A133,monthly!$B:$B,"&lt;="&amp;$B133))</f>
        <v>32.164182239383351</v>
      </c>
      <c r="N133" t="str">
        <f>IF(COUNTIFS(monthly!F:F,"",monthly!$A:$A,"&gt;="&amp;$A133,monthly!$B:$B,"&lt;="&amp;$B133)&gt;0,"NA",AVERAGEIFS(monthly!F:F,monthly!$A:$A,"&gt;="&amp;$A133,monthly!$B:$B,"&lt;="&amp;$B133))</f>
        <v>NA</v>
      </c>
      <c r="O133">
        <f>IF(COUNTIFS(monthly!G:G,"",monthly!$A:$A,"&gt;="&amp;$A133,monthly!$B:$B,"&lt;="&amp;$B133)&gt;0,"NA",AVERAGEIFS(monthly!G:G,monthly!$A:$A,"&gt;="&amp;$A133,monthly!$B:$B,"&lt;="&amp;$B133))</f>
        <v>29.3</v>
      </c>
      <c r="P133">
        <f>IF(COUNTIFS(monthly!H:H,"",monthly!$A:$A,"&gt;="&amp;$A133,monthly!$B:$B,"&lt;="&amp;$B133)&gt;0,"NA",AVERAGEIFS(monthly!H:H,monthly!$A:$A,"&gt;="&amp;$A133,monthly!$B:$B,"&lt;="&amp;$B133))</f>
        <v>24.5</v>
      </c>
      <c r="Q133">
        <f>IF(COUNTIFS(monthly!I:I,"",monthly!$A:$A,"&gt;="&amp;$A133,monthly!$B:$B,"&lt;="&amp;$B133)&gt;0,"NA",AVERAGEIFS(monthly!I:I,monthly!$A:$A,"&gt;="&amp;$A133,monthly!$B:$B,"&lt;="&amp;$B133))</f>
        <v>25.85</v>
      </c>
      <c r="R133">
        <f>IF(COUNTIFS(monthly!J:J,"",monthly!$A:$A,"&gt;="&amp;$A133,monthly!$B:$B,"&lt;="&amp;$B133)&gt;0,"NA",AVERAGEIFS(monthly!J:J,monthly!$A:$A,"&gt;="&amp;$A133,monthly!$B:$B,"&lt;="&amp;$B133))</f>
        <v>4.55</v>
      </c>
      <c r="S133">
        <f>IF(COUNTIFS(monthly!K:K,"",monthly!$A:$A,"&gt;="&amp;$A133,monthly!$B:$B,"&lt;="&amp;$B133)&gt;0,"NA",AVERAGEIFS(monthly!K:K,monthly!$A:$A,"&gt;="&amp;$A133,monthly!$B:$B,"&lt;="&amp;$B133))</f>
        <v>4.75</v>
      </c>
      <c r="T133">
        <f>IF(COUNTIFS(monthly!L:L,"",monthly!$A:$A,"&gt;="&amp;$A133,monthly!$B:$B,"&lt;="&amp;$B133)&gt;0,"NA",AVERAGEIFS(monthly!L:L,monthly!$A:$A,"&gt;="&amp;$A133,monthly!$B:$B,"&lt;="&amp;$B133))</f>
        <v>1.5454193548387094</v>
      </c>
      <c r="U133">
        <f>IF(COUNTIFS(monthly!M:M,"",monthly!$A:$A,"&gt;="&amp;$A133,monthly!$B:$B,"&lt;="&amp;$B133)&gt;0,"NA",AVERAGEIFS(monthly!M:M,monthly!$A:$A,"&gt;="&amp;$A133,monthly!$B:$B,"&lt;="&amp;$B133))</f>
        <v>3.2045806451612906</v>
      </c>
      <c r="V133">
        <f>IF(COUNTIFS(monthly!N:N,"",monthly!$A:$A,"&gt;="&amp;$A133,monthly!$B:$B,"&lt;="&amp;$B133)&gt;0,"NA",AVERAGEIFS(monthly!N:N,monthly!$A:$A,"&gt;="&amp;$A133,monthly!$B:$B,"&lt;="&amp;$B133))</f>
        <v>4.8715942028985504</v>
      </c>
      <c r="W133">
        <f>IF(COUNTIFS(monthly!O:O,"",monthly!$A:$A,"&gt;="&amp;$A133,monthly!$B:$B,"&lt;="&amp;$B133)&gt;0,"NA",AVERAGEIFS(monthly!O:O,monthly!$A:$A,"&gt;="&amp;$A133,monthly!$B:$B,"&lt;="&amp;$B133))</f>
        <v>1.9174880382775119</v>
      </c>
      <c r="X133">
        <f>IF(COUNTIFS(monthly!P:P,"",monthly!$A:$A,"&gt;="&amp;$A133,monthly!$B:$B,"&lt;="&amp;$B133)&gt;0,"NA",AVERAGEIFS(monthly!P:P,monthly!$A:$A,"&gt;="&amp;$A133,monthly!$B:$B,"&lt;="&amp;$B133))</f>
        <v>2.9541061646210385</v>
      </c>
      <c r="Y133">
        <f>IF(COUNTIFS(monthly!Q:Q,"",monthly!$A:$A,"&gt;="&amp;$A133,monthly!$B:$B,"&lt;="&amp;$B133)&gt;0,"NA",AVERAGEIFS(monthly!Q:Q,monthly!$A:$A,"&gt;="&amp;$A133,monthly!$B:$B,"&lt;="&amp;$B133))</f>
        <v>5.5793271221532086</v>
      </c>
      <c r="Z133">
        <f>IF(COUNTIFS(monthly!R:R,"",monthly!$A:$A,"&gt;="&amp;$A133,monthly!$B:$B,"&lt;="&amp;$B133)&gt;0,"NA",AVERAGEIFS(monthly!R:R,monthly!$A:$A,"&gt;="&amp;$A133,monthly!$B:$B,"&lt;="&amp;$B133))</f>
        <v>3.9946650717703349</v>
      </c>
      <c r="AA133">
        <f>IF(COUNTIFS(monthly!S:S,"",monthly!$A:$A,"&gt;="&amp;$A133,monthly!$B:$B,"&lt;="&amp;$B133)&gt;0,"NA",AVERAGEIFS(monthly!S:S,monthly!$A:$A,"&gt;="&amp;$A133,monthly!$B:$B,"&lt;="&amp;$B133))</f>
        <v>1.5846620503828734</v>
      </c>
      <c r="AB133">
        <f>IF(COUNTIFS(monthly!T:T,"",monthly!$A:$A,"&gt;="&amp;$A133,monthly!$B:$B,"&lt;="&amp;$B133)&gt;0,"NA",AVERAGEIFS(monthly!T:T,monthly!$A:$A,"&gt;="&amp;$A133,monthly!$B:$B,"&lt;="&amp;$B133))</f>
        <v>31.709021739130439</v>
      </c>
      <c r="AC133">
        <f>IF(COUNTIFS(monthly!U:U,"",monthly!$A:$A,"&gt;="&amp;$A133,monthly!$B:$B,"&lt;="&amp;$B133)&gt;0,"NA",AVERAGEIFS(monthly!U:U,monthly!$A:$A,"&gt;="&amp;$A133,monthly!$B:$B,"&lt;="&amp;$B133))</f>
        <v>120.11574577930895</v>
      </c>
      <c r="AD133">
        <f>IF(COUNTIFS(monthly!V:V,"",monthly!$A:$A,"&gt;="&amp;$A133,monthly!$B:$B,"&lt;="&amp;$B133)&gt;0,"NA",AVERAGEIFS(monthly!V:V,monthly!$A:$A,"&gt;="&amp;$A133,monthly!$B:$B,"&lt;="&amp;$B133))</f>
        <v>115.19783938784639</v>
      </c>
      <c r="AE133">
        <f>IF(COUNTIFS(monthly!W:W,"",monthly!$A:$A,"&gt;="&amp;$A133,monthly!$B:$B,"&lt;="&amp;$B133)&gt;0,"NA",AVERAGEIFS(monthly!W:W,monthly!$A:$A,"&gt;="&amp;$A133,monthly!$B:$B,"&lt;="&amp;$B133))</f>
        <v>165.57975769042969</v>
      </c>
      <c r="AF133">
        <f>IF(COUNTIFS(monthly!X:X,"",monthly!$A:$A,"&gt;="&amp;$A133,monthly!$B:$B,"&lt;="&amp;$B133)&gt;0,"NA",AVERAGEIFS(monthly!X:X,monthly!$A:$A,"&gt;="&amp;$A133,monthly!$B:$B,"&lt;="&amp;$B133))</f>
        <v>161.01978302001953</v>
      </c>
      <c r="AG133">
        <f>IF(COUNTIFS(monthly!Y:Y,"",monthly!$A:$A,"&gt;="&amp;$A133,monthly!$B:$B,"&lt;="&amp;$B133)&gt;0,"NA",AVERAGEIFS(monthly!Y:Y,monthly!$A:$A,"&gt;="&amp;$A133,monthly!$B:$B,"&lt;="&amp;$B133))</f>
        <v>188.23094940185547</v>
      </c>
      <c r="AH133">
        <f>IF(COUNTIFS(monthly!Z:Z,"",monthly!$A:$A,"&gt;="&amp;$A133,monthly!$B:$B,"&lt;="&amp;$B133)&gt;0,"NA",AVERAGEIFS(monthly!Z:Z,monthly!$A:$A,"&gt;="&amp;$A133,monthly!$B:$B,"&lt;="&amp;$B133))</f>
        <v>0.25665688514709473</v>
      </c>
    </row>
    <row r="134" spans="1:34" x14ac:dyDescent="0.2">
      <c r="A134" s="1">
        <v>37622</v>
      </c>
      <c r="B134" s="1">
        <v>37710</v>
      </c>
      <c r="C134">
        <f>IF(ISBLANK(VLOOKUP($A134,quarterly_data,MATCH(C$1,quarterly!$1:$1,FALSE),FALSE)),"NA",VLOOKUP($A134,quarterly_data,MATCH(C$1,quarterly!$1:$1,FALSE),FALSE))</f>
        <v>103.50049952485394</v>
      </c>
      <c r="D134">
        <f>IF(ISBLANK(VLOOKUP($A134,quarterly_data,MATCH(D$1,quarterly!$1:$1,FALSE),FALSE)),"NA",VLOOKUP($A134,quarterly_data,MATCH(D$1,quarterly!$1:$1,FALSE),FALSE))</f>
        <v>54.2</v>
      </c>
      <c r="E134">
        <f>IF(ISBLANK(VLOOKUP($A134,quarterly_data,MATCH(E$1,quarterly!$1:$1,FALSE),FALSE)),"NA",VLOOKUP($A134,quarterly_data,MATCH(E$1,quarterly!$1:$1,FALSE),FALSE))</f>
        <v>6.6706699999999994E-2</v>
      </c>
      <c r="F134">
        <f>IF(ISBLANK(VLOOKUP($A134,quarterly_data,MATCH(F$1,quarterly!$1:$1,FALSE),FALSE)),"NA",VLOOKUP($A134,quarterly_data,MATCH(F$1,quarterly!$1:$1,FALSE),FALSE))</f>
        <v>1.33413E-2</v>
      </c>
      <c r="G134">
        <f>IF(ISBLANK(VLOOKUP($A134,quarterly_data,MATCH(G$1,quarterly!$1:$1,FALSE),FALSE)),"NA",VLOOKUP($A134,quarterly_data,MATCH(G$1,quarterly!$1:$1,FALSE),FALSE))</f>
        <v>14614.141</v>
      </c>
      <c r="H134">
        <f>IF(ISBLANK(VLOOKUP($A134,quarterly_data,MATCH(H$1,quarterly!$1:$1,FALSE),FALSE)),"NA",VLOOKUP($A134,quarterly_data,MATCH(H$1,quarterly!$1:$1,FALSE),FALSE))</f>
        <v>384182</v>
      </c>
      <c r="I134">
        <f>IF(ISBLANK(VLOOKUP($A134,quarterly_data,MATCH(I$1,quarterly!$1:$1,FALSE),FALSE)),"NA",VLOOKUP($A134,quarterly_data,MATCH(I$1,quarterly!$1:$1,FALSE),FALSE))</f>
        <v>0.8</v>
      </c>
      <c r="J134">
        <f>IF(ISBLANK(VLOOKUP($A134,quarterly_data,MATCH(J$1,quarterly!$1:$1,FALSE),FALSE)),"NA",VLOOKUP($A134,quarterly_data,MATCH(J$1,quarterly!$1:$1,FALSE),FALSE))</f>
        <v>54.62</v>
      </c>
      <c r="K134">
        <f>IF(COUNTIFS(monthly!C:C,"",monthly!$A:$A,"&gt;="&amp;$A134,monthly!$B:$B,"&lt;="&amp;$B134)&gt;0,"NA",AVERAGEIFS(monthly!C:C,monthly!$A:$A,"&gt;="&amp;$A134,monthly!$B:$B,"&lt;="&amp;$B134))</f>
        <v>53.95</v>
      </c>
      <c r="L134">
        <f>IF(COUNTIFS(monthly!D:D,"",monthly!$A:$A,"&gt;="&amp;$A134,monthly!$B:$B,"&lt;="&amp;$B134)&gt;0,"NA",AVERAGEIFS(monthly!D:D,monthly!$A:$A,"&gt;="&amp;$A134,monthly!$B:$B,"&lt;="&amp;$B134))</f>
        <v>0.59689999999999999</v>
      </c>
      <c r="M134">
        <f>IF(COUNTIFS(monthly!E:E,"",monthly!$A:$A,"&gt;="&amp;$A134,monthly!$B:$B,"&lt;="&amp;$B134)&gt;0,"NA",AVERAGEIFS(monthly!E:E,monthly!$A:$A,"&gt;="&amp;$A134,monthly!$B:$B,"&lt;="&amp;$B134))</f>
        <v>32.334841571010749</v>
      </c>
      <c r="N134" t="str">
        <f>IF(COUNTIFS(monthly!F:F,"",monthly!$A:$A,"&gt;="&amp;$A134,monthly!$B:$B,"&lt;="&amp;$B134)&gt;0,"NA",AVERAGEIFS(monthly!F:F,monthly!$A:$A,"&gt;="&amp;$A134,monthly!$B:$B,"&lt;="&amp;$B134))</f>
        <v>NA</v>
      </c>
      <c r="O134">
        <f>IF(COUNTIFS(monthly!G:G,"",monthly!$A:$A,"&gt;="&amp;$A134,monthly!$B:$B,"&lt;="&amp;$B134)&gt;0,"NA",AVERAGEIFS(monthly!G:G,monthly!$A:$A,"&gt;="&amp;$A134,monthly!$B:$B,"&lt;="&amp;$B134))</f>
        <v>32</v>
      </c>
      <c r="P134">
        <f>IF(COUNTIFS(monthly!H:H,"",monthly!$A:$A,"&gt;="&amp;$A134,monthly!$B:$B,"&lt;="&amp;$B134)&gt;0,"NA",AVERAGEIFS(monthly!H:H,monthly!$A:$A,"&gt;="&amp;$A134,monthly!$B:$B,"&lt;="&amp;$B134))</f>
        <v>25.049999999999997</v>
      </c>
      <c r="Q134">
        <f>IF(COUNTIFS(monthly!I:I,"",monthly!$A:$A,"&gt;="&amp;$A134,monthly!$B:$B,"&lt;="&amp;$B134)&gt;0,"NA",AVERAGEIFS(monthly!I:I,monthly!$A:$A,"&gt;="&amp;$A134,monthly!$B:$B,"&lt;="&amp;$B134))</f>
        <v>31.9</v>
      </c>
      <c r="R134">
        <f>IF(COUNTIFS(monthly!J:J,"",monthly!$A:$A,"&gt;="&amp;$A134,monthly!$B:$B,"&lt;="&amp;$B134)&gt;0,"NA",AVERAGEIFS(monthly!J:J,monthly!$A:$A,"&gt;="&amp;$A134,monthly!$B:$B,"&lt;="&amp;$B134))</f>
        <v>4.7450000000000001</v>
      </c>
      <c r="S134">
        <f>IF(COUNTIFS(monthly!K:K,"",monthly!$A:$A,"&gt;="&amp;$A134,monthly!$B:$B,"&lt;="&amp;$B134)&gt;0,"NA",AVERAGEIFS(monthly!K:K,monthly!$A:$A,"&gt;="&amp;$A134,monthly!$B:$B,"&lt;="&amp;$B134))</f>
        <v>4.75</v>
      </c>
      <c r="T134">
        <f>IF(COUNTIFS(monthly!L:L,"",monthly!$A:$A,"&gt;="&amp;$A134,monthly!$B:$B,"&lt;="&amp;$B134)&gt;0,"NA",AVERAGEIFS(monthly!L:L,monthly!$A:$A,"&gt;="&amp;$A134,monthly!$B:$B,"&lt;="&amp;$B134))</f>
        <v>1.2486520737327189</v>
      </c>
      <c r="U134">
        <f>IF(COUNTIFS(monthly!M:M,"",monthly!$A:$A,"&gt;="&amp;$A134,monthly!$B:$B,"&lt;="&amp;$B134)&gt;0,"NA",AVERAGEIFS(monthly!M:M,monthly!$A:$A,"&gt;="&amp;$A134,monthly!$B:$B,"&lt;="&amp;$B134))</f>
        <v>3.5013479262672811</v>
      </c>
      <c r="V134">
        <f>IF(COUNTIFS(monthly!N:N,"",monthly!$A:$A,"&gt;="&amp;$A134,monthly!$B:$B,"&lt;="&amp;$B134)&gt;0,"NA",AVERAGEIFS(monthly!N:N,monthly!$A:$A,"&gt;="&amp;$A134,monthly!$B:$B,"&lt;="&amp;$B134))</f>
        <v>4.5603452380952376</v>
      </c>
      <c r="W134">
        <f>IF(COUNTIFS(monthly!O:O,"",monthly!$A:$A,"&gt;="&amp;$A134,monthly!$B:$B,"&lt;="&amp;$B134)&gt;0,"NA",AVERAGEIFS(monthly!O:O,monthly!$A:$A,"&gt;="&amp;$A134,monthly!$B:$B,"&lt;="&amp;$B134))</f>
        <v>1.6856140350877193</v>
      </c>
      <c r="X134">
        <f>IF(COUNTIFS(monthly!P:P,"",monthly!$A:$A,"&gt;="&amp;$A134,monthly!$B:$B,"&lt;="&amp;$B134)&gt;0,"NA",AVERAGEIFS(monthly!P:P,monthly!$A:$A,"&gt;="&amp;$A134,monthly!$B:$B,"&lt;="&amp;$B134))</f>
        <v>2.8747312030075185</v>
      </c>
      <c r="Y134">
        <f>IF(COUNTIFS(monthly!Q:Q,"",monthly!$A:$A,"&gt;="&amp;$A134,monthly!$B:$B,"&lt;="&amp;$B134)&gt;0,"NA",AVERAGEIFS(monthly!Q:Q,monthly!$A:$A,"&gt;="&amp;$A134,monthly!$B:$B,"&lt;="&amp;$B134))</f>
        <v>5.2213750000000001</v>
      </c>
      <c r="Z134">
        <f>IF(COUNTIFS(monthly!R:R,"",monthly!$A:$A,"&gt;="&amp;$A134,monthly!$B:$B,"&lt;="&amp;$B134)&gt;0,"NA",AVERAGEIFS(monthly!R:R,monthly!$A:$A,"&gt;="&amp;$A134,monthly!$B:$B,"&lt;="&amp;$B134))</f>
        <v>3.9756015037593984</v>
      </c>
      <c r="AA134">
        <f>IF(COUNTIFS(monthly!S:S,"",monthly!$A:$A,"&gt;="&amp;$A134,monthly!$B:$B,"&lt;="&amp;$B134)&gt;0,"NA",AVERAGEIFS(monthly!S:S,monthly!$A:$A,"&gt;="&amp;$A134,monthly!$B:$B,"&lt;="&amp;$B134))</f>
        <v>1.2457734962406022</v>
      </c>
      <c r="AB134">
        <f>IF(COUNTIFS(monthly!T:T,"",monthly!$A:$A,"&gt;="&amp;$A134,monthly!$B:$B,"&lt;="&amp;$B134)&gt;0,"NA",AVERAGEIFS(monthly!T:T,monthly!$A:$A,"&gt;="&amp;$A134,monthly!$B:$B,"&lt;="&amp;$B134))</f>
        <v>29.82135338345865</v>
      </c>
      <c r="AC134">
        <f>IF(COUNTIFS(monthly!U:U,"",monthly!$A:$A,"&gt;="&amp;$A134,monthly!$B:$B,"&lt;="&amp;$B134)&gt;0,"NA",AVERAGEIFS(monthly!U:U,monthly!$A:$A,"&gt;="&amp;$A134,monthly!$B:$B,"&lt;="&amp;$B134))</f>
        <v>136.09015387902718</v>
      </c>
      <c r="AD134">
        <f>IF(COUNTIFS(monthly!V:V,"",monthly!$A:$A,"&gt;="&amp;$A134,monthly!$B:$B,"&lt;="&amp;$B134)&gt;0,"NA",AVERAGEIFS(monthly!V:V,monthly!$A:$A,"&gt;="&amp;$A134,monthly!$B:$B,"&lt;="&amp;$B134))</f>
        <v>175.01326098647442</v>
      </c>
      <c r="AE134">
        <f>IF(COUNTIFS(monthly!W:W,"",monthly!$A:$A,"&gt;="&amp;$A134,monthly!$B:$B,"&lt;="&amp;$B134)&gt;0,"NA",AVERAGEIFS(monthly!W:W,monthly!$A:$A,"&gt;="&amp;$A134,monthly!$B:$B,"&lt;="&amp;$B134))</f>
        <v>223.02276611328125</v>
      </c>
      <c r="AF134">
        <f>IF(COUNTIFS(monthly!X:X,"",monthly!$A:$A,"&gt;="&amp;$A134,monthly!$B:$B,"&lt;="&amp;$B134)&gt;0,"NA",AVERAGEIFS(monthly!X:X,monthly!$A:$A,"&gt;="&amp;$A134,monthly!$B:$B,"&lt;="&amp;$B134))</f>
        <v>271.28867340087891</v>
      </c>
      <c r="AG134">
        <f>IF(COUNTIFS(monthly!Y:Y,"",monthly!$A:$A,"&gt;="&amp;$A134,monthly!$B:$B,"&lt;="&amp;$B134)&gt;0,"NA",AVERAGEIFS(monthly!Y:Y,monthly!$A:$A,"&gt;="&amp;$A134,monthly!$B:$B,"&lt;="&amp;$B134))</f>
        <v>195.02008819580078</v>
      </c>
      <c r="AH134">
        <f>IF(COUNTIFS(monthly!Z:Z,"",monthly!$A:$A,"&gt;="&amp;$A134,monthly!$B:$B,"&lt;="&amp;$B134)&gt;0,"NA",AVERAGEIFS(monthly!Z:Z,monthly!$A:$A,"&gt;="&amp;$A134,monthly!$B:$B,"&lt;="&amp;$B134))</f>
        <v>0.23748616874217987</v>
      </c>
    </row>
    <row r="135" spans="1:34" x14ac:dyDescent="0.2">
      <c r="A135" s="1">
        <v>37712</v>
      </c>
      <c r="B135" s="1">
        <v>37802</v>
      </c>
      <c r="C135">
        <f>IF(ISBLANK(VLOOKUP($A135,quarterly_data,MATCH(C$1,quarterly!$1:$1,FALSE),FALSE)),"NA",VLOOKUP($A135,quarterly_data,MATCH(C$1,quarterly!$1:$1,FALSE),FALSE))</f>
        <v>110.36655951331274</v>
      </c>
      <c r="D135">
        <f>IF(ISBLANK(VLOOKUP($A135,quarterly_data,MATCH(D$1,quarterly!$1:$1,FALSE),FALSE)),"NA",VLOOKUP($A135,quarterly_data,MATCH(D$1,quarterly!$1:$1,FALSE),FALSE))</f>
        <v>54.4</v>
      </c>
      <c r="E135">
        <f>IF(ISBLANK(VLOOKUP($A135,quarterly_data,MATCH(E$1,quarterly!$1:$1,FALSE),FALSE)),"NA",VLOOKUP($A135,quarterly_data,MATCH(E$1,quarterly!$1:$1,FALSE),FALSE))</f>
        <v>0.6095083</v>
      </c>
      <c r="F135">
        <f>IF(ISBLANK(VLOOKUP($A135,quarterly_data,MATCH(F$1,quarterly!$1:$1,FALSE),FALSE)),"NA",VLOOKUP($A135,quarterly_data,MATCH(F$1,quarterly!$1:$1,FALSE),FALSE))</f>
        <v>0.1285723</v>
      </c>
      <c r="G135">
        <f>IF(ISBLANK(VLOOKUP($A135,quarterly_data,MATCH(G$1,quarterly!$1:$1,FALSE),FALSE)),"NA",VLOOKUP($A135,quarterly_data,MATCH(G$1,quarterly!$1:$1,FALSE),FALSE))</f>
        <v>14743.566999999999</v>
      </c>
      <c r="H135">
        <f>IF(ISBLANK(VLOOKUP($A135,quarterly_data,MATCH(H$1,quarterly!$1:$1,FALSE),FALSE)),"NA",VLOOKUP($A135,quarterly_data,MATCH(H$1,quarterly!$1:$1,FALSE),FALSE))</f>
        <v>385753</v>
      </c>
      <c r="I135">
        <f>IF(ISBLANK(VLOOKUP($A135,quarterly_data,MATCH(I$1,quarterly!$1:$1,FALSE),FALSE)),"NA",VLOOKUP($A135,quarterly_data,MATCH(I$1,quarterly!$1:$1,FALSE),FALSE))</f>
        <v>0.5</v>
      </c>
      <c r="J135">
        <f>IF(ISBLANK(VLOOKUP($A135,quarterly_data,MATCH(J$1,quarterly!$1:$1,FALSE),FALSE)),"NA",VLOOKUP($A135,quarterly_data,MATCH(J$1,quarterly!$1:$1,FALSE),FALSE))</f>
        <v>54.62</v>
      </c>
      <c r="K135">
        <f>IF(COUNTIFS(monthly!C:C,"",monthly!$A:$A,"&gt;="&amp;$A135,monthly!$B:$B,"&lt;="&amp;$B135)&gt;0,"NA",AVERAGEIFS(monthly!C:C,monthly!$A:$A,"&gt;="&amp;$A135,monthly!$B:$B,"&lt;="&amp;$B135))</f>
        <v>57.733333333333341</v>
      </c>
      <c r="L135">
        <f>IF(COUNTIFS(monthly!D:D,"",monthly!$A:$A,"&gt;="&amp;$A135,monthly!$B:$B,"&lt;="&amp;$B135)&gt;0,"NA",AVERAGEIFS(monthly!D:D,monthly!$A:$A,"&gt;="&amp;$A135,monthly!$B:$B,"&lt;="&amp;$B135))</f>
        <v>0.64753333333333329</v>
      </c>
      <c r="M135">
        <f>IF(COUNTIFS(monthly!E:E,"",monthly!$A:$A,"&gt;="&amp;$A135,monthly!$B:$B,"&lt;="&amp;$B135)&gt;0,"NA",AVERAGEIFS(monthly!E:E,monthly!$A:$A,"&gt;="&amp;$A135,monthly!$B:$B,"&lt;="&amp;$B135))</f>
        <v>30.597397954217996</v>
      </c>
      <c r="N135" t="str">
        <f>IF(COUNTIFS(monthly!F:F,"",monthly!$A:$A,"&gt;="&amp;$A135,monthly!$B:$B,"&lt;="&amp;$B135)&gt;0,"NA",AVERAGEIFS(monthly!F:F,monthly!$A:$A,"&gt;="&amp;$A135,monthly!$B:$B,"&lt;="&amp;$B135))</f>
        <v>NA</v>
      </c>
      <c r="O135">
        <f>IF(COUNTIFS(monthly!G:G,"",monthly!$A:$A,"&gt;="&amp;$A135,monthly!$B:$B,"&lt;="&amp;$B135)&gt;0,"NA",AVERAGEIFS(monthly!G:G,monthly!$A:$A,"&gt;="&amp;$A135,monthly!$B:$B,"&lt;="&amp;$B135))</f>
        <v>32</v>
      </c>
      <c r="P135">
        <f>IF(COUNTIFS(monthly!H:H,"",monthly!$A:$A,"&gt;="&amp;$A135,monthly!$B:$B,"&lt;="&amp;$B135)&gt;0,"NA",AVERAGEIFS(monthly!H:H,monthly!$A:$A,"&gt;="&amp;$A135,monthly!$B:$B,"&lt;="&amp;$B135))</f>
        <v>23.633333333333336</v>
      </c>
      <c r="Q135">
        <f>IF(COUNTIFS(monthly!I:I,"",monthly!$A:$A,"&gt;="&amp;$A135,monthly!$B:$B,"&lt;="&amp;$B135)&gt;0,"NA",AVERAGEIFS(monthly!I:I,monthly!$A:$A,"&gt;="&amp;$A135,monthly!$B:$B,"&lt;="&amp;$B135))</f>
        <v>26.099999999999998</v>
      </c>
      <c r="R135">
        <f>IF(COUNTIFS(monthly!J:J,"",monthly!$A:$A,"&gt;="&amp;$A135,monthly!$B:$B,"&lt;="&amp;$B135)&gt;0,"NA",AVERAGEIFS(monthly!J:J,monthly!$A:$A,"&gt;="&amp;$A135,monthly!$B:$B,"&lt;="&amp;$B135))</f>
        <v>4.7633333333333328</v>
      </c>
      <c r="S135">
        <f>IF(COUNTIFS(monthly!K:K,"",monthly!$A:$A,"&gt;="&amp;$A135,monthly!$B:$B,"&lt;="&amp;$B135)&gt;0,"NA",AVERAGEIFS(monthly!K:K,monthly!$A:$A,"&gt;="&amp;$A135,monthly!$B:$B,"&lt;="&amp;$B135))</f>
        <v>4.75</v>
      </c>
      <c r="T135">
        <f>IF(COUNTIFS(monthly!L:L,"",monthly!$A:$A,"&gt;="&amp;$A135,monthly!$B:$B,"&lt;="&amp;$B135)&gt;0,"NA",AVERAGEIFS(monthly!L:L,monthly!$A:$A,"&gt;="&amp;$A135,monthly!$B:$B,"&lt;="&amp;$B135))</f>
        <v>1.2465663082437277</v>
      </c>
      <c r="U135">
        <f>IF(COUNTIFS(monthly!M:M,"",monthly!$A:$A,"&gt;="&amp;$A135,monthly!$B:$B,"&lt;="&amp;$B135)&gt;0,"NA",AVERAGEIFS(monthly!M:M,monthly!$A:$A,"&gt;="&amp;$A135,monthly!$B:$B,"&lt;="&amp;$B135))</f>
        <v>3.5034336917562725</v>
      </c>
      <c r="V135">
        <f>IF(COUNTIFS(monthly!N:N,"",monthly!$A:$A,"&gt;="&amp;$A135,monthly!$B:$B,"&lt;="&amp;$B135)&gt;0,"NA",AVERAGEIFS(monthly!N:N,monthly!$A:$A,"&gt;="&amp;$A135,monthly!$B:$B,"&lt;="&amp;$B135))</f>
        <v>4.439256778309411</v>
      </c>
      <c r="W135">
        <f>IF(COUNTIFS(monthly!O:O,"",monthly!$A:$A,"&gt;="&amp;$A135,monthly!$B:$B,"&lt;="&amp;$B135)&gt;0,"NA",AVERAGEIFS(monthly!O:O,monthly!$A:$A,"&gt;="&amp;$A135,monthly!$B:$B,"&lt;="&amp;$B135))</f>
        <v>1.4215873015873015</v>
      </c>
      <c r="X135">
        <f>IF(COUNTIFS(monthly!P:P,"",monthly!$A:$A,"&gt;="&amp;$A135,monthly!$B:$B,"&lt;="&amp;$B135)&gt;0,"NA",AVERAGEIFS(monthly!P:P,monthly!$A:$A,"&gt;="&amp;$A135,monthly!$B:$B,"&lt;="&amp;$B135))</f>
        <v>3.0176694767221091</v>
      </c>
      <c r="Y135">
        <f>IF(COUNTIFS(monthly!Q:Q,"",monthly!$A:$A,"&gt;="&amp;$A135,monthly!$B:$B,"&lt;="&amp;$B135)&gt;0,"NA",AVERAGEIFS(monthly!Q:Q,monthly!$A:$A,"&gt;="&amp;$A135,monthly!$B:$B,"&lt;="&amp;$B135))</f>
        <v>5.058994816586921</v>
      </c>
      <c r="Z135">
        <f>IF(COUNTIFS(monthly!R:R,"",monthly!$A:$A,"&gt;="&amp;$A135,monthly!$B:$B,"&lt;="&amp;$B135)&gt;0,"NA",AVERAGEIFS(monthly!R:R,monthly!$A:$A,"&gt;="&amp;$A135,monthly!$B:$B,"&lt;="&amp;$B135))</f>
        <v>3.6206349206349207</v>
      </c>
      <c r="AA135">
        <f>IF(COUNTIFS(monthly!S:S,"",monthly!$A:$A,"&gt;="&amp;$A135,monthly!$B:$B,"&lt;="&amp;$B135)&gt;0,"NA",AVERAGEIFS(monthly!S:S,monthly!$A:$A,"&gt;="&amp;$A135,monthly!$B:$B,"&lt;="&amp;$B135))</f>
        <v>1.4383598959520001</v>
      </c>
      <c r="AB135">
        <f>IF(COUNTIFS(monthly!T:T,"",monthly!$A:$A,"&gt;="&amp;$A135,monthly!$B:$B,"&lt;="&amp;$B135)&gt;0,"NA",AVERAGEIFS(monthly!T:T,monthly!$A:$A,"&gt;="&amp;$A135,monthly!$B:$B,"&lt;="&amp;$B135))</f>
        <v>21.531269841269836</v>
      </c>
      <c r="AC135">
        <f>IF(COUNTIFS(monthly!U:U,"",monthly!$A:$A,"&gt;="&amp;$A135,monthly!$B:$B,"&lt;="&amp;$B135)&gt;0,"NA",AVERAGEIFS(monthly!U:U,monthly!$A:$A,"&gt;="&amp;$A135,monthly!$B:$B,"&lt;="&amp;$B135))</f>
        <v>111.04191108461477</v>
      </c>
      <c r="AD135">
        <f>IF(COUNTIFS(monthly!V:V,"",monthly!$A:$A,"&gt;="&amp;$A135,monthly!$B:$B,"&lt;="&amp;$B135)&gt;0,"NA",AVERAGEIFS(monthly!V:V,monthly!$A:$A,"&gt;="&amp;$A135,monthly!$B:$B,"&lt;="&amp;$B135))</f>
        <v>136.36626978862398</v>
      </c>
      <c r="AE135">
        <f>IF(COUNTIFS(monthly!W:W,"",monthly!$A:$A,"&gt;="&amp;$A135,monthly!$B:$B,"&lt;="&amp;$B135)&gt;0,"NA",AVERAGEIFS(monthly!W:W,monthly!$A:$A,"&gt;="&amp;$A135,monthly!$B:$B,"&lt;="&amp;$B135))</f>
        <v>187.88892618815103</v>
      </c>
      <c r="AF135">
        <f>IF(COUNTIFS(monthly!X:X,"",monthly!$A:$A,"&gt;="&amp;$A135,monthly!$B:$B,"&lt;="&amp;$B135)&gt;0,"NA",AVERAGEIFS(monthly!X:X,monthly!$A:$A,"&gt;="&amp;$A135,monthly!$B:$B,"&lt;="&amp;$B135))</f>
        <v>164.61175791422525</v>
      </c>
      <c r="AG135">
        <f>IF(COUNTIFS(monthly!Y:Y,"",monthly!$A:$A,"&gt;="&amp;$A135,monthly!$B:$B,"&lt;="&amp;$B135)&gt;0,"NA",AVERAGEIFS(monthly!Y:Y,monthly!$A:$A,"&gt;="&amp;$A135,monthly!$B:$B,"&lt;="&amp;$B135))</f>
        <v>231.78929138183594</v>
      </c>
      <c r="AH135">
        <f>IF(COUNTIFS(monthly!Z:Z,"",monthly!$A:$A,"&gt;="&amp;$A135,monthly!$B:$B,"&lt;="&amp;$B135)&gt;0,"NA",AVERAGEIFS(monthly!Z:Z,monthly!$A:$A,"&gt;="&amp;$A135,monthly!$B:$B,"&lt;="&amp;$B135))</f>
        <v>0.1973424106836319</v>
      </c>
    </row>
    <row r="136" spans="1:34" x14ac:dyDescent="0.2">
      <c r="A136" s="1">
        <v>37803</v>
      </c>
      <c r="B136" s="1">
        <v>37894</v>
      </c>
      <c r="C136">
        <f>IF(ISBLANK(VLOOKUP($A136,quarterly_data,MATCH(C$1,quarterly!$1:$1,FALSE),FALSE)),"NA",VLOOKUP($A136,quarterly_data,MATCH(C$1,quarterly!$1:$1,FALSE),FALSE))</f>
        <v>113.39816737053383</v>
      </c>
      <c r="D136">
        <f>IF(ISBLANK(VLOOKUP($A136,quarterly_data,MATCH(D$1,quarterly!$1:$1,FALSE),FALSE)),"NA",VLOOKUP($A136,quarterly_data,MATCH(D$1,quarterly!$1:$1,FALSE),FALSE))</f>
        <v>55.4</v>
      </c>
      <c r="E136">
        <f>IF(ISBLANK(VLOOKUP($A136,quarterly_data,MATCH(E$1,quarterly!$1:$1,FALSE),FALSE)),"NA",VLOOKUP($A136,quarterly_data,MATCH(E$1,quarterly!$1:$1,FALSE),FALSE))</f>
        <v>0.4144505</v>
      </c>
      <c r="F136">
        <f>IF(ISBLANK(VLOOKUP($A136,quarterly_data,MATCH(F$1,quarterly!$1:$1,FALSE),FALSE)),"NA",VLOOKUP($A136,quarterly_data,MATCH(F$1,quarterly!$1:$1,FALSE),FALSE))</f>
        <v>0.14606450000000001</v>
      </c>
      <c r="G136">
        <f>IF(ISBLANK(VLOOKUP($A136,quarterly_data,MATCH(G$1,quarterly!$1:$1,FALSE),FALSE)),"NA",VLOOKUP($A136,quarterly_data,MATCH(G$1,quarterly!$1:$1,FALSE),FALSE))</f>
        <v>14988.781999999999</v>
      </c>
      <c r="H136">
        <f>IF(ISBLANK(VLOOKUP($A136,quarterly_data,MATCH(H$1,quarterly!$1:$1,FALSE),FALSE)),"NA",VLOOKUP($A136,quarterly_data,MATCH(H$1,quarterly!$1:$1,FALSE),FALSE))</f>
        <v>392261</v>
      </c>
      <c r="I136">
        <f>IF(ISBLANK(VLOOKUP($A136,quarterly_data,MATCH(I$1,quarterly!$1:$1,FALSE),FALSE)),"NA",VLOOKUP($A136,quarterly_data,MATCH(I$1,quarterly!$1:$1,FALSE),FALSE))</f>
        <v>0.7</v>
      </c>
      <c r="J136">
        <f>IF(ISBLANK(VLOOKUP($A136,quarterly_data,MATCH(J$1,quarterly!$1:$1,FALSE),FALSE)),"NA",VLOOKUP($A136,quarterly_data,MATCH(J$1,quarterly!$1:$1,FALSE),FALSE))</f>
        <v>54.93</v>
      </c>
      <c r="K136">
        <f>IF(COUNTIFS(monthly!C:C,"",monthly!$A:$A,"&gt;="&amp;$A136,monthly!$B:$B,"&lt;="&amp;$B136)&gt;0,"NA",AVERAGEIFS(monthly!C:C,monthly!$A:$A,"&gt;="&amp;$A136,monthly!$B:$B,"&lt;="&amp;$B136))</f>
        <v>58.233333333333327</v>
      </c>
      <c r="L136">
        <f>IF(COUNTIFS(monthly!D:D,"",monthly!$A:$A,"&gt;="&amp;$A136,monthly!$B:$B,"&lt;="&amp;$B136)&gt;0,"NA",AVERAGEIFS(monthly!D:D,monthly!$A:$A,"&gt;="&amp;$A136,monthly!$B:$B,"&lt;="&amp;$B136))</f>
        <v>0.65766666666666662</v>
      </c>
      <c r="M136">
        <f>IF(COUNTIFS(monthly!E:E,"",monthly!$A:$A,"&gt;="&amp;$A136,monthly!$B:$B,"&lt;="&amp;$B136)&gt;0,"NA",AVERAGEIFS(monthly!E:E,monthly!$A:$A,"&gt;="&amp;$A136,monthly!$B:$B,"&lt;="&amp;$B136))</f>
        <v>31.549553013647436</v>
      </c>
      <c r="N136" t="str">
        <f>IF(COUNTIFS(monthly!F:F,"",monthly!$A:$A,"&gt;="&amp;$A136,monthly!$B:$B,"&lt;="&amp;$B136)&gt;0,"NA",AVERAGEIFS(monthly!F:F,monthly!$A:$A,"&gt;="&amp;$A136,monthly!$B:$B,"&lt;="&amp;$B136))</f>
        <v>NA</v>
      </c>
      <c r="O136">
        <f>IF(COUNTIFS(monthly!G:G,"",monthly!$A:$A,"&gt;="&amp;$A136,monthly!$B:$B,"&lt;="&amp;$B136)&gt;0,"NA",AVERAGEIFS(monthly!G:G,monthly!$A:$A,"&gt;="&amp;$A136,monthly!$B:$B,"&lt;="&amp;$B136))</f>
        <v>32</v>
      </c>
      <c r="P136">
        <f>IF(COUNTIFS(monthly!H:H,"",monthly!$A:$A,"&gt;="&amp;$A136,monthly!$B:$B,"&lt;="&amp;$B136)&gt;0,"NA",AVERAGEIFS(monthly!H:H,monthly!$A:$A,"&gt;="&amp;$A136,monthly!$B:$B,"&lt;="&amp;$B136))</f>
        <v>25.466666666666669</v>
      </c>
      <c r="Q136">
        <f>IF(COUNTIFS(monthly!I:I,"",monthly!$A:$A,"&gt;="&amp;$A136,monthly!$B:$B,"&lt;="&amp;$B136)&gt;0,"NA",AVERAGEIFS(monthly!I:I,monthly!$A:$A,"&gt;="&amp;$A136,monthly!$B:$B,"&lt;="&amp;$B136))</f>
        <v>28.433333333333337</v>
      </c>
      <c r="R136">
        <f>IF(COUNTIFS(monthly!J:J,"",monthly!$A:$A,"&gt;="&amp;$A136,monthly!$B:$B,"&lt;="&amp;$B136)&gt;0,"NA",AVERAGEIFS(monthly!J:J,monthly!$A:$A,"&gt;="&amp;$A136,monthly!$B:$B,"&lt;="&amp;$B136))</f>
        <v>4.706666666666667</v>
      </c>
      <c r="S136">
        <f>IF(COUNTIFS(monthly!K:K,"",monthly!$A:$A,"&gt;="&amp;$A136,monthly!$B:$B,"&lt;="&amp;$B136)&gt;0,"NA",AVERAGEIFS(monthly!K:K,monthly!$A:$A,"&gt;="&amp;$A136,monthly!$B:$B,"&lt;="&amp;$B136))</f>
        <v>4.75</v>
      </c>
      <c r="T136">
        <f>IF(COUNTIFS(monthly!L:L,"",monthly!$A:$A,"&gt;="&amp;$A136,monthly!$B:$B,"&lt;="&amp;$B136)&gt;0,"NA",AVERAGEIFS(monthly!L:L,monthly!$A:$A,"&gt;="&amp;$A136,monthly!$B:$B,"&lt;="&amp;$B136))</f>
        <v>1.0167741935483869</v>
      </c>
      <c r="U136">
        <f>IF(COUNTIFS(monthly!M:M,"",monthly!$A:$A,"&gt;="&amp;$A136,monthly!$B:$B,"&lt;="&amp;$B136)&gt;0,"NA",AVERAGEIFS(monthly!M:M,monthly!$A:$A,"&gt;="&amp;$A136,monthly!$B:$B,"&lt;="&amp;$B136))</f>
        <v>3.7332258064516126</v>
      </c>
      <c r="V136">
        <f>IF(COUNTIFS(monthly!N:N,"",monthly!$A:$A,"&gt;="&amp;$A136,monthly!$B:$B,"&lt;="&amp;$B136)&gt;0,"NA",AVERAGEIFS(monthly!N:N,monthly!$A:$A,"&gt;="&amp;$A136,monthly!$B:$B,"&lt;="&amp;$B136))</f>
        <v>4.8148502101762984</v>
      </c>
      <c r="W136">
        <f>IF(COUNTIFS(monthly!O:O,"",monthly!$A:$A,"&gt;="&amp;$A136,monthly!$B:$B,"&lt;="&amp;$B136)&gt;0,"NA",AVERAGEIFS(monthly!O:O,monthly!$A:$A,"&gt;="&amp;$A136,monthly!$B:$B,"&lt;="&amp;$B136))</f>
        <v>1.6815223665223664</v>
      </c>
      <c r="X136">
        <f>IF(COUNTIFS(monthly!P:P,"",monthly!$A:$A,"&gt;="&amp;$A136,monthly!$B:$B,"&lt;="&amp;$B136)&gt;0,"NA",AVERAGEIFS(monthly!P:P,monthly!$A:$A,"&gt;="&amp;$A136,monthly!$B:$B,"&lt;="&amp;$B136))</f>
        <v>3.1333278436539316</v>
      </c>
      <c r="Y136">
        <f>IF(COUNTIFS(monthly!Q:Q,"",monthly!$A:$A,"&gt;="&amp;$A136,monthly!$B:$B,"&lt;="&amp;$B136)&gt;0,"NA",AVERAGEIFS(monthly!Q:Q,monthly!$A:$A,"&gt;="&amp;$A136,monthly!$B:$B,"&lt;="&amp;$B136))</f>
        <v>5.4232760838195624</v>
      </c>
      <c r="Z136">
        <f>IF(COUNTIFS(monthly!R:R,"",monthly!$A:$A,"&gt;="&amp;$A136,monthly!$B:$B,"&lt;="&amp;$B136)&gt;0,"NA",AVERAGEIFS(monthly!R:R,monthly!$A:$A,"&gt;="&amp;$A136,monthly!$B:$B,"&lt;="&amp;$B136))</f>
        <v>4.2316594516594526</v>
      </c>
      <c r="AA136">
        <f>IF(COUNTIFS(monthly!S:S,"",monthly!$A:$A,"&gt;="&amp;$A136,monthly!$B:$B,"&lt;="&amp;$B136)&gt;0,"NA",AVERAGEIFS(monthly!S:S,monthly!$A:$A,"&gt;="&amp;$A136,monthly!$B:$B,"&lt;="&amp;$B136))</f>
        <v>1.1916166321601103</v>
      </c>
      <c r="AB136">
        <f>IF(COUNTIFS(monthly!T:T,"",monthly!$A:$A,"&gt;="&amp;$A136,monthly!$B:$B,"&lt;="&amp;$B136)&gt;0,"NA",AVERAGEIFS(monthly!T:T,monthly!$A:$A,"&gt;="&amp;$A136,monthly!$B:$B,"&lt;="&amp;$B136))</f>
        <v>19.322676767676771</v>
      </c>
      <c r="AC136">
        <f>IF(COUNTIFS(monthly!U:U,"",monthly!$A:$A,"&gt;="&amp;$A136,monthly!$B:$B,"&lt;="&amp;$B136)&gt;0,"NA",AVERAGEIFS(monthly!U:U,monthly!$A:$A,"&gt;="&amp;$A136,monthly!$B:$B,"&lt;="&amp;$B136))</f>
        <v>77.543434539841485</v>
      </c>
      <c r="AD136">
        <f>IF(COUNTIFS(monthly!V:V,"",monthly!$A:$A,"&gt;="&amp;$A136,monthly!$B:$B,"&lt;="&amp;$B136)&gt;0,"NA",AVERAGEIFS(monthly!V:V,monthly!$A:$A,"&gt;="&amp;$A136,monthly!$B:$B,"&lt;="&amp;$B136))</f>
        <v>49.708334471098503</v>
      </c>
      <c r="AE136">
        <f>IF(COUNTIFS(monthly!W:W,"",monthly!$A:$A,"&gt;="&amp;$A136,monthly!$B:$B,"&lt;="&amp;$B136)&gt;0,"NA",AVERAGEIFS(monthly!W:W,monthly!$A:$A,"&gt;="&amp;$A136,monthly!$B:$B,"&lt;="&amp;$B136))</f>
        <v>130.44203948974609</v>
      </c>
      <c r="AF136">
        <f>IF(COUNTIFS(monthly!X:X,"",monthly!$A:$A,"&gt;="&amp;$A136,monthly!$B:$B,"&lt;="&amp;$B136)&gt;0,"NA",AVERAGEIFS(monthly!X:X,monthly!$A:$A,"&gt;="&amp;$A136,monthly!$B:$B,"&lt;="&amp;$B136))</f>
        <v>105.92077382405598</v>
      </c>
      <c r="AG136">
        <f>IF(COUNTIFS(monthly!Y:Y,"",monthly!$A:$A,"&gt;="&amp;$A136,monthly!$B:$B,"&lt;="&amp;$B136)&gt;0,"NA",AVERAGEIFS(monthly!Y:Y,monthly!$A:$A,"&gt;="&amp;$A136,monthly!$B:$B,"&lt;="&amp;$B136))</f>
        <v>163.66865030924478</v>
      </c>
      <c r="AH136">
        <f>IF(COUNTIFS(monthly!Z:Z,"",monthly!$A:$A,"&gt;="&amp;$A136,monthly!$B:$B,"&lt;="&amp;$B136)&gt;0,"NA",AVERAGEIFS(monthly!Z:Z,monthly!$A:$A,"&gt;="&amp;$A136,monthly!$B:$B,"&lt;="&amp;$B136))</f>
        <v>0.12447772423426311</v>
      </c>
    </row>
    <row r="137" spans="1:34" x14ac:dyDescent="0.2">
      <c r="A137" s="1">
        <v>37895</v>
      </c>
      <c r="B137" s="1">
        <v>37985</v>
      </c>
      <c r="C137">
        <f>IF(ISBLANK(VLOOKUP($A137,quarterly_data,MATCH(C$1,quarterly!$1:$1,FALSE),FALSE)),"NA",VLOOKUP($A137,quarterly_data,MATCH(C$1,quarterly!$1:$1,FALSE),FALSE))</f>
        <v>119.91296647890061</v>
      </c>
      <c r="D137">
        <f>IF(ISBLANK(VLOOKUP($A137,quarterly_data,MATCH(D$1,quarterly!$1:$1,FALSE),FALSE)),"NA",VLOOKUP($A137,quarterly_data,MATCH(D$1,quarterly!$1:$1,FALSE),FALSE))</f>
        <v>56.6</v>
      </c>
      <c r="E137">
        <f>IF(ISBLANK(VLOOKUP($A137,quarterly_data,MATCH(E$1,quarterly!$1:$1,FALSE),FALSE)),"NA",VLOOKUP($A137,quarterly_data,MATCH(E$1,quarterly!$1:$1,FALSE),FALSE))</f>
        <v>0.142288</v>
      </c>
      <c r="F137">
        <f>IF(ISBLANK(VLOOKUP($A137,quarterly_data,MATCH(F$1,quarterly!$1:$1,FALSE),FALSE)),"NA",VLOOKUP($A137,quarterly_data,MATCH(F$1,quarterly!$1:$1,FALSE),FALSE))</f>
        <v>9.0219599999999997E-2</v>
      </c>
      <c r="G137">
        <f>IF(ISBLANK(VLOOKUP($A137,quarterly_data,MATCH(G$1,quarterly!$1:$1,FALSE),FALSE)),"NA",VLOOKUP($A137,quarterly_data,MATCH(G$1,quarterly!$1:$1,FALSE),FALSE))</f>
        <v>15162.76</v>
      </c>
      <c r="H137">
        <f>IF(ISBLANK(VLOOKUP($A137,quarterly_data,MATCH(H$1,quarterly!$1:$1,FALSE),FALSE)),"NA",VLOOKUP($A137,quarterly_data,MATCH(H$1,quarterly!$1:$1,FALSE),FALSE))</f>
        <v>398899</v>
      </c>
      <c r="I137">
        <f>IF(ISBLANK(VLOOKUP($A137,quarterly_data,MATCH(I$1,quarterly!$1:$1,FALSE),FALSE)),"NA",VLOOKUP($A137,quarterly_data,MATCH(I$1,quarterly!$1:$1,FALSE),FALSE))</f>
        <v>0.7</v>
      </c>
      <c r="J137">
        <f>IF(ISBLANK(VLOOKUP($A137,quarterly_data,MATCH(J$1,quarterly!$1:$1,FALSE),FALSE)),"NA",VLOOKUP($A137,quarterly_data,MATCH(J$1,quarterly!$1:$1,FALSE),FALSE))</f>
        <v>55.22</v>
      </c>
      <c r="K137">
        <f>IF(COUNTIFS(monthly!C:C,"",monthly!$A:$A,"&gt;="&amp;$A137,monthly!$B:$B,"&lt;="&amp;$B137)&gt;0,"NA",AVERAGEIFS(monthly!C:C,monthly!$A:$A,"&gt;="&amp;$A137,monthly!$B:$B,"&lt;="&amp;$B137))</f>
        <v>61.55</v>
      </c>
      <c r="L137">
        <f>IF(COUNTIFS(monthly!D:D,"",monthly!$A:$A,"&gt;="&amp;$A137,monthly!$B:$B,"&lt;="&amp;$B137)&gt;0,"NA",AVERAGEIFS(monthly!D:D,monthly!$A:$A,"&gt;="&amp;$A137,monthly!$B:$B,"&lt;="&amp;$B137))</f>
        <v>0.71260000000000001</v>
      </c>
      <c r="M137">
        <f>IF(COUNTIFS(monthly!E:E,"",monthly!$A:$A,"&gt;="&amp;$A137,monthly!$B:$B,"&lt;="&amp;$B137)&gt;0,"NA",AVERAGEIFS(monthly!E:E,monthly!$A:$A,"&gt;="&amp;$A137,monthly!$B:$B,"&lt;="&amp;$B137))</f>
        <v>32.405902596925756</v>
      </c>
      <c r="N137" t="str">
        <f>IF(COUNTIFS(monthly!F:F,"",monthly!$A:$A,"&gt;="&amp;$A137,monthly!$B:$B,"&lt;="&amp;$B137)&gt;0,"NA",AVERAGEIFS(monthly!F:F,monthly!$A:$A,"&gt;="&amp;$A137,monthly!$B:$B,"&lt;="&amp;$B137))</f>
        <v>NA</v>
      </c>
      <c r="O137">
        <f>IF(COUNTIFS(monthly!G:G,"",monthly!$A:$A,"&gt;="&amp;$A137,monthly!$B:$B,"&lt;="&amp;$B137)&gt;0,"NA",AVERAGEIFS(monthly!G:G,monthly!$A:$A,"&gt;="&amp;$A137,monthly!$B:$B,"&lt;="&amp;$B137))</f>
        <v>32</v>
      </c>
      <c r="P137">
        <f>IF(COUNTIFS(monthly!H:H,"",monthly!$A:$A,"&gt;="&amp;$A137,monthly!$B:$B,"&lt;="&amp;$B137)&gt;0,"NA",AVERAGEIFS(monthly!H:H,monthly!$A:$A,"&gt;="&amp;$A137,monthly!$B:$B,"&lt;="&amp;$B137))</f>
        <v>28.7</v>
      </c>
      <c r="Q137">
        <f>IF(COUNTIFS(monthly!I:I,"",monthly!$A:$A,"&gt;="&amp;$A137,monthly!$B:$B,"&lt;="&amp;$B137)&gt;0,"NA",AVERAGEIFS(monthly!I:I,monthly!$A:$A,"&gt;="&amp;$A137,monthly!$B:$B,"&lt;="&amp;$B137))</f>
        <v>29.200000000000003</v>
      </c>
      <c r="R137">
        <f>IF(COUNTIFS(monthly!J:J,"",monthly!$A:$A,"&gt;="&amp;$A137,monthly!$B:$B,"&lt;="&amp;$B137)&gt;0,"NA",AVERAGEIFS(monthly!J:J,monthly!$A:$A,"&gt;="&amp;$A137,monthly!$B:$B,"&lt;="&amp;$B137))</f>
        <v>4.67</v>
      </c>
      <c r="S137">
        <f>IF(COUNTIFS(monthly!K:K,"",monthly!$A:$A,"&gt;="&amp;$A137,monthly!$B:$B,"&lt;="&amp;$B137)&gt;0,"NA",AVERAGEIFS(monthly!K:K,monthly!$A:$A,"&gt;="&amp;$A137,monthly!$B:$B,"&lt;="&amp;$B137))</f>
        <v>4.8650000000000002</v>
      </c>
      <c r="T137">
        <f>IF(COUNTIFS(monthly!L:L,"",monthly!$A:$A,"&gt;="&amp;$A137,monthly!$B:$B,"&lt;="&amp;$B137)&gt;0,"NA",AVERAGEIFS(monthly!L:L,monthly!$A:$A,"&gt;="&amp;$A137,monthly!$B:$B,"&lt;="&amp;$B137))</f>
        <v>1.0030000000000001</v>
      </c>
      <c r="U137">
        <f>IF(COUNTIFS(monthly!M:M,"",monthly!$A:$A,"&gt;="&amp;$A137,monthly!$B:$B,"&lt;="&amp;$B137)&gt;0,"NA",AVERAGEIFS(monthly!M:M,monthly!$A:$A,"&gt;="&amp;$A137,monthly!$B:$B,"&lt;="&amp;$B137))</f>
        <v>3.8620000000000001</v>
      </c>
      <c r="V137">
        <f>IF(COUNTIFS(monthly!N:N,"",monthly!$A:$A,"&gt;="&amp;$A137,monthly!$B:$B,"&lt;="&amp;$B137)&gt;0,"NA",AVERAGEIFS(monthly!N:N,monthly!$A:$A,"&gt;="&amp;$A137,monthly!$B:$B,"&lt;="&amp;$B137))</f>
        <v>5.4145543478260869</v>
      </c>
      <c r="W137">
        <f>IF(COUNTIFS(monthly!O:O,"",monthly!$A:$A,"&gt;="&amp;$A137,monthly!$B:$B,"&lt;="&amp;$B137)&gt;0,"NA",AVERAGEIFS(monthly!O:O,monthly!$A:$A,"&gt;="&amp;$A137,monthly!$B:$B,"&lt;="&amp;$B137))</f>
        <v>1.8371969696969699</v>
      </c>
      <c r="X137">
        <f>IF(COUNTIFS(monthly!P:P,"",monthly!$A:$A,"&gt;="&amp;$A137,monthly!$B:$B,"&lt;="&amp;$B137)&gt;0,"NA",AVERAGEIFS(monthly!P:P,monthly!$A:$A,"&gt;="&amp;$A137,monthly!$B:$B,"&lt;="&amp;$B137))</f>
        <v>3.5773573781291175</v>
      </c>
      <c r="Y137">
        <f>IF(COUNTIFS(monthly!Q:Q,"",monthly!$A:$A,"&gt;="&amp;$A137,monthly!$B:$B,"&lt;="&amp;$B137)&gt;0,"NA",AVERAGEIFS(monthly!Q:Q,monthly!$A:$A,"&gt;="&amp;$A137,monthly!$B:$B,"&lt;="&amp;$B137))</f>
        <v>5.7413478260869564</v>
      </c>
      <c r="Z137">
        <f>IF(COUNTIFS(monthly!R:R,"",monthly!$A:$A,"&gt;="&amp;$A137,monthly!$B:$B,"&lt;="&amp;$B137)&gt;0,"NA",AVERAGEIFS(monthly!R:R,monthly!$A:$A,"&gt;="&amp;$A137,monthly!$B:$B,"&lt;="&amp;$B137))</f>
        <v>4.2952272727272724</v>
      </c>
      <c r="AA137">
        <f>IF(COUNTIFS(monthly!S:S,"",monthly!$A:$A,"&gt;="&amp;$A137,monthly!$B:$B,"&lt;="&amp;$B137)&gt;0,"NA",AVERAGEIFS(monthly!S:S,monthly!$A:$A,"&gt;="&amp;$A137,monthly!$B:$B,"&lt;="&amp;$B137))</f>
        <v>1.4461205533596835</v>
      </c>
      <c r="AB137">
        <f>IF(COUNTIFS(monthly!T:T,"",monthly!$A:$A,"&gt;="&amp;$A137,monthly!$B:$B,"&lt;="&amp;$B137)&gt;0,"NA",AVERAGEIFS(monthly!T:T,monthly!$A:$A,"&gt;="&amp;$A137,monthly!$B:$B,"&lt;="&amp;$B137))</f>
        <v>17.712265446224258</v>
      </c>
      <c r="AC137">
        <f>IF(COUNTIFS(monthly!U:U,"",monthly!$A:$A,"&gt;="&amp;$A137,monthly!$B:$B,"&lt;="&amp;$B137)&gt;0,"NA",AVERAGEIFS(monthly!U:U,monthly!$A:$A,"&gt;="&amp;$A137,monthly!$B:$B,"&lt;="&amp;$B137))</f>
        <v>75.911804148730965</v>
      </c>
      <c r="AD137">
        <f>IF(COUNTIFS(monthly!V:V,"",monthly!$A:$A,"&gt;="&amp;$A137,monthly!$B:$B,"&lt;="&amp;$B137)&gt;0,"NA",AVERAGEIFS(monthly!V:V,monthly!$A:$A,"&gt;="&amp;$A137,monthly!$B:$B,"&lt;="&amp;$B137))</f>
        <v>47.940285449959859</v>
      </c>
      <c r="AE137">
        <f>IF(COUNTIFS(monthly!W:W,"",monthly!$A:$A,"&gt;="&amp;$A137,monthly!$B:$B,"&lt;="&amp;$B137)&gt;0,"NA",AVERAGEIFS(monthly!W:W,monthly!$A:$A,"&gt;="&amp;$A137,monthly!$B:$B,"&lt;="&amp;$B137))</f>
        <v>113.2020378112793</v>
      </c>
      <c r="AF137">
        <f>IF(COUNTIFS(monthly!X:X,"",monthly!$A:$A,"&gt;="&amp;$A137,monthly!$B:$B,"&lt;="&amp;$B137)&gt;0,"NA",AVERAGEIFS(monthly!X:X,monthly!$A:$A,"&gt;="&amp;$A137,monthly!$B:$B,"&lt;="&amp;$B137))</f>
        <v>93.179958343505859</v>
      </c>
      <c r="AG137">
        <f>IF(COUNTIFS(monthly!Y:Y,"",monthly!$A:$A,"&gt;="&amp;$A137,monthly!$B:$B,"&lt;="&amp;$B137)&gt;0,"NA",AVERAGEIFS(monthly!Y:Y,monthly!$A:$A,"&gt;="&amp;$A137,monthly!$B:$B,"&lt;="&amp;$B137))</f>
        <v>141.59481048583984</v>
      </c>
      <c r="AH137">
        <f>IF(COUNTIFS(monthly!Z:Z,"",monthly!$A:$A,"&gt;="&amp;$A137,monthly!$B:$B,"&lt;="&amp;$B137)&gt;0,"NA",AVERAGEIFS(monthly!Z:Z,monthly!$A:$A,"&gt;="&amp;$A137,monthly!$B:$B,"&lt;="&amp;$B137))</f>
        <v>0.14476537704467773</v>
      </c>
    </row>
    <row r="138" spans="1:34" x14ac:dyDescent="0.2">
      <c r="A138" s="1">
        <v>37987</v>
      </c>
      <c r="B138" s="1">
        <v>38076</v>
      </c>
      <c r="C138">
        <f>IF(ISBLANK(VLOOKUP($A138,quarterly_data,MATCH(C$1,quarterly!$1:$1,FALSE),FALSE)),"NA",VLOOKUP($A138,quarterly_data,MATCH(C$1,quarterly!$1:$1,FALSE),FALSE))</f>
        <v>125.90416953319783</v>
      </c>
      <c r="D138">
        <f>IF(ISBLANK(VLOOKUP($A138,quarterly_data,MATCH(D$1,quarterly!$1:$1,FALSE),FALSE)),"NA",VLOOKUP($A138,quarterly_data,MATCH(D$1,quarterly!$1:$1,FALSE),FALSE))</f>
        <v>58.7</v>
      </c>
      <c r="E138">
        <f>IF(ISBLANK(VLOOKUP($A138,quarterly_data,MATCH(E$1,quarterly!$1:$1,FALSE),FALSE)),"NA",VLOOKUP($A138,quarterly_data,MATCH(E$1,quarterly!$1:$1,FALSE),FALSE))</f>
        <v>6.1508199999999999E-2</v>
      </c>
      <c r="F138">
        <f>IF(ISBLANK(VLOOKUP($A138,quarterly_data,MATCH(F$1,quarterly!$1:$1,FALSE),FALSE)),"NA",VLOOKUP($A138,quarterly_data,MATCH(F$1,quarterly!$1:$1,FALSE),FALSE))</f>
        <v>4.0345499999999999E-2</v>
      </c>
      <c r="G138">
        <f>IF(ISBLANK(VLOOKUP($A138,quarterly_data,MATCH(G$1,quarterly!$1:$1,FALSE),FALSE)),"NA",VLOOKUP($A138,quarterly_data,MATCH(G$1,quarterly!$1:$1,FALSE),FALSE))</f>
        <v>15248.68</v>
      </c>
      <c r="H138">
        <f>IF(ISBLANK(VLOOKUP($A138,quarterly_data,MATCH(H$1,quarterly!$1:$1,FALSE),FALSE)),"NA",VLOOKUP($A138,quarterly_data,MATCH(H$1,quarterly!$1:$1,FALSE),FALSE))</f>
        <v>401910</v>
      </c>
      <c r="I138">
        <f>IF(ISBLANK(VLOOKUP($A138,quarterly_data,MATCH(I$1,quarterly!$1:$1,FALSE),FALSE)),"NA",VLOOKUP($A138,quarterly_data,MATCH(I$1,quarterly!$1:$1,FALSE),FALSE))</f>
        <v>0.7</v>
      </c>
      <c r="J138">
        <f>IF(ISBLANK(VLOOKUP($A138,quarterly_data,MATCH(J$1,quarterly!$1:$1,FALSE),FALSE)),"NA",VLOOKUP($A138,quarterly_data,MATCH(J$1,quarterly!$1:$1,FALSE),FALSE))</f>
        <v>55.71</v>
      </c>
      <c r="K138">
        <f>IF(COUNTIFS(monthly!C:C,"",monthly!$A:$A,"&gt;="&amp;$A138,monthly!$B:$B,"&lt;="&amp;$B138)&gt;0,"NA",AVERAGEIFS(monthly!C:C,monthly!$A:$A,"&gt;="&amp;$A138,monthly!$B:$B,"&lt;="&amp;$B138))</f>
        <v>64.849999999999994</v>
      </c>
      <c r="L138">
        <f>IF(COUNTIFS(monthly!D:D,"",monthly!$A:$A,"&gt;="&amp;$A138,monthly!$B:$B,"&lt;="&amp;$B138)&gt;0,"NA",AVERAGEIFS(monthly!D:D,monthly!$A:$A,"&gt;="&amp;$A138,monthly!$B:$B,"&lt;="&amp;$B138))</f>
        <v>0.76760000000000006</v>
      </c>
      <c r="M138">
        <f>IF(COUNTIFS(monthly!E:E,"",monthly!$A:$A,"&gt;="&amp;$A138,monthly!$B:$B,"&lt;="&amp;$B138)&gt;0,"NA",AVERAGEIFS(monthly!E:E,monthly!$A:$A,"&gt;="&amp;$A138,monthly!$B:$B,"&lt;="&amp;$B138))</f>
        <v>33.580303641995449</v>
      </c>
      <c r="N138" t="str">
        <f>IF(COUNTIFS(monthly!F:F,"",monthly!$A:$A,"&gt;="&amp;$A138,monthly!$B:$B,"&lt;="&amp;$B138)&gt;0,"NA",AVERAGEIFS(monthly!F:F,monthly!$A:$A,"&gt;="&amp;$A138,monthly!$B:$B,"&lt;="&amp;$B138))</f>
        <v>NA</v>
      </c>
      <c r="O138">
        <f>IF(COUNTIFS(monthly!G:G,"",monthly!$A:$A,"&gt;="&amp;$A138,monthly!$B:$B,"&lt;="&amp;$B138)&gt;0,"NA",AVERAGEIFS(monthly!G:G,monthly!$A:$A,"&gt;="&amp;$A138,monthly!$B:$B,"&lt;="&amp;$B138))</f>
        <v>37.9</v>
      </c>
      <c r="P138">
        <f>IF(COUNTIFS(monthly!H:H,"",monthly!$A:$A,"&gt;="&amp;$A138,monthly!$B:$B,"&lt;="&amp;$B138)&gt;0,"NA",AVERAGEIFS(monthly!H:H,monthly!$A:$A,"&gt;="&amp;$A138,monthly!$B:$B,"&lt;="&amp;$B138))</f>
        <v>39.799999999999997</v>
      </c>
      <c r="Q138">
        <f>IF(COUNTIFS(monthly!I:I,"",monthly!$A:$A,"&gt;="&amp;$A138,monthly!$B:$B,"&lt;="&amp;$B138)&gt;0,"NA",AVERAGEIFS(monthly!I:I,monthly!$A:$A,"&gt;="&amp;$A138,monthly!$B:$B,"&lt;="&amp;$B138))</f>
        <v>31.049999999999997</v>
      </c>
      <c r="R138">
        <f>IF(COUNTIFS(monthly!J:J,"",monthly!$A:$A,"&gt;="&amp;$A138,monthly!$B:$B,"&lt;="&amp;$B138)&gt;0,"NA",AVERAGEIFS(monthly!J:J,monthly!$A:$A,"&gt;="&amp;$A138,monthly!$B:$B,"&lt;="&amp;$B138))</f>
        <v>4.7799999999999994</v>
      </c>
      <c r="S138">
        <f>IF(COUNTIFS(monthly!K:K,"",monthly!$A:$A,"&gt;="&amp;$A138,monthly!$B:$B,"&lt;="&amp;$B138)&gt;0,"NA",AVERAGEIFS(monthly!K:K,monthly!$A:$A,"&gt;="&amp;$A138,monthly!$B:$B,"&lt;="&amp;$B138))</f>
        <v>5.25</v>
      </c>
      <c r="T138">
        <f>IF(COUNTIFS(monthly!L:L,"",monthly!$A:$A,"&gt;="&amp;$A138,monthly!$B:$B,"&lt;="&amp;$B138)&gt;0,"NA",AVERAGEIFS(monthly!L:L,monthly!$A:$A,"&gt;="&amp;$A138,monthly!$B:$B,"&lt;="&amp;$B138))</f>
        <v>1.0021690767519464</v>
      </c>
      <c r="U138">
        <f>IF(COUNTIFS(monthly!M:M,"",monthly!$A:$A,"&gt;="&amp;$A138,monthly!$B:$B,"&lt;="&amp;$B138)&gt;0,"NA",AVERAGEIFS(monthly!M:M,monthly!$A:$A,"&gt;="&amp;$A138,monthly!$B:$B,"&lt;="&amp;$B138))</f>
        <v>4.2478309232480536</v>
      </c>
      <c r="V138">
        <f>IF(COUNTIFS(monthly!N:N,"",monthly!$A:$A,"&gt;="&amp;$A138,monthly!$B:$B,"&lt;="&amp;$B138)&gt;0,"NA",AVERAGEIFS(monthly!N:N,monthly!$A:$A,"&gt;="&amp;$A138,monthly!$B:$B,"&lt;="&amp;$B138))</f>
        <v>5.3592499999999994</v>
      </c>
      <c r="W138">
        <f>IF(COUNTIFS(monthly!O:O,"",monthly!$A:$A,"&gt;="&amp;$A138,monthly!$B:$B,"&lt;="&amp;$B138)&gt;0,"NA",AVERAGEIFS(monthly!O:O,monthly!$A:$A,"&gt;="&amp;$A138,monthly!$B:$B,"&lt;="&amp;$B138))</f>
        <v>1.7505000000000002</v>
      </c>
      <c r="X138">
        <f>IF(COUNTIFS(monthly!P:P,"",monthly!$A:$A,"&gt;="&amp;$A138,monthly!$B:$B,"&lt;="&amp;$B138)&gt;0,"NA",AVERAGEIFS(monthly!P:P,monthly!$A:$A,"&gt;="&amp;$A138,monthly!$B:$B,"&lt;="&amp;$B138))</f>
        <v>3.6087499999999997</v>
      </c>
      <c r="Y138">
        <f>IF(COUNTIFS(monthly!Q:Q,"",monthly!$A:$A,"&gt;="&amp;$A138,monthly!$B:$B,"&lt;="&amp;$B138)&gt;0,"NA",AVERAGEIFS(monthly!Q:Q,monthly!$A:$A,"&gt;="&amp;$A138,monthly!$B:$B,"&lt;="&amp;$B138))</f>
        <v>5.6605000000000008</v>
      </c>
      <c r="Z138">
        <f>IF(COUNTIFS(monthly!R:R,"",monthly!$A:$A,"&gt;="&amp;$A138,monthly!$B:$B,"&lt;="&amp;$B138)&gt;0,"NA",AVERAGEIFS(monthly!R:R,monthly!$A:$A,"&gt;="&amp;$A138,monthly!$B:$B,"&lt;="&amp;$B138))</f>
        <v>4.1173552631578936</v>
      </c>
      <c r="AA138">
        <f>IF(COUNTIFS(monthly!S:S,"",monthly!$A:$A,"&gt;="&amp;$A138,monthly!$B:$B,"&lt;="&amp;$B138)&gt;0,"NA",AVERAGEIFS(monthly!S:S,monthly!$A:$A,"&gt;="&amp;$A138,monthly!$B:$B,"&lt;="&amp;$B138))</f>
        <v>1.5431447368421063</v>
      </c>
      <c r="AB138">
        <f>IF(COUNTIFS(monthly!T:T,"",monthly!$A:$A,"&gt;="&amp;$A138,monthly!$B:$B,"&lt;="&amp;$B138)&gt;0,"NA",AVERAGEIFS(monthly!T:T,monthly!$A:$A,"&gt;="&amp;$A138,monthly!$B:$B,"&lt;="&amp;$B138))</f>
        <v>16.049710526315788</v>
      </c>
      <c r="AC138">
        <f>IF(COUNTIFS(monthly!U:U,"",monthly!$A:$A,"&gt;="&amp;$A138,monthly!$B:$B,"&lt;="&amp;$B138)&gt;0,"NA",AVERAGEIFS(monthly!U:U,monthly!$A:$A,"&gt;="&amp;$A138,monthly!$B:$B,"&lt;="&amp;$B138))</f>
        <v>73.249445505470163</v>
      </c>
      <c r="AD138">
        <f>IF(COUNTIFS(monthly!V:V,"",monthly!$A:$A,"&gt;="&amp;$A138,monthly!$B:$B,"&lt;="&amp;$B138)&gt;0,"NA",AVERAGEIFS(monthly!V:V,monthly!$A:$A,"&gt;="&amp;$A138,monthly!$B:$B,"&lt;="&amp;$B138))</f>
        <v>58.451265867676057</v>
      </c>
      <c r="AE138">
        <f>IF(COUNTIFS(monthly!W:W,"",monthly!$A:$A,"&gt;="&amp;$A138,monthly!$B:$B,"&lt;="&amp;$B138)&gt;0,"NA",AVERAGEIFS(monthly!W:W,monthly!$A:$A,"&gt;="&amp;$A138,monthly!$B:$B,"&lt;="&amp;$B138))</f>
        <v>114.27178192138672</v>
      </c>
      <c r="AF138">
        <f>IF(COUNTIFS(monthly!X:X,"",monthly!$A:$A,"&gt;="&amp;$A138,monthly!$B:$B,"&lt;="&amp;$B138)&gt;0,"NA",AVERAGEIFS(monthly!X:X,monthly!$A:$A,"&gt;="&amp;$A138,monthly!$B:$B,"&lt;="&amp;$B138))</f>
        <v>105.41605758666992</v>
      </c>
      <c r="AG138">
        <f>IF(COUNTIFS(monthly!Y:Y,"",monthly!$A:$A,"&gt;="&amp;$A138,monthly!$B:$B,"&lt;="&amp;$B138)&gt;0,"NA",AVERAGEIFS(monthly!Y:Y,monthly!$A:$A,"&gt;="&amp;$A138,monthly!$B:$B,"&lt;="&amp;$B138))</f>
        <v>127.66473388671875</v>
      </c>
      <c r="AH138">
        <f>IF(COUNTIFS(monthly!Z:Z,"",monthly!$A:$A,"&gt;="&amp;$A138,monthly!$B:$B,"&lt;="&amp;$B138)&gt;0,"NA",AVERAGEIFS(monthly!Z:Z,monthly!$A:$A,"&gt;="&amp;$A138,monthly!$B:$B,"&lt;="&amp;$B138))</f>
        <v>7.5905483216047287E-2</v>
      </c>
    </row>
    <row r="139" spans="1:34" x14ac:dyDescent="0.2">
      <c r="A139" s="1">
        <v>38078</v>
      </c>
      <c r="B139" s="1">
        <v>38168</v>
      </c>
      <c r="C139">
        <f>IF(ISBLANK(VLOOKUP($A139,quarterly_data,MATCH(C$1,quarterly!$1:$1,FALSE),FALSE)),"NA",VLOOKUP($A139,quarterly_data,MATCH(C$1,quarterly!$1:$1,FALSE),FALSE))</f>
        <v>119.82745697729993</v>
      </c>
      <c r="D139">
        <f>IF(ISBLANK(VLOOKUP($A139,quarterly_data,MATCH(D$1,quarterly!$1:$1,FALSE),FALSE)),"NA",VLOOKUP($A139,quarterly_data,MATCH(D$1,quarterly!$1:$1,FALSE),FALSE))</f>
        <v>60.3</v>
      </c>
      <c r="E139">
        <f>IF(ISBLANK(VLOOKUP($A139,quarterly_data,MATCH(E$1,quarterly!$1:$1,FALSE),FALSE)),"NA",VLOOKUP($A139,quarterly_data,MATCH(E$1,quarterly!$1:$1,FALSE),FALSE))</f>
        <v>0</v>
      </c>
      <c r="F139">
        <f>IF(ISBLANK(VLOOKUP($A139,quarterly_data,MATCH(F$1,quarterly!$1:$1,FALSE),FALSE)),"NA",VLOOKUP($A139,quarterly_data,MATCH(F$1,quarterly!$1:$1,FALSE),FALSE))</f>
        <v>1.08938E-2</v>
      </c>
      <c r="G139">
        <f>IF(ISBLANK(VLOOKUP($A139,quarterly_data,MATCH(G$1,quarterly!$1:$1,FALSE),FALSE)),"NA",VLOOKUP($A139,quarterly_data,MATCH(G$1,quarterly!$1:$1,FALSE),FALSE))</f>
        <v>15366.85</v>
      </c>
      <c r="H139">
        <f>IF(ISBLANK(VLOOKUP($A139,quarterly_data,MATCH(H$1,quarterly!$1:$1,FALSE),FALSE)),"NA",VLOOKUP($A139,quarterly_data,MATCH(H$1,quarterly!$1:$1,FALSE),FALSE))</f>
        <v>404944</v>
      </c>
      <c r="I139">
        <f>IF(ISBLANK(VLOOKUP($A139,quarterly_data,MATCH(I$1,quarterly!$1:$1,FALSE),FALSE)),"NA",VLOOKUP($A139,quarterly_data,MATCH(I$1,quarterly!$1:$1,FALSE),FALSE))</f>
        <v>0.6</v>
      </c>
      <c r="J139">
        <f>IF(ISBLANK(VLOOKUP($A139,quarterly_data,MATCH(J$1,quarterly!$1:$1,FALSE),FALSE)),"NA",VLOOKUP($A139,quarterly_data,MATCH(J$1,quarterly!$1:$1,FALSE),FALSE))</f>
        <v>55.97</v>
      </c>
      <c r="K139">
        <f>IF(COUNTIFS(monthly!C:C,"",monthly!$A:$A,"&gt;="&amp;$A139,monthly!$B:$B,"&lt;="&amp;$B139)&gt;0,"NA",AVERAGEIFS(monthly!C:C,monthly!$A:$A,"&gt;="&amp;$A139,monthly!$B:$B,"&lt;="&amp;$B139))</f>
        <v>60.766666666666673</v>
      </c>
      <c r="L139">
        <f>IF(COUNTIFS(monthly!D:D,"",monthly!$A:$A,"&gt;="&amp;$A139,monthly!$B:$B,"&lt;="&amp;$B139)&gt;0,"NA",AVERAGEIFS(monthly!D:D,monthly!$A:$A,"&gt;="&amp;$A139,monthly!$B:$B,"&lt;="&amp;$B139))</f>
        <v>0.70840000000000003</v>
      </c>
      <c r="M139">
        <f>IF(COUNTIFS(monthly!E:E,"",monthly!$A:$A,"&gt;="&amp;$A139,monthly!$B:$B,"&lt;="&amp;$B139)&gt;0,"NA",AVERAGEIFS(monthly!E:E,monthly!$A:$A,"&gt;="&amp;$A139,monthly!$B:$B,"&lt;="&amp;$B139))</f>
        <v>36.370161188869737</v>
      </c>
      <c r="N139" t="str">
        <f>IF(COUNTIFS(monthly!F:F,"",monthly!$A:$A,"&gt;="&amp;$A139,monthly!$B:$B,"&lt;="&amp;$B139)&gt;0,"NA",AVERAGEIFS(monthly!F:F,monthly!$A:$A,"&gt;="&amp;$A139,monthly!$B:$B,"&lt;="&amp;$B139))</f>
        <v>NA</v>
      </c>
      <c r="O139">
        <f>IF(COUNTIFS(monthly!G:G,"",monthly!$A:$A,"&gt;="&amp;$A139,monthly!$B:$B,"&lt;="&amp;$B139)&gt;0,"NA",AVERAGEIFS(monthly!G:G,monthly!$A:$A,"&gt;="&amp;$A139,monthly!$B:$B,"&lt;="&amp;$B139))</f>
        <v>37.9</v>
      </c>
      <c r="P139">
        <f>IF(COUNTIFS(monthly!H:H,"",monthly!$A:$A,"&gt;="&amp;$A139,monthly!$B:$B,"&lt;="&amp;$B139)&gt;0,"NA",AVERAGEIFS(monthly!H:H,monthly!$A:$A,"&gt;="&amp;$A139,monthly!$B:$B,"&lt;="&amp;$B139))</f>
        <v>56.43333333333333</v>
      </c>
      <c r="Q139">
        <f>IF(COUNTIFS(monthly!I:I,"",monthly!$A:$A,"&gt;="&amp;$A139,monthly!$B:$B,"&lt;="&amp;$B139)&gt;0,"NA",AVERAGEIFS(monthly!I:I,monthly!$A:$A,"&gt;="&amp;$A139,monthly!$B:$B,"&lt;="&amp;$B139))</f>
        <v>35.5</v>
      </c>
      <c r="R139">
        <f>IF(COUNTIFS(monthly!J:J,"",monthly!$A:$A,"&gt;="&amp;$A139,monthly!$B:$B,"&lt;="&amp;$B139)&gt;0,"NA",AVERAGEIFS(monthly!J:J,monthly!$A:$A,"&gt;="&amp;$A139,monthly!$B:$B,"&lt;="&amp;$B139))</f>
        <v>4.9533333333333331</v>
      </c>
      <c r="S139">
        <f>IF(COUNTIFS(monthly!K:K,"",monthly!$A:$A,"&gt;="&amp;$A139,monthly!$B:$B,"&lt;="&amp;$B139)&gt;0,"NA",AVERAGEIFS(monthly!K:K,monthly!$A:$A,"&gt;="&amp;$A139,monthly!$B:$B,"&lt;="&amp;$B139))</f>
        <v>5.25</v>
      </c>
      <c r="T139">
        <f>IF(COUNTIFS(monthly!L:L,"",monthly!$A:$A,"&gt;="&amp;$A139,monthly!$B:$B,"&lt;="&amp;$B139)&gt;0,"NA",AVERAGEIFS(monthly!L:L,monthly!$A:$A,"&gt;="&amp;$A139,monthly!$B:$B,"&lt;="&amp;$B139))</f>
        <v>1.011394265232975</v>
      </c>
      <c r="U139">
        <f>IF(COUNTIFS(monthly!M:M,"",monthly!$A:$A,"&gt;="&amp;$A139,monthly!$B:$B,"&lt;="&amp;$B139)&gt;0,"NA",AVERAGEIFS(monthly!M:M,monthly!$A:$A,"&gt;="&amp;$A139,monthly!$B:$B,"&lt;="&amp;$B139))</f>
        <v>4.2386057347670247</v>
      </c>
      <c r="V139">
        <f>IF(COUNTIFS(monthly!N:N,"",monthly!$A:$A,"&gt;="&amp;$A139,monthly!$B:$B,"&lt;="&amp;$B139)&gt;0,"NA",AVERAGEIFS(monthly!N:N,monthly!$A:$A,"&gt;="&amp;$A139,monthly!$B:$B,"&lt;="&amp;$B139))</f>
        <v>5.3118928571428574</v>
      </c>
      <c r="W139">
        <f>IF(COUNTIFS(monthly!O:O,"",monthly!$A:$A,"&gt;="&amp;$A139,monthly!$B:$B,"&lt;="&amp;$B139)&gt;0,"NA",AVERAGEIFS(monthly!O:O,monthly!$A:$A,"&gt;="&amp;$A139,monthly!$B:$B,"&lt;="&amp;$B139))</f>
        <v>2.4559285714285717</v>
      </c>
      <c r="X139">
        <f>IF(COUNTIFS(monthly!P:P,"",monthly!$A:$A,"&gt;="&amp;$A139,monthly!$B:$B,"&lt;="&amp;$B139)&gt;0,"NA",AVERAGEIFS(monthly!P:P,monthly!$A:$A,"&gt;="&amp;$A139,monthly!$B:$B,"&lt;="&amp;$B139))</f>
        <v>2.8559642857142857</v>
      </c>
      <c r="Y139">
        <f>IF(COUNTIFS(monthly!Q:Q,"",monthly!$A:$A,"&gt;="&amp;$A139,monthly!$B:$B,"&lt;="&amp;$B139)&gt;0,"NA",AVERAGEIFS(monthly!Q:Q,monthly!$A:$A,"&gt;="&amp;$A139,monthly!$B:$B,"&lt;="&amp;$B139))</f>
        <v>5.8688571428571423</v>
      </c>
      <c r="Z139">
        <f>IF(COUNTIFS(monthly!R:R,"",monthly!$A:$A,"&gt;="&amp;$A139,monthly!$B:$B,"&lt;="&amp;$B139)&gt;0,"NA",AVERAGEIFS(monthly!R:R,monthly!$A:$A,"&gt;="&amp;$A139,monthly!$B:$B,"&lt;="&amp;$B139))</f>
        <v>4.5989761904761908</v>
      </c>
      <c r="AA139">
        <f>IF(COUNTIFS(monthly!S:S,"",monthly!$A:$A,"&gt;="&amp;$A139,monthly!$B:$B,"&lt;="&amp;$B139)&gt;0,"NA",AVERAGEIFS(monthly!S:S,monthly!$A:$A,"&gt;="&amp;$A139,monthly!$B:$B,"&lt;="&amp;$B139))</f>
        <v>1.2698809523809513</v>
      </c>
      <c r="AB139">
        <f>IF(COUNTIFS(monthly!T:T,"",monthly!$A:$A,"&gt;="&amp;$A139,monthly!$B:$B,"&lt;="&amp;$B139)&gt;0,"NA",AVERAGEIFS(monthly!T:T,monthly!$A:$A,"&gt;="&amp;$A139,monthly!$B:$B,"&lt;="&amp;$B139))</f>
        <v>16.248766233766233</v>
      </c>
      <c r="AC139">
        <f>IF(COUNTIFS(monthly!U:U,"",monthly!$A:$A,"&gt;="&amp;$A139,monthly!$B:$B,"&lt;="&amp;$B139)&gt;0,"NA",AVERAGEIFS(monthly!U:U,monthly!$A:$A,"&gt;="&amp;$A139,monthly!$B:$B,"&lt;="&amp;$B139))</f>
        <v>81.682788273895426</v>
      </c>
      <c r="AD139">
        <f>IF(COUNTIFS(monthly!V:V,"",monthly!$A:$A,"&gt;="&amp;$A139,monthly!$B:$B,"&lt;="&amp;$B139)&gt;0,"NA",AVERAGEIFS(monthly!V:V,monthly!$A:$A,"&gt;="&amp;$A139,monthly!$B:$B,"&lt;="&amp;$B139))</f>
        <v>59.460768870595132</v>
      </c>
      <c r="AE139">
        <f>IF(COUNTIFS(monthly!W:W,"",monthly!$A:$A,"&gt;="&amp;$A139,monthly!$B:$B,"&lt;="&amp;$B139)&gt;0,"NA",AVERAGEIFS(monthly!W:W,monthly!$A:$A,"&gt;="&amp;$A139,monthly!$B:$B,"&lt;="&amp;$B139))</f>
        <v>135.98549906412759</v>
      </c>
      <c r="AF139">
        <f>IF(COUNTIFS(monthly!X:X,"",monthly!$A:$A,"&gt;="&amp;$A139,monthly!$B:$B,"&lt;="&amp;$B139)&gt;0,"NA",AVERAGEIFS(monthly!X:X,monthly!$A:$A,"&gt;="&amp;$A139,monthly!$B:$B,"&lt;="&amp;$B139))</f>
        <v>106.63511912027995</v>
      </c>
      <c r="AG139">
        <f>IF(COUNTIFS(monthly!Y:Y,"",monthly!$A:$A,"&gt;="&amp;$A139,monthly!$B:$B,"&lt;="&amp;$B139)&gt;0,"NA",AVERAGEIFS(monthly!Y:Y,monthly!$A:$A,"&gt;="&amp;$A139,monthly!$B:$B,"&lt;="&amp;$B139))</f>
        <v>181.10341389973959</v>
      </c>
      <c r="AH139">
        <f>IF(COUNTIFS(monthly!Z:Z,"",monthly!$A:$A,"&gt;="&amp;$A139,monthly!$B:$B,"&lt;="&amp;$B139)&gt;0,"NA",AVERAGEIFS(monthly!Z:Z,monthly!$A:$A,"&gt;="&amp;$A139,monthly!$B:$B,"&lt;="&amp;$B139))</f>
        <v>0.10700382043917973</v>
      </c>
    </row>
    <row r="140" spans="1:34" x14ac:dyDescent="0.2">
      <c r="A140" s="1">
        <v>38169</v>
      </c>
      <c r="B140" s="1">
        <v>38260</v>
      </c>
      <c r="C140">
        <f>IF(ISBLANK(VLOOKUP($A140,quarterly_data,MATCH(C$1,quarterly!$1:$1,FALSE),FALSE)),"NA",VLOOKUP($A140,quarterly_data,MATCH(C$1,quarterly!$1:$1,FALSE),FALSE))</f>
        <v>118.69656516133765</v>
      </c>
      <c r="D140">
        <f>IF(ISBLANK(VLOOKUP($A140,quarterly_data,MATCH(D$1,quarterly!$1:$1,FALSE),FALSE)),"NA",VLOOKUP($A140,quarterly_data,MATCH(D$1,quarterly!$1:$1,FALSE),FALSE))</f>
        <v>60.9</v>
      </c>
      <c r="E140">
        <f>IF(ISBLANK(VLOOKUP($A140,quarterly_data,MATCH(E$1,quarterly!$1:$1,FALSE),FALSE)),"NA",VLOOKUP($A140,quarterly_data,MATCH(E$1,quarterly!$1:$1,FALSE),FALSE))</f>
        <v>6.5346699999999994E-2</v>
      </c>
      <c r="F140">
        <f>IF(ISBLANK(VLOOKUP($A140,quarterly_data,MATCH(F$1,quarterly!$1:$1,FALSE),FALSE)),"NA",VLOOKUP($A140,quarterly_data,MATCH(F$1,quarterly!$1:$1,FALSE),FALSE))</f>
        <v>1.51196E-2</v>
      </c>
      <c r="G140">
        <f>IF(ISBLANK(VLOOKUP($A140,quarterly_data,MATCH(G$1,quarterly!$1:$1,FALSE),FALSE)),"NA",VLOOKUP($A140,quarterly_data,MATCH(G$1,quarterly!$1:$1,FALSE),FALSE))</f>
        <v>15512.619000000001</v>
      </c>
      <c r="H140">
        <f>IF(ISBLANK(VLOOKUP($A140,quarterly_data,MATCH(H$1,quarterly!$1:$1,FALSE),FALSE)),"NA",VLOOKUP($A140,quarterly_data,MATCH(H$1,quarterly!$1:$1,FALSE),FALSE))</f>
        <v>407624</v>
      </c>
      <c r="I140">
        <f>IF(ISBLANK(VLOOKUP($A140,quarterly_data,MATCH(I$1,quarterly!$1:$1,FALSE),FALSE)),"NA",VLOOKUP($A140,quarterly_data,MATCH(I$1,quarterly!$1:$1,FALSE),FALSE))</f>
        <v>0.6</v>
      </c>
      <c r="J140">
        <f>IF(ISBLANK(VLOOKUP($A140,quarterly_data,MATCH(J$1,quarterly!$1:$1,FALSE),FALSE)),"NA",VLOOKUP($A140,quarterly_data,MATCH(J$1,quarterly!$1:$1,FALSE),FALSE))</f>
        <v>56.2</v>
      </c>
      <c r="K140">
        <f>IF(COUNTIFS(monthly!C:C,"",monthly!$A:$A,"&gt;="&amp;$A140,monthly!$B:$B,"&lt;="&amp;$B140)&gt;0,"NA",AVERAGEIFS(monthly!C:C,monthly!$A:$A,"&gt;="&amp;$A140,monthly!$B:$B,"&lt;="&amp;$B140))</f>
        <v>60.433333333333337</v>
      </c>
      <c r="L140">
        <f>IF(COUNTIFS(monthly!D:D,"",monthly!$A:$A,"&gt;="&amp;$A140,monthly!$B:$B,"&lt;="&amp;$B140)&gt;0,"NA",AVERAGEIFS(monthly!D:D,monthly!$A:$A,"&gt;="&amp;$A140,monthly!$B:$B,"&lt;="&amp;$B140))</f>
        <v>0.70479999999999998</v>
      </c>
      <c r="M140">
        <f>IF(COUNTIFS(monthly!E:E,"",monthly!$A:$A,"&gt;="&amp;$A140,monthly!$B:$B,"&lt;="&amp;$B140)&gt;0,"NA",AVERAGEIFS(monthly!E:E,monthly!$A:$A,"&gt;="&amp;$A140,monthly!$B:$B,"&lt;="&amp;$B140))</f>
        <v>37.750718773426733</v>
      </c>
      <c r="N140" t="str">
        <f>IF(COUNTIFS(monthly!F:F,"",monthly!$A:$A,"&gt;="&amp;$A140,monthly!$B:$B,"&lt;="&amp;$B140)&gt;0,"NA",AVERAGEIFS(monthly!F:F,monthly!$A:$A,"&gt;="&amp;$A140,monthly!$B:$B,"&lt;="&amp;$B140))</f>
        <v>NA</v>
      </c>
      <c r="O140">
        <f>IF(COUNTIFS(monthly!G:G,"",monthly!$A:$A,"&gt;="&amp;$A140,monthly!$B:$B,"&lt;="&amp;$B140)&gt;0,"NA",AVERAGEIFS(monthly!G:G,monthly!$A:$A,"&gt;="&amp;$A140,monthly!$B:$B,"&lt;="&amp;$B140))</f>
        <v>37.9</v>
      </c>
      <c r="P140">
        <f>IF(COUNTIFS(monthly!H:H,"",monthly!$A:$A,"&gt;="&amp;$A140,monthly!$B:$B,"&lt;="&amp;$B140)&gt;0,"NA",AVERAGEIFS(monthly!H:H,monthly!$A:$A,"&gt;="&amp;$A140,monthly!$B:$B,"&lt;="&amp;$B140))</f>
        <v>58.699999999999996</v>
      </c>
      <c r="Q140">
        <f>IF(COUNTIFS(monthly!I:I,"",monthly!$A:$A,"&gt;="&amp;$A140,monthly!$B:$B,"&lt;="&amp;$B140)&gt;0,"NA",AVERAGEIFS(monthly!I:I,monthly!$A:$A,"&gt;="&amp;$A140,monthly!$B:$B,"&lt;="&amp;$B140))</f>
        <v>41.6</v>
      </c>
      <c r="R140">
        <f>IF(COUNTIFS(monthly!J:J,"",monthly!$A:$A,"&gt;="&amp;$A140,monthly!$B:$B,"&lt;="&amp;$B140)&gt;0,"NA",AVERAGEIFS(monthly!J:J,monthly!$A:$A,"&gt;="&amp;$A140,monthly!$B:$B,"&lt;="&amp;$B140))</f>
        <v>5.22</v>
      </c>
      <c r="S140">
        <f>IF(COUNTIFS(monthly!K:K,"",monthly!$A:$A,"&gt;="&amp;$A140,monthly!$B:$B,"&lt;="&amp;$B140)&gt;0,"NA",AVERAGEIFS(monthly!K:K,monthly!$A:$A,"&gt;="&amp;$A140,monthly!$B:$B,"&lt;="&amp;$B140))</f>
        <v>5.25</v>
      </c>
      <c r="T140">
        <f>IF(COUNTIFS(monthly!L:L,"",monthly!$A:$A,"&gt;="&amp;$A140,monthly!$B:$B,"&lt;="&amp;$B140)&gt;0,"NA",AVERAGEIFS(monthly!L:L,monthly!$A:$A,"&gt;="&amp;$A140,monthly!$B:$B,"&lt;="&amp;$B140))</f>
        <v>1.4326344086021503</v>
      </c>
      <c r="U140">
        <f>IF(COUNTIFS(monthly!M:M,"",monthly!$A:$A,"&gt;="&amp;$A140,monthly!$B:$B,"&lt;="&amp;$B140)&gt;0,"NA",AVERAGEIFS(monthly!M:M,monthly!$A:$A,"&gt;="&amp;$A140,monthly!$B:$B,"&lt;="&amp;$B140))</f>
        <v>3.8173655913978499</v>
      </c>
      <c r="V140">
        <f>IF(COUNTIFS(monthly!N:N,"",monthly!$A:$A,"&gt;="&amp;$A140,monthly!$B:$B,"&lt;="&amp;$B140)&gt;0,"NA",AVERAGEIFS(monthly!N:N,monthly!$A:$A,"&gt;="&amp;$A140,monthly!$B:$B,"&lt;="&amp;$B140))</f>
        <v>5.2008333333333328</v>
      </c>
      <c r="W140">
        <f>IF(COUNTIFS(monthly!O:O,"",monthly!$A:$A,"&gt;="&amp;$A140,monthly!$B:$B,"&lt;="&amp;$B140)&gt;0,"NA",AVERAGEIFS(monthly!O:O,monthly!$A:$A,"&gt;="&amp;$A140,monthly!$B:$B,"&lt;="&amp;$B140))</f>
        <v>2.5573304473304472</v>
      </c>
      <c r="X140">
        <f>IF(COUNTIFS(monthly!P:P,"",monthly!$A:$A,"&gt;="&amp;$A140,monthly!$B:$B,"&lt;="&amp;$B140)&gt;0,"NA",AVERAGEIFS(monthly!P:P,monthly!$A:$A,"&gt;="&amp;$A140,monthly!$B:$B,"&lt;="&amp;$B140))</f>
        <v>2.6435028860028864</v>
      </c>
      <c r="Y140">
        <f>IF(COUNTIFS(monthly!Q:Q,"",monthly!$A:$A,"&gt;="&amp;$A140,monthly!$B:$B,"&lt;="&amp;$B140)&gt;0,"NA",AVERAGEIFS(monthly!Q:Q,monthly!$A:$A,"&gt;="&amp;$A140,monthly!$B:$B,"&lt;="&amp;$B140))</f>
        <v>5.5709848484848488</v>
      </c>
      <c r="Z140">
        <f>IF(COUNTIFS(monthly!R:R,"",monthly!$A:$A,"&gt;="&amp;$A140,monthly!$B:$B,"&lt;="&amp;$B140)&gt;0,"NA",AVERAGEIFS(monthly!R:R,monthly!$A:$A,"&gt;="&amp;$A140,monthly!$B:$B,"&lt;="&amp;$B140))</f>
        <v>4.3017243867243868</v>
      </c>
      <c r="AA140">
        <f>IF(COUNTIFS(monthly!S:S,"",monthly!$A:$A,"&gt;="&amp;$A140,monthly!$B:$B,"&lt;="&amp;$B140)&gt;0,"NA",AVERAGEIFS(monthly!S:S,monthly!$A:$A,"&gt;="&amp;$A140,monthly!$B:$B,"&lt;="&amp;$B140))</f>
        <v>1.2692604617604617</v>
      </c>
      <c r="AB140">
        <f>IF(COUNTIFS(monthly!T:T,"",monthly!$A:$A,"&gt;="&amp;$A140,monthly!$B:$B,"&lt;="&amp;$B140)&gt;0,"NA",AVERAGEIFS(monthly!T:T,monthly!$A:$A,"&gt;="&amp;$A140,monthly!$B:$B,"&lt;="&amp;$B140))</f>
        <v>15.422474747474746</v>
      </c>
      <c r="AC140">
        <f>IF(COUNTIFS(monthly!U:U,"",monthly!$A:$A,"&gt;="&amp;$A140,monthly!$B:$B,"&lt;="&amp;$B140)&gt;0,"NA",AVERAGEIFS(monthly!U:U,monthly!$A:$A,"&gt;="&amp;$A140,monthly!$B:$B,"&lt;="&amp;$B140))</f>
        <v>73.571653121734869</v>
      </c>
      <c r="AD140">
        <f>IF(COUNTIFS(monthly!V:V,"",monthly!$A:$A,"&gt;="&amp;$A140,monthly!$B:$B,"&lt;="&amp;$B140)&gt;0,"NA",AVERAGEIFS(monthly!V:V,monthly!$A:$A,"&gt;="&amp;$A140,monthly!$B:$B,"&lt;="&amp;$B140))</f>
        <v>57.67453393667256</v>
      </c>
      <c r="AE140">
        <f>IF(COUNTIFS(monthly!W:W,"",monthly!$A:$A,"&gt;="&amp;$A140,monthly!$B:$B,"&lt;="&amp;$B140)&gt;0,"NA",AVERAGEIFS(monthly!W:W,monthly!$A:$A,"&gt;="&amp;$A140,monthly!$B:$B,"&lt;="&amp;$B140))</f>
        <v>141.75243123372397</v>
      </c>
      <c r="AF140">
        <f>IF(COUNTIFS(monthly!X:X,"",monthly!$A:$A,"&gt;="&amp;$A140,monthly!$B:$B,"&lt;="&amp;$B140)&gt;0,"NA",AVERAGEIFS(monthly!X:X,monthly!$A:$A,"&gt;="&amp;$A140,monthly!$B:$B,"&lt;="&amp;$B140))</f>
        <v>126.30636342366536</v>
      </c>
      <c r="AG140">
        <f>IF(COUNTIFS(monthly!Y:Y,"",monthly!$A:$A,"&gt;="&amp;$A140,monthly!$B:$B,"&lt;="&amp;$B140)&gt;0,"NA",AVERAGEIFS(monthly!Y:Y,monthly!$A:$A,"&gt;="&amp;$A140,monthly!$B:$B,"&lt;="&amp;$B140))</f>
        <v>175.20724487304688</v>
      </c>
      <c r="AH140">
        <f>IF(COUNTIFS(monthly!Z:Z,"",monthly!$A:$A,"&gt;="&amp;$A140,monthly!$B:$B,"&lt;="&amp;$B140)&gt;0,"NA",AVERAGEIFS(monthly!Z:Z,monthly!$A:$A,"&gt;="&amp;$A140,monthly!$B:$B,"&lt;="&amp;$B140))</f>
        <v>0.11438958595196407</v>
      </c>
    </row>
    <row r="141" spans="1:34" x14ac:dyDescent="0.2">
      <c r="A141" s="1">
        <v>38261</v>
      </c>
      <c r="B141" s="1">
        <v>38351</v>
      </c>
      <c r="C141">
        <f>IF(ISBLANK(VLOOKUP($A141,quarterly_data,MATCH(C$1,quarterly!$1:$1,FALSE),FALSE)),"NA",VLOOKUP($A141,quarterly_data,MATCH(C$1,quarterly!$1:$1,FALSE),FALSE))</f>
        <v>123.52614128735861</v>
      </c>
      <c r="D141">
        <f>IF(ISBLANK(VLOOKUP($A141,quarterly_data,MATCH(D$1,quarterly!$1:$1,FALSE),FALSE)),"NA",VLOOKUP($A141,quarterly_data,MATCH(D$1,quarterly!$1:$1,FALSE),FALSE))</f>
        <v>61.7</v>
      </c>
      <c r="E141">
        <f>IF(ISBLANK(VLOOKUP($A141,quarterly_data,MATCH(E$1,quarterly!$1:$1,FALSE),FALSE)),"NA",VLOOKUP($A141,quarterly_data,MATCH(E$1,quarterly!$1:$1,FALSE),FALSE))</f>
        <v>0</v>
      </c>
      <c r="F141">
        <f>IF(ISBLANK(VLOOKUP($A141,quarterly_data,MATCH(F$1,quarterly!$1:$1,FALSE),FALSE)),"NA",VLOOKUP($A141,quarterly_data,MATCH(F$1,quarterly!$1:$1,FALSE),FALSE))</f>
        <v>6.5347000000000001E-3</v>
      </c>
      <c r="G141">
        <f>IF(ISBLANK(VLOOKUP($A141,quarterly_data,MATCH(G$1,quarterly!$1:$1,FALSE),FALSE)),"NA",VLOOKUP($A141,quarterly_data,MATCH(G$1,quarterly!$1:$1,FALSE),FALSE))</f>
        <v>15670.88</v>
      </c>
      <c r="H141">
        <f>IF(ISBLANK(VLOOKUP($A141,quarterly_data,MATCH(H$1,quarterly!$1:$1,FALSE),FALSE)),"NA",VLOOKUP($A141,quarterly_data,MATCH(H$1,quarterly!$1:$1,FALSE),FALSE))</f>
        <v>410710</v>
      </c>
      <c r="I141">
        <f>IF(ISBLANK(VLOOKUP($A141,quarterly_data,MATCH(I$1,quarterly!$1:$1,FALSE),FALSE)),"NA",VLOOKUP($A141,quarterly_data,MATCH(I$1,quarterly!$1:$1,FALSE),FALSE))</f>
        <v>0.8</v>
      </c>
      <c r="J141">
        <f>IF(ISBLANK(VLOOKUP($A141,quarterly_data,MATCH(J$1,quarterly!$1:$1,FALSE),FALSE)),"NA",VLOOKUP($A141,quarterly_data,MATCH(J$1,quarterly!$1:$1,FALSE),FALSE))</f>
        <v>56.63</v>
      </c>
      <c r="K141">
        <f>IF(COUNTIFS(monthly!C:C,"",monthly!$A:$A,"&gt;="&amp;$A141,monthly!$B:$B,"&lt;="&amp;$B141)&gt;0,"NA",AVERAGEIFS(monthly!C:C,monthly!$A:$A,"&gt;="&amp;$A141,monthly!$B:$B,"&lt;="&amp;$B141))</f>
        <v>63.05</v>
      </c>
      <c r="L141">
        <f>IF(COUNTIFS(monthly!D:D,"",monthly!$A:$A,"&gt;="&amp;$A141,monthly!$B:$B,"&lt;="&amp;$B141)&gt;0,"NA",AVERAGEIFS(monthly!D:D,monthly!$A:$A,"&gt;="&amp;$A141,monthly!$B:$B,"&lt;="&amp;$B141))</f>
        <v>0.76180000000000003</v>
      </c>
      <c r="M141">
        <f>IF(COUNTIFS(monthly!E:E,"",monthly!$A:$A,"&gt;="&amp;$A141,monthly!$B:$B,"&lt;="&amp;$B141)&gt;0,"NA",AVERAGEIFS(monthly!E:E,monthly!$A:$A,"&gt;="&amp;$A141,monthly!$B:$B,"&lt;="&amp;$B141))</f>
        <v>38.788706351898398</v>
      </c>
      <c r="N141" t="str">
        <f>IF(COUNTIFS(monthly!F:F,"",monthly!$A:$A,"&gt;="&amp;$A141,monthly!$B:$B,"&lt;="&amp;$B141)&gt;0,"NA",AVERAGEIFS(monthly!F:F,monthly!$A:$A,"&gt;="&amp;$A141,monthly!$B:$B,"&lt;="&amp;$B141))</f>
        <v>NA</v>
      </c>
      <c r="O141">
        <f>IF(COUNTIFS(monthly!G:G,"",monthly!$A:$A,"&gt;="&amp;$A141,monthly!$B:$B,"&lt;="&amp;$B141)&gt;0,"NA",AVERAGEIFS(monthly!G:G,monthly!$A:$A,"&gt;="&amp;$A141,monthly!$B:$B,"&lt;="&amp;$B141))</f>
        <v>37.9</v>
      </c>
      <c r="P141">
        <f>IF(COUNTIFS(monthly!H:H,"",monthly!$A:$A,"&gt;="&amp;$A141,monthly!$B:$B,"&lt;="&amp;$B141)&gt;0,"NA",AVERAGEIFS(monthly!H:H,monthly!$A:$A,"&gt;="&amp;$A141,monthly!$B:$B,"&lt;="&amp;$B141))</f>
        <v>54.7</v>
      </c>
      <c r="Q141">
        <f>IF(COUNTIFS(monthly!I:I,"",monthly!$A:$A,"&gt;="&amp;$A141,monthly!$B:$B,"&lt;="&amp;$B141)&gt;0,"NA",AVERAGEIFS(monthly!I:I,monthly!$A:$A,"&gt;="&amp;$A141,monthly!$B:$B,"&lt;="&amp;$B141))</f>
        <v>46.45</v>
      </c>
      <c r="R141">
        <f>IF(COUNTIFS(monthly!J:J,"",monthly!$A:$A,"&gt;="&amp;$A141,monthly!$B:$B,"&lt;="&amp;$B141)&gt;0,"NA",AVERAGEIFS(monthly!J:J,monthly!$A:$A,"&gt;="&amp;$A141,monthly!$B:$B,"&lt;="&amp;$B141))</f>
        <v>5.5</v>
      </c>
      <c r="S141">
        <f>IF(COUNTIFS(monthly!K:K,"",monthly!$A:$A,"&gt;="&amp;$A141,monthly!$B:$B,"&lt;="&amp;$B141)&gt;0,"NA",AVERAGEIFS(monthly!K:K,monthly!$A:$A,"&gt;="&amp;$A141,monthly!$B:$B,"&lt;="&amp;$B141))</f>
        <v>5.25</v>
      </c>
      <c r="T141">
        <f>IF(COUNTIFS(monthly!L:L,"",monthly!$A:$A,"&gt;="&amp;$A141,monthly!$B:$B,"&lt;="&amp;$B141)&gt;0,"NA",AVERAGEIFS(monthly!L:L,monthly!$A:$A,"&gt;="&amp;$A141,monthly!$B:$B,"&lt;="&amp;$B141))</f>
        <v>1.846483870967742</v>
      </c>
      <c r="U141">
        <f>IF(COUNTIFS(monthly!M:M,"",monthly!$A:$A,"&gt;="&amp;$A141,monthly!$B:$B,"&lt;="&amp;$B141)&gt;0,"NA",AVERAGEIFS(monthly!M:M,monthly!$A:$A,"&gt;="&amp;$A141,monthly!$B:$B,"&lt;="&amp;$B141))</f>
        <v>3.403516129032258</v>
      </c>
      <c r="V141">
        <f>IF(COUNTIFS(monthly!N:N,"",monthly!$A:$A,"&gt;="&amp;$A141,monthly!$B:$B,"&lt;="&amp;$B141)&gt;0,"NA",AVERAGEIFS(monthly!N:N,monthly!$A:$A,"&gt;="&amp;$A141,monthly!$B:$B,"&lt;="&amp;$B141))</f>
        <v>5.0767099567099567</v>
      </c>
      <c r="W141">
        <f>IF(COUNTIFS(monthly!O:O,"",monthly!$A:$A,"&gt;="&amp;$A141,monthly!$B:$B,"&lt;="&amp;$B141)&gt;0,"NA",AVERAGEIFS(monthly!O:O,monthly!$A:$A,"&gt;="&amp;$A141,monthly!$B:$B,"&lt;="&amp;$B141))</f>
        <v>2.7182500000000003</v>
      </c>
      <c r="X141">
        <f>IF(COUNTIFS(monthly!P:P,"",monthly!$A:$A,"&gt;="&amp;$A141,monthly!$B:$B,"&lt;="&amp;$B141)&gt;0,"NA",AVERAGEIFS(monthly!P:P,monthly!$A:$A,"&gt;="&amp;$A141,monthly!$B:$B,"&lt;="&amp;$B141))</f>
        <v>2.3584599567099565</v>
      </c>
      <c r="Y141">
        <f>IF(COUNTIFS(monthly!Q:Q,"",monthly!$A:$A,"&gt;="&amp;$A141,monthly!$B:$B,"&lt;="&amp;$B141)&gt;0,"NA",AVERAGEIFS(monthly!Q:Q,monthly!$A:$A,"&gt;="&amp;$A141,monthly!$B:$B,"&lt;="&amp;$B141))</f>
        <v>5.4007142857142858</v>
      </c>
      <c r="Z141">
        <f>IF(COUNTIFS(monthly!R:R,"",monthly!$A:$A,"&gt;="&amp;$A141,monthly!$B:$B,"&lt;="&amp;$B141)&gt;0,"NA",AVERAGEIFS(monthly!R:R,monthly!$A:$A,"&gt;="&amp;$A141,monthly!$B:$B,"&lt;="&amp;$B141))</f>
        <v>4.1455000000000002</v>
      </c>
      <c r="AA141">
        <f>IF(COUNTIFS(monthly!S:S,"",monthly!$A:$A,"&gt;="&amp;$A141,monthly!$B:$B,"&lt;="&amp;$B141)&gt;0,"NA",AVERAGEIFS(monthly!S:S,monthly!$A:$A,"&gt;="&amp;$A141,monthly!$B:$B,"&lt;="&amp;$B141))</f>
        <v>1.2552142857142856</v>
      </c>
      <c r="AB141">
        <f>IF(COUNTIFS(monthly!T:T,"",monthly!$A:$A,"&gt;="&amp;$A141,monthly!$B:$B,"&lt;="&amp;$B141)&gt;0,"NA",AVERAGEIFS(monthly!T:T,monthly!$A:$A,"&gt;="&amp;$A141,monthly!$B:$B,"&lt;="&amp;$B141))</f>
        <v>14.275714285714285</v>
      </c>
      <c r="AC141">
        <f>IF(COUNTIFS(monthly!U:U,"",monthly!$A:$A,"&gt;="&amp;$A141,monthly!$B:$B,"&lt;="&amp;$B141)&gt;0,"NA",AVERAGEIFS(monthly!U:U,monthly!$A:$A,"&gt;="&amp;$A141,monthly!$B:$B,"&lt;="&amp;$B141))</f>
        <v>86.788094281028236</v>
      </c>
      <c r="AD141">
        <f>IF(COUNTIFS(monthly!V:V,"",monthly!$A:$A,"&gt;="&amp;$A141,monthly!$B:$B,"&lt;="&amp;$B141)&gt;0,"NA",AVERAGEIFS(monthly!V:V,monthly!$A:$A,"&gt;="&amp;$A141,monthly!$B:$B,"&lt;="&amp;$B141))</f>
        <v>66.156311503361025</v>
      </c>
      <c r="AE141">
        <f>IF(COUNTIFS(monthly!W:W,"",monthly!$A:$A,"&gt;="&amp;$A141,monthly!$B:$B,"&lt;="&amp;$B141)&gt;0,"NA",AVERAGEIFS(monthly!W:W,monthly!$A:$A,"&gt;="&amp;$A141,monthly!$B:$B,"&lt;="&amp;$B141))</f>
        <v>121.28509140014648</v>
      </c>
      <c r="AF141">
        <f>IF(COUNTIFS(monthly!X:X,"",monthly!$A:$A,"&gt;="&amp;$A141,monthly!$B:$B,"&lt;="&amp;$B141)&gt;0,"NA",AVERAGEIFS(monthly!X:X,monthly!$A:$A,"&gt;="&amp;$A141,monthly!$B:$B,"&lt;="&amp;$B141))</f>
        <v>99.717266082763672</v>
      </c>
      <c r="AG141">
        <f>IF(COUNTIFS(monthly!Y:Y,"",monthly!$A:$A,"&gt;="&amp;$A141,monthly!$B:$B,"&lt;="&amp;$B141)&gt;0,"NA",AVERAGEIFS(monthly!Y:Y,monthly!$A:$A,"&gt;="&amp;$A141,monthly!$B:$B,"&lt;="&amp;$B141))</f>
        <v>149.96186828613281</v>
      </c>
      <c r="AH141">
        <f>IF(COUNTIFS(monthly!Z:Z,"",monthly!$A:$A,"&gt;="&amp;$A141,monthly!$B:$B,"&lt;="&amp;$B141)&gt;0,"NA",AVERAGEIFS(monthly!Z:Z,monthly!$A:$A,"&gt;="&amp;$A141,monthly!$B:$B,"&lt;="&amp;$B141))</f>
        <v>0.11651977524161339</v>
      </c>
    </row>
    <row r="142" spans="1:34" x14ac:dyDescent="0.2">
      <c r="A142" s="1">
        <v>38353</v>
      </c>
      <c r="B142" s="1">
        <v>38441</v>
      </c>
      <c r="C142">
        <f>IF(ISBLANK(VLOOKUP($A142,quarterly_data,MATCH(C$1,quarterly!$1:$1,FALSE),FALSE)),"NA",VLOOKUP($A142,quarterly_data,MATCH(C$1,quarterly!$1:$1,FALSE),FALSE))</f>
        <v>125.39385224931404</v>
      </c>
      <c r="D142">
        <f>IF(ISBLANK(VLOOKUP($A142,quarterly_data,MATCH(D$1,quarterly!$1:$1,FALSE),FALSE)),"NA",VLOOKUP($A142,quarterly_data,MATCH(D$1,quarterly!$1:$1,FALSE),FALSE))</f>
        <v>63.4</v>
      </c>
      <c r="E142">
        <f>IF(ISBLANK(VLOOKUP($A142,quarterly_data,MATCH(E$1,quarterly!$1:$1,FALSE),FALSE)),"NA",VLOOKUP($A142,quarterly_data,MATCH(E$1,quarterly!$1:$1,FALSE),FALSE))</f>
        <v>0.25448530000000003</v>
      </c>
      <c r="F142">
        <f>IF(ISBLANK(VLOOKUP($A142,quarterly_data,MATCH(F$1,quarterly!$1:$1,FALSE),FALSE)),"NA",VLOOKUP($A142,quarterly_data,MATCH(F$1,quarterly!$1:$1,FALSE),FALSE))</f>
        <v>5.3075299999999999E-2</v>
      </c>
      <c r="G142">
        <f>IF(ISBLANK(VLOOKUP($A142,quarterly_data,MATCH(G$1,quarterly!$1:$1,FALSE),FALSE)),"NA",VLOOKUP($A142,quarterly_data,MATCH(G$1,quarterly!$1:$1,FALSE),FALSE))</f>
        <v>15844.727000000001</v>
      </c>
      <c r="H142">
        <f>IF(ISBLANK(VLOOKUP($A142,quarterly_data,MATCH(H$1,quarterly!$1:$1,FALSE),FALSE)),"NA",VLOOKUP($A142,quarterly_data,MATCH(H$1,quarterly!$1:$1,FALSE),FALSE))</f>
        <v>414089</v>
      </c>
      <c r="I142">
        <f>IF(ISBLANK(VLOOKUP($A142,quarterly_data,MATCH(I$1,quarterly!$1:$1,FALSE),FALSE)),"NA",VLOOKUP($A142,quarterly_data,MATCH(I$1,quarterly!$1:$1,FALSE),FALSE))</f>
        <v>0.6</v>
      </c>
      <c r="J142">
        <f>IF(ISBLANK(VLOOKUP($A142,quarterly_data,MATCH(J$1,quarterly!$1:$1,FALSE),FALSE)),"NA",VLOOKUP($A142,quarterly_data,MATCH(J$1,quarterly!$1:$1,FALSE),FALSE))</f>
        <v>57.01</v>
      </c>
      <c r="K142">
        <f>IF(COUNTIFS(monthly!C:C,"",monthly!$A:$A,"&gt;="&amp;$A142,monthly!$B:$B,"&lt;="&amp;$B142)&gt;0,"NA",AVERAGEIFS(monthly!C:C,monthly!$A:$A,"&gt;="&amp;$A142,monthly!$B:$B,"&lt;="&amp;$B142))</f>
        <v>63.95</v>
      </c>
      <c r="L142">
        <f>IF(COUNTIFS(monthly!D:D,"",monthly!$A:$A,"&gt;="&amp;$A142,monthly!$B:$B,"&lt;="&amp;$B142)&gt;0,"NA",AVERAGEIFS(monthly!D:D,monthly!$A:$A,"&gt;="&amp;$A142,monthly!$B:$B,"&lt;="&amp;$B142))</f>
        <v>0.78244999999999998</v>
      </c>
      <c r="M142">
        <f>IF(COUNTIFS(monthly!E:E,"",monthly!$A:$A,"&gt;="&amp;$A142,monthly!$B:$B,"&lt;="&amp;$B142)&gt;0,"NA",AVERAGEIFS(monthly!E:E,monthly!$A:$A,"&gt;="&amp;$A142,monthly!$B:$B,"&lt;="&amp;$B142))</f>
        <v>38.973950183354752</v>
      </c>
      <c r="N142" t="str">
        <f>IF(COUNTIFS(monthly!F:F,"",monthly!$A:$A,"&gt;="&amp;$A142,monthly!$B:$B,"&lt;="&amp;$B142)&gt;0,"NA",AVERAGEIFS(monthly!F:F,monthly!$A:$A,"&gt;="&amp;$A142,monthly!$B:$B,"&lt;="&amp;$B142))</f>
        <v>NA</v>
      </c>
      <c r="O142">
        <f>IF(COUNTIFS(monthly!G:G,"",monthly!$A:$A,"&gt;="&amp;$A142,monthly!$B:$B,"&lt;="&amp;$B142)&gt;0,"NA",AVERAGEIFS(monthly!G:G,monthly!$A:$A,"&gt;="&amp;$A142,monthly!$B:$B,"&lt;="&amp;$B142))</f>
        <v>65</v>
      </c>
      <c r="P142">
        <f>IF(COUNTIFS(monthly!H:H,"",monthly!$A:$A,"&gt;="&amp;$A142,monthly!$B:$B,"&lt;="&amp;$B142)&gt;0,"NA",AVERAGEIFS(monthly!H:H,monthly!$A:$A,"&gt;="&amp;$A142,monthly!$B:$B,"&lt;="&amp;$B142))</f>
        <v>51.45</v>
      </c>
      <c r="Q142">
        <f>IF(COUNTIFS(monthly!I:I,"",monthly!$A:$A,"&gt;="&amp;$A142,monthly!$B:$B,"&lt;="&amp;$B142)&gt;0,"NA",AVERAGEIFS(monthly!I:I,monthly!$A:$A,"&gt;="&amp;$A142,monthly!$B:$B,"&lt;="&amp;$B142))</f>
        <v>44.95</v>
      </c>
      <c r="R142">
        <f>IF(COUNTIFS(monthly!J:J,"",monthly!$A:$A,"&gt;="&amp;$A142,monthly!$B:$B,"&lt;="&amp;$B142)&gt;0,"NA",AVERAGEIFS(monthly!J:J,monthly!$A:$A,"&gt;="&amp;$A142,monthly!$B:$B,"&lt;="&amp;$B142))</f>
        <v>5.5</v>
      </c>
      <c r="S142">
        <f>IF(COUNTIFS(monthly!K:K,"",monthly!$A:$A,"&gt;="&amp;$A142,monthly!$B:$B,"&lt;="&amp;$B142)&gt;0,"NA",AVERAGEIFS(monthly!K:K,monthly!$A:$A,"&gt;="&amp;$A142,monthly!$B:$B,"&lt;="&amp;$B142))</f>
        <v>5.25</v>
      </c>
      <c r="T142">
        <f>IF(COUNTIFS(monthly!L:L,"",monthly!$A:$A,"&gt;="&amp;$A142,monthly!$B:$B,"&lt;="&amp;$B142)&gt;0,"NA",AVERAGEIFS(monthly!L:L,monthly!$A:$A,"&gt;="&amp;$A142,monthly!$B:$B,"&lt;="&amp;$B142))</f>
        <v>2.3905702764976953</v>
      </c>
      <c r="U142">
        <f>IF(COUNTIFS(monthly!M:M,"",monthly!$A:$A,"&gt;="&amp;$A142,monthly!$B:$B,"&lt;="&amp;$B142)&gt;0,"NA",AVERAGEIFS(monthly!M:M,monthly!$A:$A,"&gt;="&amp;$A142,monthly!$B:$B,"&lt;="&amp;$B142))</f>
        <v>2.8594297235023047</v>
      </c>
      <c r="V142">
        <f>IF(COUNTIFS(monthly!N:N,"",monthly!$A:$A,"&gt;="&amp;$A142,monthly!$B:$B,"&lt;="&amp;$B142)&gt;0,"NA",AVERAGEIFS(monthly!N:N,monthly!$A:$A,"&gt;="&amp;$A142,monthly!$B:$B,"&lt;="&amp;$B142))</f>
        <v>5.257381578947367</v>
      </c>
      <c r="W142">
        <f>IF(COUNTIFS(monthly!O:O,"",monthly!$A:$A,"&gt;="&amp;$A142,monthly!$B:$B,"&lt;="&amp;$B142)&gt;0,"NA",AVERAGEIFS(monthly!O:O,monthly!$A:$A,"&gt;="&amp;$A142,monthly!$B:$B,"&lt;="&amp;$B142))</f>
        <v>3.303618421052632</v>
      </c>
      <c r="X142">
        <f>IF(COUNTIFS(monthly!P:P,"",monthly!$A:$A,"&gt;="&amp;$A142,monthly!$B:$B,"&lt;="&amp;$B142)&gt;0,"NA",AVERAGEIFS(monthly!P:P,monthly!$A:$A,"&gt;="&amp;$A142,monthly!$B:$B,"&lt;="&amp;$B142))</f>
        <v>1.9537631578947352</v>
      </c>
      <c r="Y142">
        <f>IF(COUNTIFS(monthly!Q:Q,"",monthly!$A:$A,"&gt;="&amp;$A142,monthly!$B:$B,"&lt;="&amp;$B142)&gt;0,"NA",AVERAGEIFS(monthly!Q:Q,monthly!$A:$A,"&gt;="&amp;$A142,monthly!$B:$B,"&lt;="&amp;$B142))</f>
        <v>5.374796052631579</v>
      </c>
      <c r="Z142">
        <f>IF(COUNTIFS(monthly!R:R,"",monthly!$A:$A,"&gt;="&amp;$A142,monthly!$B:$B,"&lt;="&amp;$B142)&gt;0,"NA",AVERAGEIFS(monthly!R:R,monthly!$A:$A,"&gt;="&amp;$A142,monthly!$B:$B,"&lt;="&amp;$B142))</f>
        <v>4.1933815789473687</v>
      </c>
      <c r="AA142">
        <f>IF(COUNTIFS(monthly!S:S,"",monthly!$A:$A,"&gt;="&amp;$A142,monthly!$B:$B,"&lt;="&amp;$B142)&gt;0,"NA",AVERAGEIFS(monthly!S:S,monthly!$A:$A,"&gt;="&amp;$A142,monthly!$B:$B,"&lt;="&amp;$B142))</f>
        <v>1.1814144736842098</v>
      </c>
      <c r="AB142">
        <f>IF(COUNTIFS(monthly!T:T,"",monthly!$A:$A,"&gt;="&amp;$A142,monthly!$B:$B,"&lt;="&amp;$B142)&gt;0,"NA",AVERAGEIFS(monthly!T:T,monthly!$A:$A,"&gt;="&amp;$A142,monthly!$B:$B,"&lt;="&amp;$B142))</f>
        <v>12.573473684210526</v>
      </c>
      <c r="AC142">
        <f>IF(COUNTIFS(monthly!U:U,"",monthly!$A:$A,"&gt;="&amp;$A142,monthly!$B:$B,"&lt;="&amp;$B142)&gt;0,"NA",AVERAGEIFS(monthly!U:U,monthly!$A:$A,"&gt;="&amp;$A142,monthly!$B:$B,"&lt;="&amp;$B142))</f>
        <v>57.042052950378071</v>
      </c>
      <c r="AD142">
        <f>IF(COUNTIFS(monthly!V:V,"",monthly!$A:$A,"&gt;="&amp;$A142,monthly!$B:$B,"&lt;="&amp;$B142)&gt;0,"NA",AVERAGEIFS(monthly!V:V,monthly!$A:$A,"&gt;="&amp;$A142,monthly!$B:$B,"&lt;="&amp;$B142))</f>
        <v>33.534137467994483</v>
      </c>
      <c r="AE142">
        <f>IF(COUNTIFS(monthly!W:W,"",monthly!$A:$A,"&gt;="&amp;$A142,monthly!$B:$B,"&lt;="&amp;$B142)&gt;0,"NA",AVERAGEIFS(monthly!W:W,monthly!$A:$A,"&gt;="&amp;$A142,monthly!$B:$B,"&lt;="&amp;$B142))</f>
        <v>104.93277740478516</v>
      </c>
      <c r="AF142">
        <f>IF(COUNTIFS(monthly!X:X,"",monthly!$A:$A,"&gt;="&amp;$A142,monthly!$B:$B,"&lt;="&amp;$B142)&gt;0,"NA",AVERAGEIFS(monthly!X:X,monthly!$A:$A,"&gt;="&amp;$A142,monthly!$B:$B,"&lt;="&amp;$B142))</f>
        <v>91.484462738037109</v>
      </c>
      <c r="AG142">
        <f>IF(COUNTIFS(monthly!Y:Y,"",monthly!$A:$A,"&gt;="&amp;$A142,monthly!$B:$B,"&lt;="&amp;$B142)&gt;0,"NA",AVERAGEIFS(monthly!Y:Y,monthly!$A:$A,"&gt;="&amp;$A142,monthly!$B:$B,"&lt;="&amp;$B142))</f>
        <v>118.66542434692383</v>
      </c>
      <c r="AH142">
        <f>IF(COUNTIFS(monthly!Z:Z,"",monthly!$A:$A,"&gt;="&amp;$A142,monthly!$B:$B,"&lt;="&amp;$B142)&gt;0,"NA",AVERAGEIFS(monthly!Z:Z,monthly!$A:$A,"&gt;="&amp;$A142,monthly!$B:$B,"&lt;="&amp;$B142))</f>
        <v>0.11382995545864105</v>
      </c>
    </row>
    <row r="143" spans="1:34" x14ac:dyDescent="0.2">
      <c r="A143" s="1">
        <v>38443</v>
      </c>
      <c r="B143" s="1">
        <v>38533</v>
      </c>
      <c r="C143">
        <f>IF(ISBLANK(VLOOKUP($A143,quarterly_data,MATCH(C$1,quarterly!$1:$1,FALSE),FALSE)),"NA",VLOOKUP($A143,quarterly_data,MATCH(C$1,quarterly!$1:$1,FALSE),FALSE))</f>
        <v>126.09690097148427</v>
      </c>
      <c r="D143">
        <f>IF(ISBLANK(VLOOKUP($A143,quarterly_data,MATCH(D$1,quarterly!$1:$1,FALSE),FALSE)),"NA",VLOOKUP($A143,quarterly_data,MATCH(D$1,quarterly!$1:$1,FALSE),FALSE))</f>
        <v>67.5</v>
      </c>
      <c r="E143">
        <f>IF(ISBLANK(VLOOKUP($A143,quarterly_data,MATCH(E$1,quarterly!$1:$1,FALSE),FALSE)),"NA",VLOOKUP($A143,quarterly_data,MATCH(E$1,quarterly!$1:$1,FALSE),FALSE))</f>
        <v>0</v>
      </c>
      <c r="F143">
        <f>IF(ISBLANK(VLOOKUP($A143,quarterly_data,MATCH(F$1,quarterly!$1:$1,FALSE),FALSE)),"NA",VLOOKUP($A143,quarterly_data,MATCH(F$1,quarterly!$1:$1,FALSE),FALSE))</f>
        <v>2.5448499999999999E-2</v>
      </c>
      <c r="G143">
        <f>IF(ISBLANK(VLOOKUP($A143,quarterly_data,MATCH(G$1,quarterly!$1:$1,FALSE),FALSE)),"NA",VLOOKUP($A143,quarterly_data,MATCH(G$1,quarterly!$1:$1,FALSE),FALSE))</f>
        <v>15922.781999999999</v>
      </c>
      <c r="H143">
        <f>IF(ISBLANK(VLOOKUP($A143,quarterly_data,MATCH(H$1,quarterly!$1:$1,FALSE),FALSE)),"NA",VLOOKUP($A143,quarterly_data,MATCH(H$1,quarterly!$1:$1,FALSE),FALSE))</f>
        <v>416015</v>
      </c>
      <c r="I143">
        <f>IF(ISBLANK(VLOOKUP($A143,quarterly_data,MATCH(I$1,quarterly!$1:$1,FALSE),FALSE)),"NA",VLOOKUP($A143,quarterly_data,MATCH(I$1,quarterly!$1:$1,FALSE),FALSE))</f>
        <v>0.6</v>
      </c>
      <c r="J143">
        <f>IF(ISBLANK(VLOOKUP($A143,quarterly_data,MATCH(J$1,quarterly!$1:$1,FALSE),FALSE)),"NA",VLOOKUP($A143,quarterly_data,MATCH(J$1,quarterly!$1:$1,FALSE),FALSE))</f>
        <v>57.35</v>
      </c>
      <c r="K143">
        <f>IF(COUNTIFS(monthly!C:C,"",monthly!$A:$A,"&gt;="&amp;$A143,monthly!$B:$B,"&lt;="&amp;$B143)&gt;0,"NA",AVERAGEIFS(monthly!C:C,monthly!$A:$A,"&gt;="&amp;$A143,monthly!$B:$B,"&lt;="&amp;$B143))</f>
        <v>63.933333333333337</v>
      </c>
      <c r="L143">
        <f>IF(COUNTIFS(monthly!D:D,"",monthly!$A:$A,"&gt;="&amp;$A143,monthly!$B:$B,"&lt;="&amp;$B143)&gt;0,"NA",AVERAGEIFS(monthly!D:D,monthly!$A:$A,"&gt;="&amp;$A143,monthly!$B:$B,"&lt;="&amp;$B143))</f>
        <v>0.76683333333333337</v>
      </c>
      <c r="M143">
        <f>IF(COUNTIFS(monthly!E:E,"",monthly!$A:$A,"&gt;="&amp;$A143,monthly!$B:$B,"&lt;="&amp;$B143)&gt;0,"NA",AVERAGEIFS(monthly!E:E,monthly!$A:$A,"&gt;="&amp;$A143,monthly!$B:$B,"&lt;="&amp;$B143))</f>
        <v>45.547822312353539</v>
      </c>
      <c r="N143" t="str">
        <f>IF(COUNTIFS(monthly!F:F,"",monthly!$A:$A,"&gt;="&amp;$A143,monthly!$B:$B,"&lt;="&amp;$B143)&gt;0,"NA",AVERAGEIFS(monthly!F:F,monthly!$A:$A,"&gt;="&amp;$A143,monthly!$B:$B,"&lt;="&amp;$B143))</f>
        <v>NA</v>
      </c>
      <c r="O143">
        <f>IF(COUNTIFS(monthly!G:G,"",monthly!$A:$A,"&gt;="&amp;$A143,monthly!$B:$B,"&lt;="&amp;$B143)&gt;0,"NA",AVERAGEIFS(monthly!G:G,monthly!$A:$A,"&gt;="&amp;$A143,monthly!$B:$B,"&lt;="&amp;$B143))</f>
        <v>65</v>
      </c>
      <c r="P143">
        <f>IF(COUNTIFS(monthly!H:H,"",monthly!$A:$A,"&gt;="&amp;$A143,monthly!$B:$B,"&lt;="&amp;$B143)&gt;0,"NA",AVERAGEIFS(monthly!H:H,monthly!$A:$A,"&gt;="&amp;$A143,monthly!$B:$B,"&lt;="&amp;$B143))</f>
        <v>51.199999999999996</v>
      </c>
      <c r="Q143">
        <f>IF(COUNTIFS(monthly!I:I,"",monthly!$A:$A,"&gt;="&amp;$A143,monthly!$B:$B,"&lt;="&amp;$B143)&gt;0,"NA",AVERAGEIFS(monthly!I:I,monthly!$A:$A,"&gt;="&amp;$A143,monthly!$B:$B,"&lt;="&amp;$B143))</f>
        <v>51.633333333333326</v>
      </c>
      <c r="R143">
        <f>IF(COUNTIFS(monthly!J:J,"",monthly!$A:$A,"&gt;="&amp;$A143,monthly!$B:$B,"&lt;="&amp;$B143)&gt;0,"NA",AVERAGEIFS(monthly!J:J,monthly!$A:$A,"&gt;="&amp;$A143,monthly!$B:$B,"&lt;="&amp;$B143))</f>
        <v>5.6966666666666663</v>
      </c>
      <c r="S143">
        <f>IF(COUNTIFS(monthly!K:K,"",monthly!$A:$A,"&gt;="&amp;$A143,monthly!$B:$B,"&lt;="&amp;$B143)&gt;0,"NA",AVERAGEIFS(monthly!K:K,monthly!$A:$A,"&gt;="&amp;$A143,monthly!$B:$B,"&lt;="&amp;$B143))</f>
        <v>5.5</v>
      </c>
      <c r="T143">
        <f>IF(COUNTIFS(monthly!L:L,"",monthly!$A:$A,"&gt;="&amp;$A143,monthly!$B:$B,"&lt;="&amp;$B143)&gt;0,"NA",AVERAGEIFS(monthly!L:L,monthly!$A:$A,"&gt;="&amp;$A143,monthly!$B:$B,"&lt;="&amp;$B143))</f>
        <v>2.9410824372759858</v>
      </c>
      <c r="U143">
        <f>IF(COUNTIFS(monthly!M:M,"",monthly!$A:$A,"&gt;="&amp;$A143,monthly!$B:$B,"&lt;="&amp;$B143)&gt;0,"NA",AVERAGEIFS(monthly!M:M,monthly!$A:$A,"&gt;="&amp;$A143,monthly!$B:$B,"&lt;="&amp;$B143))</f>
        <v>2.5589175627240142</v>
      </c>
      <c r="V143">
        <f>IF(COUNTIFS(monthly!N:N,"",monthly!$A:$A,"&gt;="&amp;$A143,monthly!$B:$B,"&lt;="&amp;$B143)&gt;0,"NA",AVERAGEIFS(monthly!N:N,monthly!$A:$A,"&gt;="&amp;$A143,monthly!$B:$B,"&lt;="&amp;$B143))</f>
        <v>5.2587251082251081</v>
      </c>
      <c r="W143">
        <f>IF(COUNTIFS(monthly!O:O,"",monthly!$A:$A,"&gt;="&amp;$A143,monthly!$B:$B,"&lt;="&amp;$B143)&gt;0,"NA",AVERAGEIFS(monthly!O:O,monthly!$A:$A,"&gt;="&amp;$A143,monthly!$B:$B,"&lt;="&amp;$B143))</f>
        <v>3.6460245310245312</v>
      </c>
      <c r="X143">
        <f>IF(COUNTIFS(monthly!P:P,"",monthly!$A:$A,"&gt;="&amp;$A143,monthly!$B:$B,"&lt;="&amp;$B143)&gt;0,"NA",AVERAGEIFS(monthly!P:P,monthly!$A:$A,"&gt;="&amp;$A143,monthly!$B:$B,"&lt;="&amp;$B143))</f>
        <v>1.6127005772005774</v>
      </c>
      <c r="Y143">
        <f>IF(COUNTIFS(monthly!Q:Q,"",monthly!$A:$A,"&gt;="&amp;$A143,monthly!$B:$B,"&lt;="&amp;$B143)&gt;0,"NA",AVERAGEIFS(monthly!Q:Q,monthly!$A:$A,"&gt;="&amp;$A143,monthly!$B:$B,"&lt;="&amp;$B143))</f>
        <v>5.3000678210678211</v>
      </c>
      <c r="Z143">
        <f>IF(COUNTIFS(monthly!R:R,"",monthly!$A:$A,"&gt;="&amp;$A143,monthly!$B:$B,"&lt;="&amp;$B143)&gt;0,"NA",AVERAGEIFS(monthly!R:R,monthly!$A:$A,"&gt;="&amp;$A143,monthly!$B:$B,"&lt;="&amp;$B143))</f>
        <v>4.1611399711399715</v>
      </c>
      <c r="AA143">
        <f>IF(COUNTIFS(monthly!S:S,"",monthly!$A:$A,"&gt;="&amp;$A143,monthly!$B:$B,"&lt;="&amp;$B143)&gt;0,"NA",AVERAGEIFS(monthly!S:S,monthly!$A:$A,"&gt;="&amp;$A143,monthly!$B:$B,"&lt;="&amp;$B143))</f>
        <v>1.1389278499278501</v>
      </c>
      <c r="AB143">
        <f>IF(COUNTIFS(monthly!T:T,"",monthly!$A:$A,"&gt;="&amp;$A143,monthly!$B:$B,"&lt;="&amp;$B143)&gt;0,"NA",AVERAGEIFS(monthly!T:T,monthly!$A:$A,"&gt;="&amp;$A143,monthly!$B:$B,"&lt;="&amp;$B143))</f>
        <v>13.431767676767677</v>
      </c>
      <c r="AC143">
        <f>IF(COUNTIFS(monthly!U:U,"",monthly!$A:$A,"&gt;="&amp;$A143,monthly!$B:$B,"&lt;="&amp;$B143)&gt;0,"NA",AVERAGEIFS(monthly!U:U,monthly!$A:$A,"&gt;="&amp;$A143,monthly!$B:$B,"&lt;="&amp;$B143))</f>
        <v>70.35987276761692</v>
      </c>
      <c r="AD143">
        <f>IF(COUNTIFS(monthly!V:V,"",monthly!$A:$A,"&gt;="&amp;$A143,monthly!$B:$B,"&lt;="&amp;$B143)&gt;0,"NA",AVERAGEIFS(monthly!V:V,monthly!$A:$A,"&gt;="&amp;$A143,monthly!$B:$B,"&lt;="&amp;$B143))</f>
        <v>51.111514273356427</v>
      </c>
      <c r="AE143">
        <f>IF(COUNTIFS(monthly!W:W,"",monthly!$A:$A,"&gt;="&amp;$A143,monthly!$B:$B,"&lt;="&amp;$B143)&gt;0,"NA",AVERAGEIFS(monthly!W:W,monthly!$A:$A,"&gt;="&amp;$A143,monthly!$B:$B,"&lt;="&amp;$B143))</f>
        <v>88.787473042805985</v>
      </c>
      <c r="AF143">
        <f>IF(COUNTIFS(monthly!X:X,"",monthly!$A:$A,"&gt;="&amp;$A143,monthly!$B:$B,"&lt;="&amp;$B143)&gt;0,"NA",AVERAGEIFS(monthly!X:X,monthly!$A:$A,"&gt;="&amp;$A143,monthly!$B:$B,"&lt;="&amp;$B143))</f>
        <v>77.449274698893234</v>
      </c>
      <c r="AG143">
        <f>IF(COUNTIFS(monthly!Y:Y,"",monthly!$A:$A,"&gt;="&amp;$A143,monthly!$B:$B,"&lt;="&amp;$B143)&gt;0,"NA",AVERAGEIFS(monthly!Y:Y,monthly!$A:$A,"&gt;="&amp;$A143,monthly!$B:$B,"&lt;="&amp;$B143))</f>
        <v>100.39377593994141</v>
      </c>
      <c r="AH143">
        <f>IF(COUNTIFS(monthly!Z:Z,"",monthly!$A:$A,"&gt;="&amp;$A143,monthly!$B:$B,"&lt;="&amp;$B143)&gt;0,"NA",AVERAGEIFS(monthly!Z:Z,monthly!$A:$A,"&gt;="&amp;$A143,monthly!$B:$B,"&lt;="&amp;$B143))</f>
        <v>7.9504907131195068E-2</v>
      </c>
    </row>
    <row r="144" spans="1:34" x14ac:dyDescent="0.2">
      <c r="A144" s="1">
        <v>38534</v>
      </c>
      <c r="B144" s="1">
        <v>38625</v>
      </c>
      <c r="C144">
        <f>IF(ISBLANK(VLOOKUP($A144,quarterly_data,MATCH(C$1,quarterly!$1:$1,FALSE),FALSE)),"NA",VLOOKUP($A144,quarterly_data,MATCH(C$1,quarterly!$1:$1,FALSE),FALSE))</f>
        <v>127.09431618555671</v>
      </c>
      <c r="D144">
        <f>IF(ISBLANK(VLOOKUP($A144,quarterly_data,MATCH(D$1,quarterly!$1:$1,FALSE),FALSE)),"NA",VLOOKUP($A144,quarterly_data,MATCH(D$1,quarterly!$1:$1,FALSE),FALSE))</f>
        <v>67.8</v>
      </c>
      <c r="E144">
        <f>IF(ISBLANK(VLOOKUP($A144,quarterly_data,MATCH(E$1,quarterly!$1:$1,FALSE),FALSE)),"NA",VLOOKUP($A144,quarterly_data,MATCH(E$1,quarterly!$1:$1,FALSE),FALSE))</f>
        <v>6.1954000000000002E-2</v>
      </c>
      <c r="F144">
        <f>IF(ISBLANK(VLOOKUP($A144,quarterly_data,MATCH(F$1,quarterly!$1:$1,FALSE),FALSE)),"NA",VLOOKUP($A144,quarterly_data,MATCH(F$1,quarterly!$1:$1,FALSE),FALSE))</f>
        <v>2.0873599999999999E-2</v>
      </c>
      <c r="G144">
        <f>IF(ISBLANK(VLOOKUP($A144,quarterly_data,MATCH(G$1,quarterly!$1:$1,FALSE),FALSE)),"NA",VLOOKUP($A144,quarterly_data,MATCH(G$1,quarterly!$1:$1,FALSE),FALSE))</f>
        <v>16047.587</v>
      </c>
      <c r="H144">
        <f>IF(ISBLANK(VLOOKUP($A144,quarterly_data,MATCH(H$1,quarterly!$1:$1,FALSE),FALSE)),"NA",VLOOKUP($A144,quarterly_data,MATCH(H$1,quarterly!$1:$1,FALSE),FALSE))</f>
        <v>420512</v>
      </c>
      <c r="I144">
        <f>IF(ISBLANK(VLOOKUP($A144,quarterly_data,MATCH(I$1,quarterly!$1:$1,FALSE),FALSE)),"NA",VLOOKUP($A144,quarterly_data,MATCH(I$1,quarterly!$1:$1,FALSE),FALSE))</f>
        <v>0.6</v>
      </c>
      <c r="J144">
        <f>IF(ISBLANK(VLOOKUP($A144,quarterly_data,MATCH(J$1,quarterly!$1:$1,FALSE),FALSE)),"NA",VLOOKUP($A144,quarterly_data,MATCH(J$1,quarterly!$1:$1,FALSE),FALSE))</f>
        <v>57.92</v>
      </c>
      <c r="K144">
        <f>IF(COUNTIFS(monthly!C:C,"",monthly!$A:$A,"&gt;="&amp;$A144,monthly!$B:$B,"&lt;="&amp;$B144)&gt;0,"NA",AVERAGEIFS(monthly!C:C,monthly!$A:$A,"&gt;="&amp;$A144,monthly!$B:$B,"&lt;="&amp;$B144))</f>
        <v>64.100000000000009</v>
      </c>
      <c r="L144">
        <f>IF(COUNTIFS(monthly!D:D,"",monthly!$A:$A,"&gt;="&amp;$A144,monthly!$B:$B,"&lt;="&amp;$B144)&gt;0,"NA",AVERAGEIFS(monthly!D:D,monthly!$A:$A,"&gt;="&amp;$A144,monthly!$B:$B,"&lt;="&amp;$B144))</f>
        <v>0.75603333333333333</v>
      </c>
      <c r="M144">
        <f>IF(COUNTIFS(monthly!E:E,"",monthly!$A:$A,"&gt;="&amp;$A144,monthly!$B:$B,"&lt;="&amp;$B144)&gt;0,"NA",AVERAGEIFS(monthly!E:E,monthly!$A:$A,"&gt;="&amp;$A144,monthly!$B:$B,"&lt;="&amp;$B144))</f>
        <v>49.46165171247376</v>
      </c>
      <c r="N144" t="str">
        <f>IF(COUNTIFS(monthly!F:F,"",monthly!$A:$A,"&gt;="&amp;$A144,monthly!$B:$B,"&lt;="&amp;$B144)&gt;0,"NA",AVERAGEIFS(monthly!F:F,monthly!$A:$A,"&gt;="&amp;$A144,monthly!$B:$B,"&lt;="&amp;$B144))</f>
        <v>NA</v>
      </c>
      <c r="O144">
        <f>IF(COUNTIFS(monthly!G:G,"",monthly!$A:$A,"&gt;="&amp;$A144,monthly!$B:$B,"&lt;="&amp;$B144)&gt;0,"NA",AVERAGEIFS(monthly!G:G,monthly!$A:$A,"&gt;="&amp;$A144,monthly!$B:$B,"&lt;="&amp;$B144))</f>
        <v>65</v>
      </c>
      <c r="P144">
        <f>IF(COUNTIFS(monthly!H:H,"",monthly!$A:$A,"&gt;="&amp;$A144,monthly!$B:$B,"&lt;="&amp;$B144)&gt;0,"NA",AVERAGEIFS(monthly!H:H,monthly!$A:$A,"&gt;="&amp;$A144,monthly!$B:$B,"&lt;="&amp;$B144))</f>
        <v>48.433333333333337</v>
      </c>
      <c r="Q144">
        <f>IF(COUNTIFS(monthly!I:I,"",monthly!$A:$A,"&gt;="&amp;$A144,monthly!$B:$B,"&lt;="&amp;$B144)&gt;0,"NA",AVERAGEIFS(monthly!I:I,monthly!$A:$A,"&gt;="&amp;$A144,monthly!$B:$B,"&lt;="&amp;$B144))</f>
        <v>61.566666666666663</v>
      </c>
      <c r="R144">
        <f>IF(COUNTIFS(monthly!J:J,"",monthly!$A:$A,"&gt;="&amp;$A144,monthly!$B:$B,"&lt;="&amp;$B144)&gt;0,"NA",AVERAGEIFS(monthly!J:J,monthly!$A:$A,"&gt;="&amp;$A144,monthly!$B:$B,"&lt;="&amp;$B144))</f>
        <v>6.206666666666667</v>
      </c>
      <c r="S144">
        <f>IF(COUNTIFS(monthly!K:K,"",monthly!$A:$A,"&gt;="&amp;$A144,monthly!$B:$B,"&lt;="&amp;$B144)&gt;0,"NA",AVERAGEIFS(monthly!K:K,monthly!$A:$A,"&gt;="&amp;$A144,monthly!$B:$B,"&lt;="&amp;$B144))</f>
        <v>5.5</v>
      </c>
      <c r="T144">
        <f>IF(COUNTIFS(monthly!L:L,"",monthly!$A:$A,"&gt;="&amp;$A144,monthly!$B:$B,"&lt;="&amp;$B144)&gt;0,"NA",AVERAGEIFS(monthly!L:L,monthly!$A:$A,"&gt;="&amp;$A144,monthly!$B:$B,"&lt;="&amp;$B144))</f>
        <v>3.461752688172044</v>
      </c>
      <c r="U144">
        <f>IF(COUNTIFS(monthly!M:M,"",monthly!$A:$A,"&gt;="&amp;$A144,monthly!$B:$B,"&lt;="&amp;$B144)&gt;0,"NA",AVERAGEIFS(monthly!M:M,monthly!$A:$A,"&gt;="&amp;$A144,monthly!$B:$B,"&lt;="&amp;$B144))</f>
        <v>2.038247311827956</v>
      </c>
      <c r="V144">
        <f>IF(COUNTIFS(monthly!N:N,"",monthly!$A:$A,"&gt;="&amp;$A144,monthly!$B:$B,"&lt;="&amp;$B144)&gt;0,"NA",AVERAGEIFS(monthly!N:N,monthly!$A:$A,"&gt;="&amp;$A144,monthly!$B:$B,"&lt;="&amp;$B144))</f>
        <v>5.1567529330572812</v>
      </c>
      <c r="W144">
        <f>IF(COUNTIFS(monthly!O:O,"",monthly!$A:$A,"&gt;="&amp;$A144,monthly!$B:$B,"&lt;="&amp;$B144)&gt;0,"NA",AVERAGEIFS(monthly!O:O,monthly!$A:$A,"&gt;="&amp;$A144,monthly!$B:$B,"&lt;="&amp;$B144))</f>
        <v>3.9538461007591441</v>
      </c>
      <c r="X144">
        <f>IF(COUNTIFS(monthly!P:P,"",monthly!$A:$A,"&gt;="&amp;$A144,monthly!$B:$B,"&lt;="&amp;$B144)&gt;0,"NA",AVERAGEIFS(monthly!P:P,monthly!$A:$A,"&gt;="&amp;$A144,monthly!$B:$B,"&lt;="&amp;$B144))</f>
        <v>1.2029068322981371</v>
      </c>
      <c r="Y144">
        <f>IF(COUNTIFS(monthly!Q:Q,"",monthly!$A:$A,"&gt;="&amp;$A144,monthly!$B:$B,"&lt;="&amp;$B144)&gt;0,"NA",AVERAGEIFS(monthly!Q:Q,monthly!$A:$A,"&gt;="&amp;$A144,monthly!$B:$B,"&lt;="&amp;$B144))</f>
        <v>5.1984324612585482</v>
      </c>
      <c r="Z144">
        <f>IF(COUNTIFS(monthly!R:R,"",monthly!$A:$A,"&gt;="&amp;$A144,monthly!$B:$B,"&lt;="&amp;$B144)&gt;0,"NA",AVERAGEIFS(monthly!R:R,monthly!$A:$A,"&gt;="&amp;$A144,monthly!$B:$B,"&lt;="&amp;$B144))</f>
        <v>4.2130521048999308</v>
      </c>
      <c r="AA144">
        <f>IF(COUNTIFS(monthly!S:S,"",monthly!$A:$A,"&gt;="&amp;$A144,monthly!$B:$B,"&lt;="&amp;$B144)&gt;0,"NA",AVERAGEIFS(monthly!S:S,monthly!$A:$A,"&gt;="&amp;$A144,monthly!$B:$B,"&lt;="&amp;$B144))</f>
        <v>0.98538035635861709</v>
      </c>
      <c r="AB144">
        <f>IF(COUNTIFS(monthly!T:T,"",monthly!$A:$A,"&gt;="&amp;$A144,monthly!$B:$B,"&lt;="&amp;$B144)&gt;0,"NA",AVERAGEIFS(monthly!T:T,monthly!$A:$A,"&gt;="&amp;$A144,monthly!$B:$B,"&lt;="&amp;$B144))</f>
        <v>12.209466528640441</v>
      </c>
      <c r="AC144">
        <f>IF(COUNTIFS(monthly!U:U,"",monthly!$A:$A,"&gt;="&amp;$A144,monthly!$B:$B,"&lt;="&amp;$B144)&gt;0,"NA",AVERAGEIFS(monthly!U:U,monthly!$A:$A,"&gt;="&amp;$A144,monthly!$B:$B,"&lt;="&amp;$B144))</f>
        <v>72.838150428920571</v>
      </c>
      <c r="AD144">
        <f>IF(COUNTIFS(monthly!V:V,"",monthly!$A:$A,"&gt;="&amp;$A144,monthly!$B:$B,"&lt;="&amp;$B144)&gt;0,"NA",AVERAGEIFS(monthly!V:V,monthly!$A:$A,"&gt;="&amp;$A144,monthly!$B:$B,"&lt;="&amp;$B144))</f>
        <v>42.886997481753347</v>
      </c>
      <c r="AE144">
        <f>IF(COUNTIFS(monthly!W:W,"",monthly!$A:$A,"&gt;="&amp;$A144,monthly!$B:$B,"&lt;="&amp;$B144)&gt;0,"NA",AVERAGEIFS(monthly!W:W,monthly!$A:$A,"&gt;="&amp;$A144,monthly!$B:$B,"&lt;="&amp;$B144))</f>
        <v>128.64574686686197</v>
      </c>
      <c r="AF144">
        <f>IF(COUNTIFS(monthly!X:X,"",monthly!$A:$A,"&gt;="&amp;$A144,monthly!$B:$B,"&lt;="&amp;$B144)&gt;0,"NA",AVERAGEIFS(monthly!X:X,monthly!$A:$A,"&gt;="&amp;$A144,monthly!$B:$B,"&lt;="&amp;$B144))</f>
        <v>96.441116333007812</v>
      </c>
      <c r="AG144">
        <f>IF(COUNTIFS(monthly!Y:Y,"",monthly!$A:$A,"&gt;="&amp;$A144,monthly!$B:$B,"&lt;="&amp;$B144)&gt;0,"NA",AVERAGEIFS(monthly!Y:Y,monthly!$A:$A,"&gt;="&amp;$A144,monthly!$B:$B,"&lt;="&amp;$B144))</f>
        <v>170.37609354654947</v>
      </c>
      <c r="AH144">
        <f>IF(COUNTIFS(monthly!Z:Z,"",monthly!$A:$A,"&gt;="&amp;$A144,monthly!$B:$B,"&lt;="&amp;$B144)&gt;0,"NA",AVERAGEIFS(monthly!Z:Z,monthly!$A:$A,"&gt;="&amp;$A144,monthly!$B:$B,"&lt;="&amp;$B144))</f>
        <v>0.11674694220225017</v>
      </c>
    </row>
    <row r="145" spans="1:34" x14ac:dyDescent="0.2">
      <c r="A145" s="1">
        <v>38626</v>
      </c>
      <c r="B145" s="1">
        <v>38716</v>
      </c>
      <c r="C145">
        <f>IF(ISBLANK(VLOOKUP($A145,quarterly_data,MATCH(C$1,quarterly!$1:$1,FALSE),FALSE)),"NA",VLOOKUP($A145,quarterly_data,MATCH(C$1,quarterly!$1:$1,FALSE),FALSE))</f>
        <v>126.35962239821004</v>
      </c>
      <c r="D145">
        <f>IF(ISBLANK(VLOOKUP($A145,quarterly_data,MATCH(D$1,quarterly!$1:$1,FALSE),FALSE)),"NA",VLOOKUP($A145,quarterly_data,MATCH(D$1,quarterly!$1:$1,FALSE),FALSE))</f>
        <v>69.8</v>
      </c>
      <c r="E145">
        <f>IF(ISBLANK(VLOOKUP($A145,quarterly_data,MATCH(E$1,quarterly!$1:$1,FALSE),FALSE)),"NA",VLOOKUP($A145,quarterly_data,MATCH(E$1,quarterly!$1:$1,FALSE),FALSE))</f>
        <v>0</v>
      </c>
      <c r="F145">
        <f>IF(ISBLANK(VLOOKUP($A145,quarterly_data,MATCH(F$1,quarterly!$1:$1,FALSE),FALSE)),"NA",VLOOKUP($A145,quarterly_data,MATCH(F$1,quarterly!$1:$1,FALSE),FALSE))</f>
        <v>6.1954000000000002E-3</v>
      </c>
      <c r="G145">
        <f>IF(ISBLANK(VLOOKUP($A145,quarterly_data,MATCH(G$1,quarterly!$1:$1,FALSE),FALSE)),"NA",VLOOKUP($A145,quarterly_data,MATCH(G$1,quarterly!$1:$1,FALSE),FALSE))</f>
        <v>16136.734</v>
      </c>
      <c r="H145">
        <f>IF(ISBLANK(VLOOKUP($A145,quarterly_data,MATCH(H$1,quarterly!$1:$1,FALSE),FALSE)),"NA",VLOOKUP($A145,quarterly_data,MATCH(H$1,quarterly!$1:$1,FALSE),FALSE))</f>
        <v>423912</v>
      </c>
      <c r="I145">
        <f>IF(ISBLANK(VLOOKUP($A145,quarterly_data,MATCH(I$1,quarterly!$1:$1,FALSE),FALSE)),"NA",VLOOKUP($A145,quarterly_data,MATCH(I$1,quarterly!$1:$1,FALSE),FALSE))</f>
        <v>0.7</v>
      </c>
      <c r="J145">
        <f>IF(ISBLANK(VLOOKUP($A145,quarterly_data,MATCH(J$1,quarterly!$1:$1,FALSE),FALSE)),"NA",VLOOKUP($A145,quarterly_data,MATCH(J$1,quarterly!$1:$1,FALSE),FALSE))</f>
        <v>58.22</v>
      </c>
      <c r="K145">
        <f>IF(COUNTIFS(monthly!C:C,"",monthly!$A:$A,"&gt;="&amp;$A145,monthly!$B:$B,"&lt;="&amp;$B145)&gt;0,"NA",AVERAGEIFS(monthly!C:C,monthly!$A:$A,"&gt;="&amp;$A145,monthly!$B:$B,"&lt;="&amp;$B145))</f>
        <v>63.8</v>
      </c>
      <c r="L145">
        <f>IF(COUNTIFS(monthly!D:D,"",monthly!$A:$A,"&gt;="&amp;$A145,monthly!$B:$B,"&lt;="&amp;$B145)&gt;0,"NA",AVERAGEIFS(monthly!D:D,monthly!$A:$A,"&gt;="&amp;$A145,monthly!$B:$B,"&lt;="&amp;$B145))</f>
        <v>0.74380000000000002</v>
      </c>
      <c r="M145">
        <f>IF(COUNTIFS(monthly!E:E,"",monthly!$A:$A,"&gt;="&amp;$A145,monthly!$B:$B,"&lt;="&amp;$B145)&gt;0,"NA",AVERAGEIFS(monthly!E:E,monthly!$A:$A,"&gt;="&amp;$A145,monthly!$B:$B,"&lt;="&amp;$B145))</f>
        <v>51.333987271776195</v>
      </c>
      <c r="N145" t="str">
        <f>IF(COUNTIFS(monthly!F:F,"",monthly!$A:$A,"&gt;="&amp;$A145,monthly!$B:$B,"&lt;="&amp;$B145)&gt;0,"NA",AVERAGEIFS(monthly!F:F,monthly!$A:$A,"&gt;="&amp;$A145,monthly!$B:$B,"&lt;="&amp;$B145))</f>
        <v>NA</v>
      </c>
      <c r="O145">
        <f>IF(COUNTIFS(monthly!G:G,"",monthly!$A:$A,"&gt;="&amp;$A145,monthly!$B:$B,"&lt;="&amp;$B145)&gt;0,"NA",AVERAGEIFS(monthly!G:G,monthly!$A:$A,"&gt;="&amp;$A145,monthly!$B:$B,"&lt;="&amp;$B145))</f>
        <v>65</v>
      </c>
      <c r="P145">
        <f>IF(COUNTIFS(monthly!H:H,"",monthly!$A:$A,"&gt;="&amp;$A145,monthly!$B:$B,"&lt;="&amp;$B145)&gt;0,"NA",AVERAGEIFS(monthly!H:H,monthly!$A:$A,"&gt;="&amp;$A145,monthly!$B:$B,"&lt;="&amp;$B145))</f>
        <v>40.299999999999997</v>
      </c>
      <c r="Q145">
        <f>IF(COUNTIFS(monthly!I:I,"",monthly!$A:$A,"&gt;="&amp;$A145,monthly!$B:$B,"&lt;="&amp;$B145)&gt;0,"NA",AVERAGEIFS(monthly!I:I,monthly!$A:$A,"&gt;="&amp;$A145,monthly!$B:$B,"&lt;="&amp;$B145))</f>
        <v>57</v>
      </c>
      <c r="R145">
        <f>IF(COUNTIFS(monthly!J:J,"",monthly!$A:$A,"&gt;="&amp;$A145,monthly!$B:$B,"&lt;="&amp;$B145)&gt;0,"NA",AVERAGEIFS(monthly!J:J,monthly!$A:$A,"&gt;="&amp;$A145,monthly!$B:$B,"&lt;="&amp;$B145))</f>
        <v>6.5449999999999999</v>
      </c>
      <c r="S145">
        <f>IF(COUNTIFS(monthly!K:K,"",monthly!$A:$A,"&gt;="&amp;$A145,monthly!$B:$B,"&lt;="&amp;$B145)&gt;0,"NA",AVERAGEIFS(monthly!K:K,monthly!$A:$A,"&gt;="&amp;$A145,monthly!$B:$B,"&lt;="&amp;$B145))</f>
        <v>5.5</v>
      </c>
      <c r="T145">
        <f>IF(COUNTIFS(monthly!L:L,"",monthly!$A:$A,"&gt;="&amp;$A145,monthly!$B:$B,"&lt;="&amp;$B145)&gt;0,"NA",AVERAGEIFS(monthly!L:L,monthly!$A:$A,"&gt;="&amp;$A145,monthly!$B:$B,"&lt;="&amp;$B145))</f>
        <v>3.889177419354839</v>
      </c>
      <c r="U145">
        <f>IF(COUNTIFS(monthly!M:M,"",monthly!$A:$A,"&gt;="&amp;$A145,monthly!$B:$B,"&lt;="&amp;$B145)&gt;0,"NA",AVERAGEIFS(monthly!M:M,monthly!$A:$A,"&gt;="&amp;$A145,monthly!$B:$B,"&lt;="&amp;$B145))</f>
        <v>1.610822580645161</v>
      </c>
      <c r="V145">
        <f>IF(COUNTIFS(monthly!N:N,"",monthly!$A:$A,"&gt;="&amp;$A145,monthly!$B:$B,"&lt;="&amp;$B145)&gt;0,"NA",AVERAGEIFS(monthly!N:N,monthly!$A:$A,"&gt;="&amp;$A145,monthly!$B:$B,"&lt;="&amp;$B145))</f>
        <v>5.3044534632034619</v>
      </c>
      <c r="W145">
        <f>IF(COUNTIFS(monthly!O:O,"",monthly!$A:$A,"&gt;="&amp;$A145,monthly!$B:$B,"&lt;="&amp;$B145)&gt;0,"NA",AVERAGEIFS(monthly!O:O,monthly!$A:$A,"&gt;="&amp;$A145,monthly!$B:$B,"&lt;="&amp;$B145))</f>
        <v>4.34375</v>
      </c>
      <c r="X145">
        <f>IF(COUNTIFS(monthly!P:P,"",monthly!$A:$A,"&gt;="&amp;$A145,monthly!$B:$B,"&lt;="&amp;$B145)&gt;0,"NA",AVERAGEIFS(monthly!P:P,monthly!$A:$A,"&gt;="&amp;$A145,monthly!$B:$B,"&lt;="&amp;$B145))</f>
        <v>0.96070346320346234</v>
      </c>
      <c r="Y145">
        <f>IF(COUNTIFS(monthly!Q:Q,"",monthly!$A:$A,"&gt;="&amp;$A145,monthly!$B:$B,"&lt;="&amp;$B145)&gt;0,"NA",AVERAGEIFS(monthly!Q:Q,monthly!$A:$A,"&gt;="&amp;$A145,monthly!$B:$B,"&lt;="&amp;$B145))</f>
        <v>5.4177326839826838</v>
      </c>
      <c r="Z145">
        <f>IF(COUNTIFS(monthly!R:R,"",monthly!$A:$A,"&gt;="&amp;$A145,monthly!$B:$B,"&lt;="&amp;$B145)&gt;0,"NA",AVERAGEIFS(monthly!R:R,monthly!$A:$A,"&gt;="&amp;$A145,monthly!$B:$B,"&lt;="&amp;$B145))</f>
        <v>4.49925</v>
      </c>
      <c r="AA145">
        <f>IF(COUNTIFS(monthly!S:S,"",monthly!$A:$A,"&gt;="&amp;$A145,monthly!$B:$B,"&lt;="&amp;$B145)&gt;0,"NA",AVERAGEIFS(monthly!S:S,monthly!$A:$A,"&gt;="&amp;$A145,monthly!$B:$B,"&lt;="&amp;$B145))</f>
        <v>0.91848268398268385</v>
      </c>
      <c r="AB145">
        <f>IF(COUNTIFS(monthly!T:T,"",monthly!$A:$A,"&gt;="&amp;$A145,monthly!$B:$B,"&lt;="&amp;$B145)&gt;0,"NA",AVERAGEIFS(monthly!T:T,monthly!$A:$A,"&gt;="&amp;$A145,monthly!$B:$B,"&lt;="&amp;$B145))</f>
        <v>13.542619047619047</v>
      </c>
      <c r="AC145">
        <f>IF(COUNTIFS(monthly!U:U,"",monthly!$A:$A,"&gt;="&amp;$A145,monthly!$B:$B,"&lt;="&amp;$B145)&gt;0,"NA",AVERAGEIFS(monthly!U:U,monthly!$A:$A,"&gt;="&amp;$A145,monthly!$B:$B,"&lt;="&amp;$B145))</f>
        <v>66.28141036017351</v>
      </c>
      <c r="AD145">
        <f>IF(COUNTIFS(monthly!V:V,"",monthly!$A:$A,"&gt;="&amp;$A145,monthly!$B:$B,"&lt;="&amp;$B145)&gt;0,"NA",AVERAGEIFS(monthly!V:V,monthly!$A:$A,"&gt;="&amp;$A145,monthly!$B:$B,"&lt;="&amp;$B145))</f>
        <v>49.362183632752348</v>
      </c>
      <c r="AE145">
        <f>IF(COUNTIFS(monthly!W:W,"",monthly!$A:$A,"&gt;="&amp;$A145,monthly!$B:$B,"&lt;="&amp;$B145)&gt;0,"NA",AVERAGEIFS(monthly!W:W,monthly!$A:$A,"&gt;="&amp;$A145,monthly!$B:$B,"&lt;="&amp;$B145))</f>
        <v>85.270961761474609</v>
      </c>
      <c r="AF145">
        <f>IF(COUNTIFS(monthly!X:X,"",monthly!$A:$A,"&gt;="&amp;$A145,monthly!$B:$B,"&lt;="&amp;$B145)&gt;0,"NA",AVERAGEIFS(monthly!X:X,monthly!$A:$A,"&gt;="&amp;$A145,monthly!$B:$B,"&lt;="&amp;$B145))</f>
        <v>71.89605712890625</v>
      </c>
      <c r="AG145">
        <f>IF(COUNTIFS(monthly!Y:Y,"",monthly!$A:$A,"&gt;="&amp;$A145,monthly!$B:$B,"&lt;="&amp;$B145)&gt;0,"NA",AVERAGEIFS(monthly!Y:Y,monthly!$A:$A,"&gt;="&amp;$A145,monthly!$B:$B,"&lt;="&amp;$B145))</f>
        <v>100.79573440551758</v>
      </c>
      <c r="AH145">
        <f>IF(COUNTIFS(monthly!Z:Z,"",monthly!$A:$A,"&gt;="&amp;$A145,monthly!$B:$B,"&lt;="&amp;$B145)&gt;0,"NA",AVERAGEIFS(monthly!Z:Z,monthly!$A:$A,"&gt;="&amp;$A145,monthly!$B:$B,"&lt;="&amp;$B145))</f>
        <v>0.11871641874313354</v>
      </c>
    </row>
    <row r="146" spans="1:34" x14ac:dyDescent="0.2">
      <c r="A146" s="1">
        <v>38718</v>
      </c>
      <c r="B146" s="1">
        <v>38806</v>
      </c>
      <c r="C146">
        <f>IF(ISBLANK(VLOOKUP($A146,quarterly_data,MATCH(C$1,quarterly!$1:$1,FALSE),FALSE)),"NA",VLOOKUP($A146,quarterly_data,MATCH(C$1,quarterly!$1:$1,FALSE),FALSE))</f>
        <v>124.71708693948752</v>
      </c>
      <c r="D146">
        <f>IF(ISBLANK(VLOOKUP($A146,quarterly_data,MATCH(D$1,quarterly!$1:$1,FALSE),FALSE)),"NA",VLOOKUP($A146,quarterly_data,MATCH(D$1,quarterly!$1:$1,FALSE),FALSE))</f>
        <v>71.3</v>
      </c>
      <c r="E146">
        <f>IF(ISBLANK(VLOOKUP($A146,quarterly_data,MATCH(E$1,quarterly!$1:$1,FALSE),FALSE)),"NA",VLOOKUP($A146,quarterly_data,MATCH(E$1,quarterly!$1:$1,FALSE),FALSE))</f>
        <v>0</v>
      </c>
      <c r="F146">
        <f>IF(ISBLANK(VLOOKUP($A146,quarterly_data,MATCH(F$1,quarterly!$1:$1,FALSE),FALSE)),"NA",VLOOKUP($A146,quarterly_data,MATCH(F$1,quarterly!$1:$1,FALSE),FALSE))</f>
        <v>2.0650999999999998E-3</v>
      </c>
      <c r="G146">
        <f>IF(ISBLANK(VLOOKUP($A146,quarterly_data,MATCH(G$1,quarterly!$1:$1,FALSE),FALSE)),"NA",VLOOKUP($A146,quarterly_data,MATCH(G$1,quarterly!$1:$1,FALSE),FALSE))</f>
        <v>16353.834999999999</v>
      </c>
      <c r="H146">
        <f>IF(ISBLANK(VLOOKUP($A146,quarterly_data,MATCH(H$1,quarterly!$1:$1,FALSE),FALSE)),"NA",VLOOKUP($A146,quarterly_data,MATCH(H$1,quarterly!$1:$1,FALSE),FALSE))</f>
        <v>424243</v>
      </c>
      <c r="I146">
        <f>IF(ISBLANK(VLOOKUP($A146,quarterly_data,MATCH(I$1,quarterly!$1:$1,FALSE),FALSE)),"NA",VLOOKUP($A146,quarterly_data,MATCH(I$1,quarterly!$1:$1,FALSE),FALSE))</f>
        <v>0.8</v>
      </c>
      <c r="J146">
        <f>IF(ISBLANK(VLOOKUP($A146,quarterly_data,MATCH(J$1,quarterly!$1:$1,FALSE),FALSE)),"NA",VLOOKUP($A146,quarterly_data,MATCH(J$1,quarterly!$1:$1,FALSE),FALSE))</f>
        <v>58.72</v>
      </c>
      <c r="K146">
        <f>IF(COUNTIFS(monthly!C:C,"",monthly!$A:$A,"&gt;="&amp;$A146,monthly!$B:$B,"&lt;="&amp;$B146)&gt;0,"NA",AVERAGEIFS(monthly!C:C,monthly!$A:$A,"&gt;="&amp;$A146,monthly!$B:$B,"&lt;="&amp;$B146))</f>
        <v>63</v>
      </c>
      <c r="L146">
        <f>IF(COUNTIFS(monthly!D:D,"",monthly!$A:$A,"&gt;="&amp;$A146,monthly!$B:$B,"&lt;="&amp;$B146)&gt;0,"NA",AVERAGEIFS(monthly!D:D,monthly!$A:$A,"&gt;="&amp;$A146,monthly!$B:$B,"&lt;="&amp;$B146))</f>
        <v>0.74459999999999993</v>
      </c>
      <c r="M146">
        <f>IF(COUNTIFS(monthly!E:E,"",monthly!$A:$A,"&gt;="&amp;$A146,monthly!$B:$B,"&lt;="&amp;$B146)&gt;0,"NA",AVERAGEIFS(monthly!E:E,monthly!$A:$A,"&gt;="&amp;$A146,monthly!$B:$B,"&lt;="&amp;$B146))</f>
        <v>54.689765743223802</v>
      </c>
      <c r="N146" t="str">
        <f>IF(COUNTIFS(monthly!F:F,"",monthly!$A:$A,"&gt;="&amp;$A146,monthly!$B:$B,"&lt;="&amp;$B146)&gt;0,"NA",AVERAGEIFS(monthly!F:F,monthly!$A:$A,"&gt;="&amp;$A146,monthly!$B:$B,"&lt;="&amp;$B146))</f>
        <v>NA</v>
      </c>
      <c r="O146">
        <f>IF(COUNTIFS(monthly!G:G,"",monthly!$A:$A,"&gt;="&amp;$A146,monthly!$B:$B,"&lt;="&amp;$B146)&gt;0,"NA",AVERAGEIFS(monthly!G:G,monthly!$A:$A,"&gt;="&amp;$A146,monthly!$B:$B,"&lt;="&amp;$B146))</f>
        <v>66.2</v>
      </c>
      <c r="P146">
        <f>IF(COUNTIFS(monthly!H:H,"",monthly!$A:$A,"&gt;="&amp;$A146,monthly!$B:$B,"&lt;="&amp;$B146)&gt;0,"NA",AVERAGEIFS(monthly!H:H,monthly!$A:$A,"&gt;="&amp;$A146,monthly!$B:$B,"&lt;="&amp;$B146))</f>
        <v>45.45</v>
      </c>
      <c r="Q146">
        <f>IF(COUNTIFS(monthly!I:I,"",monthly!$A:$A,"&gt;="&amp;$A146,monthly!$B:$B,"&lt;="&amp;$B146)&gt;0,"NA",AVERAGEIFS(monthly!I:I,monthly!$A:$A,"&gt;="&amp;$A146,monthly!$B:$B,"&lt;="&amp;$B146))</f>
        <v>61.75</v>
      </c>
      <c r="R146">
        <f>IF(COUNTIFS(monthly!J:J,"",monthly!$A:$A,"&gt;="&amp;$A146,monthly!$B:$B,"&lt;="&amp;$B146)&gt;0,"NA",AVERAGEIFS(monthly!J:J,monthly!$A:$A,"&gt;="&amp;$A146,monthly!$B:$B,"&lt;="&amp;$B146))</f>
        <v>6.7850000000000001</v>
      </c>
      <c r="S146">
        <f>IF(COUNTIFS(monthly!K:K,"",monthly!$A:$A,"&gt;="&amp;$A146,monthly!$B:$B,"&lt;="&amp;$B146)&gt;0,"NA",AVERAGEIFS(monthly!K:K,monthly!$A:$A,"&gt;="&amp;$A146,monthly!$B:$B,"&lt;="&amp;$B146))</f>
        <v>5.5</v>
      </c>
      <c r="T146">
        <f>IF(COUNTIFS(monthly!L:L,"",monthly!$A:$A,"&gt;="&amp;$A146,monthly!$B:$B,"&lt;="&amp;$B146)&gt;0,"NA",AVERAGEIFS(monthly!L:L,monthly!$A:$A,"&gt;="&amp;$A146,monthly!$B:$B,"&lt;="&amp;$B146))</f>
        <v>4.3882949308755759</v>
      </c>
      <c r="U146">
        <f>IF(COUNTIFS(monthly!M:M,"",monthly!$A:$A,"&gt;="&amp;$A146,monthly!$B:$B,"&lt;="&amp;$B146)&gt;0,"NA",AVERAGEIFS(monthly!M:M,monthly!$A:$A,"&gt;="&amp;$A146,monthly!$B:$B,"&lt;="&amp;$B146))</f>
        <v>1.1117050691244241</v>
      </c>
      <c r="V146">
        <f>IF(COUNTIFS(monthly!N:N,"",monthly!$A:$A,"&gt;="&amp;$A146,monthly!$B:$B,"&lt;="&amp;$B146)&gt;0,"NA",AVERAGEIFS(monthly!N:N,monthly!$A:$A,"&gt;="&amp;$A146,monthly!$B:$B,"&lt;="&amp;$B146))</f>
        <v>5.2043749999999998</v>
      </c>
      <c r="W146">
        <f>IF(COUNTIFS(monthly!O:O,"",monthly!$A:$A,"&gt;="&amp;$A146,monthly!$B:$B,"&lt;="&amp;$B146)&gt;0,"NA",AVERAGEIFS(monthly!O:O,monthly!$A:$A,"&gt;="&amp;$A146,monthly!$B:$B,"&lt;="&amp;$B146))</f>
        <v>4.5319605263157881</v>
      </c>
      <c r="X146">
        <f>IF(COUNTIFS(monthly!P:P,"",monthly!$A:$A,"&gt;="&amp;$A146,monthly!$B:$B,"&lt;="&amp;$B146)&gt;0,"NA",AVERAGEIFS(monthly!P:P,monthly!$A:$A,"&gt;="&amp;$A146,monthly!$B:$B,"&lt;="&amp;$B146))</f>
        <v>0.6724144736842117</v>
      </c>
      <c r="Y146">
        <f>IF(COUNTIFS(monthly!Q:Q,"",monthly!$A:$A,"&gt;="&amp;$A146,monthly!$B:$B,"&lt;="&amp;$B146)&gt;0,"NA",AVERAGEIFS(monthly!Q:Q,monthly!$A:$A,"&gt;="&amp;$A146,monthly!$B:$B,"&lt;="&amp;$B146))</f>
        <v>5.2377500000000001</v>
      </c>
      <c r="Z146">
        <f>IF(COUNTIFS(monthly!R:R,"",monthly!$A:$A,"&gt;="&amp;$A146,monthly!$B:$B,"&lt;="&amp;$B146)&gt;0,"NA",AVERAGEIFS(monthly!R:R,monthly!$A:$A,"&gt;="&amp;$A146,monthly!$B:$B,"&lt;="&amp;$B146))</f>
        <v>4.4924736842105268</v>
      </c>
      <c r="AA146">
        <f>IF(COUNTIFS(monthly!S:S,"",monthly!$A:$A,"&gt;="&amp;$A146,monthly!$B:$B,"&lt;="&amp;$B146)&gt;0,"NA",AVERAGEIFS(monthly!S:S,monthly!$A:$A,"&gt;="&amp;$A146,monthly!$B:$B,"&lt;="&amp;$B146))</f>
        <v>0.74527631578947418</v>
      </c>
      <c r="AB146">
        <f>IF(COUNTIFS(monthly!T:T,"",monthly!$A:$A,"&gt;="&amp;$A146,monthly!$B:$B,"&lt;="&amp;$B146)&gt;0,"NA",AVERAGEIFS(monthly!T:T,monthly!$A:$A,"&gt;="&amp;$A146,monthly!$B:$B,"&lt;="&amp;$B146))</f>
        <v>12.253526315789472</v>
      </c>
      <c r="AC146">
        <f>IF(COUNTIFS(monthly!U:U,"",monthly!$A:$A,"&gt;="&amp;$A146,monthly!$B:$B,"&lt;="&amp;$B146)&gt;0,"NA",AVERAGEIFS(monthly!U:U,monthly!$A:$A,"&gt;="&amp;$A146,monthly!$B:$B,"&lt;="&amp;$B146))</f>
        <v>64.646576504873821</v>
      </c>
      <c r="AD146">
        <f>IF(COUNTIFS(monthly!V:V,"",monthly!$A:$A,"&gt;="&amp;$A146,monthly!$B:$B,"&lt;="&amp;$B146)&gt;0,"NA",AVERAGEIFS(monthly!V:V,monthly!$A:$A,"&gt;="&amp;$A146,monthly!$B:$B,"&lt;="&amp;$B146))</f>
        <v>42.874500919947565</v>
      </c>
      <c r="AE146">
        <f>IF(COUNTIFS(monthly!W:W,"",monthly!$A:$A,"&gt;="&amp;$A146,monthly!$B:$B,"&lt;="&amp;$B146)&gt;0,"NA",AVERAGEIFS(monthly!W:W,monthly!$A:$A,"&gt;="&amp;$A146,monthly!$B:$B,"&lt;="&amp;$B146))</f>
        <v>95.184104919433594</v>
      </c>
      <c r="AF146">
        <f>IF(COUNTIFS(monthly!X:X,"",monthly!$A:$A,"&gt;="&amp;$A146,monthly!$B:$B,"&lt;="&amp;$B146)&gt;0,"NA",AVERAGEIFS(monthly!X:X,monthly!$A:$A,"&gt;="&amp;$A146,monthly!$B:$B,"&lt;="&amp;$B146))</f>
        <v>89.364616394042969</v>
      </c>
      <c r="AG146">
        <f>IF(COUNTIFS(monthly!Y:Y,"",monthly!$A:$A,"&gt;="&amp;$A146,monthly!$B:$B,"&lt;="&amp;$B146)&gt;0,"NA",AVERAGEIFS(monthly!Y:Y,monthly!$A:$A,"&gt;="&amp;$A146,monthly!$B:$B,"&lt;="&amp;$B146))</f>
        <v>101.49511337280273</v>
      </c>
      <c r="AH146">
        <f>IF(COUNTIFS(monthly!Z:Z,"",monthly!$A:$A,"&gt;="&amp;$A146,monthly!$B:$B,"&lt;="&amp;$B146)&gt;0,"NA",AVERAGEIFS(monthly!Z:Z,monthly!$A:$A,"&gt;="&amp;$A146,monthly!$B:$B,"&lt;="&amp;$B146))</f>
        <v>5.7842731475830078E-2</v>
      </c>
    </row>
    <row r="147" spans="1:34" x14ac:dyDescent="0.2">
      <c r="A147" s="1">
        <v>38808</v>
      </c>
      <c r="B147" s="1">
        <v>38898</v>
      </c>
      <c r="C147">
        <f>IF(ISBLANK(VLOOKUP($A147,quarterly_data,MATCH(C$1,quarterly!$1:$1,FALSE),FALSE)),"NA",VLOOKUP($A147,quarterly_data,MATCH(C$1,quarterly!$1:$1,FALSE),FALSE))</f>
        <v>124.74799135255161</v>
      </c>
      <c r="D147">
        <f>IF(ISBLANK(VLOOKUP($A147,quarterly_data,MATCH(D$1,quarterly!$1:$1,FALSE),FALSE)),"NA",VLOOKUP($A147,quarterly_data,MATCH(D$1,quarterly!$1:$1,FALSE),FALSE))</f>
        <v>71.599999999999994</v>
      </c>
      <c r="E147">
        <f>IF(ISBLANK(VLOOKUP($A147,quarterly_data,MATCH(E$1,quarterly!$1:$1,FALSE),FALSE)),"NA",VLOOKUP($A147,quarterly_data,MATCH(E$1,quarterly!$1:$1,FALSE),FALSE))</f>
        <v>6.7590399999999995E-2</v>
      </c>
      <c r="F147">
        <f>IF(ISBLANK(VLOOKUP($A147,quarterly_data,MATCH(F$1,quarterly!$1:$1,FALSE),FALSE)),"NA",VLOOKUP($A147,quarterly_data,MATCH(F$1,quarterly!$1:$1,FALSE),FALSE))</f>
        <v>1.35181E-2</v>
      </c>
      <c r="G147">
        <f>IF(ISBLANK(VLOOKUP($A147,quarterly_data,MATCH(G$1,quarterly!$1:$1,FALSE),FALSE)),"NA",VLOOKUP($A147,quarterly_data,MATCH(G$1,quarterly!$1:$1,FALSE),FALSE))</f>
        <v>16396.151000000002</v>
      </c>
      <c r="H147">
        <f>IF(ISBLANK(VLOOKUP($A147,quarterly_data,MATCH(H$1,quarterly!$1:$1,FALSE),FALSE)),"NA",VLOOKUP($A147,quarterly_data,MATCH(H$1,quarterly!$1:$1,FALSE),FALSE))</f>
        <v>425448</v>
      </c>
      <c r="I147">
        <f>IF(ISBLANK(VLOOKUP($A147,quarterly_data,MATCH(I$1,quarterly!$1:$1,FALSE),FALSE)),"NA",VLOOKUP($A147,quarterly_data,MATCH(I$1,quarterly!$1:$1,FALSE),FALSE))</f>
        <v>0.8</v>
      </c>
      <c r="J147">
        <f>IF(ISBLANK(VLOOKUP($A147,quarterly_data,MATCH(J$1,quarterly!$1:$1,FALSE),FALSE)),"NA",VLOOKUP($A147,quarterly_data,MATCH(J$1,quarterly!$1:$1,FALSE),FALSE))</f>
        <v>59.65</v>
      </c>
      <c r="K147">
        <f>IF(COUNTIFS(monthly!C:C,"",monthly!$A:$A,"&gt;="&amp;$A147,monthly!$B:$B,"&lt;="&amp;$B147)&gt;0,"NA",AVERAGEIFS(monthly!C:C,monthly!$A:$A,"&gt;="&amp;$A147,monthly!$B:$B,"&lt;="&amp;$B147))</f>
        <v>62.733333333333327</v>
      </c>
      <c r="L147">
        <f>IF(COUNTIFS(monthly!D:D,"",monthly!$A:$A,"&gt;="&amp;$A147,monthly!$B:$B,"&lt;="&amp;$B147)&gt;0,"NA",AVERAGEIFS(monthly!D:D,monthly!$A:$A,"&gt;="&amp;$A147,monthly!$B:$B,"&lt;="&amp;$B147))</f>
        <v>0.75369999999999993</v>
      </c>
      <c r="M147">
        <f>IF(COUNTIFS(monthly!E:E,"",monthly!$A:$A,"&gt;="&amp;$A147,monthly!$B:$B,"&lt;="&amp;$B147)&gt;0,"NA",AVERAGEIFS(monthly!E:E,monthly!$A:$A,"&gt;="&amp;$A147,monthly!$B:$B,"&lt;="&amp;$B147))</f>
        <v>57.600647937857808</v>
      </c>
      <c r="N147" t="str">
        <f>IF(COUNTIFS(monthly!F:F,"",monthly!$A:$A,"&gt;="&amp;$A147,monthly!$B:$B,"&lt;="&amp;$B147)&gt;0,"NA",AVERAGEIFS(monthly!F:F,monthly!$A:$A,"&gt;="&amp;$A147,monthly!$B:$B,"&lt;="&amp;$B147))</f>
        <v>NA</v>
      </c>
      <c r="O147">
        <f>IF(COUNTIFS(monthly!G:G,"",monthly!$A:$A,"&gt;="&amp;$A147,monthly!$B:$B,"&lt;="&amp;$B147)&gt;0,"NA",AVERAGEIFS(monthly!G:G,monthly!$A:$A,"&gt;="&amp;$A147,monthly!$B:$B,"&lt;="&amp;$B147))</f>
        <v>67.966666666666654</v>
      </c>
      <c r="P147">
        <f>IF(COUNTIFS(monthly!H:H,"",monthly!$A:$A,"&gt;="&amp;$A147,monthly!$B:$B,"&lt;="&amp;$B147)&gt;0,"NA",AVERAGEIFS(monthly!H:H,monthly!$A:$A,"&gt;="&amp;$A147,monthly!$B:$B,"&lt;="&amp;$B147))</f>
        <v>52.633333333333333</v>
      </c>
      <c r="Q147">
        <f>IF(COUNTIFS(monthly!I:I,"",monthly!$A:$A,"&gt;="&amp;$A147,monthly!$B:$B,"&lt;="&amp;$B147)&gt;0,"NA",AVERAGEIFS(monthly!I:I,monthly!$A:$A,"&gt;="&amp;$A147,monthly!$B:$B,"&lt;="&amp;$B147))</f>
        <v>69.833333333333343</v>
      </c>
      <c r="R147">
        <f>IF(COUNTIFS(monthly!J:J,"",monthly!$A:$A,"&gt;="&amp;$A147,monthly!$B:$B,"&lt;="&amp;$B147)&gt;0,"NA",AVERAGEIFS(monthly!J:J,monthly!$A:$A,"&gt;="&amp;$A147,monthly!$B:$B,"&lt;="&amp;$B147))</f>
        <v>6.9833333333333334</v>
      </c>
      <c r="S147">
        <f>IF(COUNTIFS(monthly!K:K,"",monthly!$A:$A,"&gt;="&amp;$A147,monthly!$B:$B,"&lt;="&amp;$B147)&gt;0,"NA",AVERAGEIFS(monthly!K:K,monthly!$A:$A,"&gt;="&amp;$A147,monthly!$B:$B,"&lt;="&amp;$B147))</f>
        <v>5.66</v>
      </c>
      <c r="T147">
        <f>IF(COUNTIFS(monthly!L:L,"",monthly!$A:$A,"&gt;="&amp;$A147,monthly!$B:$B,"&lt;="&amp;$B147)&gt;0,"NA",AVERAGEIFS(monthly!L:L,monthly!$A:$A,"&gt;="&amp;$A147,monthly!$B:$B,"&lt;="&amp;$B147))</f>
        <v>4.9072186379928331</v>
      </c>
      <c r="U147">
        <f>IF(COUNTIFS(monthly!M:M,"",monthly!$A:$A,"&gt;="&amp;$A147,monthly!$B:$B,"&lt;="&amp;$B147)&gt;0,"NA",AVERAGEIFS(monthly!M:M,monthly!$A:$A,"&gt;="&amp;$A147,monthly!$B:$B,"&lt;="&amp;$B147))</f>
        <v>0.75278136200716761</v>
      </c>
      <c r="V147">
        <f>IF(COUNTIFS(monthly!N:N,"",monthly!$A:$A,"&gt;="&amp;$A147,monthly!$B:$B,"&lt;="&amp;$B147)&gt;0,"NA",AVERAGEIFS(monthly!N:N,monthly!$A:$A,"&gt;="&amp;$A147,monthly!$B:$B,"&lt;="&amp;$B147))</f>
        <v>5.6509083343482329</v>
      </c>
      <c r="W147">
        <f>IF(COUNTIFS(monthly!O:O,"",monthly!$A:$A,"&gt;="&amp;$A147,monthly!$B:$B,"&lt;="&amp;$B147)&gt;0,"NA",AVERAGEIFS(monthly!O:O,monthly!$A:$A,"&gt;="&amp;$A147,monthly!$B:$B,"&lt;="&amp;$B147))</f>
        <v>4.9929824561403509</v>
      </c>
      <c r="X147">
        <f>IF(COUNTIFS(monthly!P:P,"",monthly!$A:$A,"&gt;="&amp;$A147,monthly!$B:$B,"&lt;="&amp;$B147)&gt;0,"NA",AVERAGEIFS(monthly!P:P,monthly!$A:$A,"&gt;="&amp;$A147,monthly!$B:$B,"&lt;="&amp;$B147))</f>
        <v>0.65792587820788118</v>
      </c>
      <c r="Y147">
        <f>IF(COUNTIFS(monthly!Q:Q,"",monthly!$A:$A,"&gt;="&amp;$A147,monthly!$B:$B,"&lt;="&amp;$B147)&gt;0,"NA",AVERAGEIFS(monthly!Q:Q,monthly!$A:$A,"&gt;="&amp;$A147,monthly!$B:$B,"&lt;="&amp;$B147))</f>
        <v>5.6891876750700279</v>
      </c>
      <c r="Z147">
        <f>IF(COUNTIFS(monthly!R:R,"",monthly!$A:$A,"&gt;="&amp;$A147,monthly!$B:$B,"&lt;="&amp;$B147)&gt;0,"NA",AVERAGEIFS(monthly!R:R,monthly!$A:$A,"&gt;="&amp;$A147,monthly!$B:$B,"&lt;="&amp;$B147))</f>
        <v>5.0689633173843696</v>
      </c>
      <c r="AA147">
        <f>IF(COUNTIFS(monthly!S:S,"",monthly!$A:$A,"&gt;="&amp;$A147,monthly!$B:$B,"&lt;="&amp;$B147)&gt;0,"NA",AVERAGEIFS(monthly!S:S,monthly!$A:$A,"&gt;="&amp;$A147,monthly!$B:$B,"&lt;="&amp;$B147))</f>
        <v>0.62022435768565776</v>
      </c>
      <c r="AB147">
        <f>IF(COUNTIFS(monthly!T:T,"",monthly!$A:$A,"&gt;="&amp;$A147,monthly!$B:$B,"&lt;="&amp;$B147)&gt;0,"NA",AVERAGEIFS(monthly!T:T,monthly!$A:$A,"&gt;="&amp;$A147,monthly!$B:$B,"&lt;="&amp;$B147))</f>
        <v>14.406850079744814</v>
      </c>
      <c r="AC147">
        <f>IF(COUNTIFS(monthly!U:U,"",monthly!$A:$A,"&gt;="&amp;$A147,monthly!$B:$B,"&lt;="&amp;$B147)&gt;0,"NA",AVERAGEIFS(monthly!U:U,monthly!$A:$A,"&gt;="&amp;$A147,monthly!$B:$B,"&lt;="&amp;$B147))</f>
        <v>69.454368291654873</v>
      </c>
      <c r="AD147">
        <f>IF(COUNTIFS(monthly!V:V,"",monthly!$A:$A,"&gt;="&amp;$A147,monthly!$B:$B,"&lt;="&amp;$B147)&gt;0,"NA",AVERAGEIFS(monthly!V:V,monthly!$A:$A,"&gt;="&amp;$A147,monthly!$B:$B,"&lt;="&amp;$B147))</f>
        <v>49.557580444589597</v>
      </c>
      <c r="AE147">
        <f>IF(COUNTIFS(monthly!W:W,"",monthly!$A:$A,"&gt;="&amp;$A147,monthly!$B:$B,"&lt;="&amp;$B147)&gt;0,"NA",AVERAGEIFS(monthly!W:W,monthly!$A:$A,"&gt;="&amp;$A147,monthly!$B:$B,"&lt;="&amp;$B147))</f>
        <v>92.265782674153641</v>
      </c>
      <c r="AF147">
        <f>IF(COUNTIFS(monthly!X:X,"",monthly!$A:$A,"&gt;="&amp;$A147,monthly!$B:$B,"&lt;="&amp;$B147)&gt;0,"NA",AVERAGEIFS(monthly!X:X,monthly!$A:$A,"&gt;="&amp;$A147,monthly!$B:$B,"&lt;="&amp;$B147))</f>
        <v>86.776224772135421</v>
      </c>
      <c r="AG147">
        <f>IF(COUNTIFS(monthly!Y:Y,"",monthly!$A:$A,"&gt;="&amp;$A147,monthly!$B:$B,"&lt;="&amp;$B147)&gt;0,"NA",AVERAGEIFS(monthly!Y:Y,monthly!$A:$A,"&gt;="&amp;$A147,monthly!$B:$B,"&lt;="&amp;$B147))</f>
        <v>96.929204305013016</v>
      </c>
      <c r="AH147">
        <f>IF(COUNTIFS(monthly!Z:Z,"",monthly!$A:$A,"&gt;="&amp;$A147,monthly!$B:$B,"&lt;="&amp;$B147)&gt;0,"NA",AVERAGEIFS(monthly!Z:Z,monthly!$A:$A,"&gt;="&amp;$A147,monthly!$B:$B,"&lt;="&amp;$B147))</f>
        <v>8.4373372296492263E-2</v>
      </c>
    </row>
    <row r="148" spans="1:34" x14ac:dyDescent="0.2">
      <c r="A148" s="1">
        <v>38899</v>
      </c>
      <c r="B148" s="1">
        <v>38990</v>
      </c>
      <c r="C148">
        <f>IF(ISBLANK(VLOOKUP($A148,quarterly_data,MATCH(C$1,quarterly!$1:$1,FALSE),FALSE)),"NA",VLOOKUP($A148,quarterly_data,MATCH(C$1,quarterly!$1:$1,FALSE),FALSE))</f>
        <v>126.75265806563935</v>
      </c>
      <c r="D148">
        <f>IF(ISBLANK(VLOOKUP($A148,quarterly_data,MATCH(D$1,quarterly!$1:$1,FALSE),FALSE)),"NA",VLOOKUP($A148,quarterly_data,MATCH(D$1,quarterly!$1:$1,FALSE),FALSE))</f>
        <v>72.5</v>
      </c>
      <c r="E148">
        <f>IF(ISBLANK(VLOOKUP($A148,quarterly_data,MATCH(E$1,quarterly!$1:$1,FALSE),FALSE)),"NA",VLOOKUP($A148,quarterly_data,MATCH(E$1,quarterly!$1:$1,FALSE),FALSE))</f>
        <v>0.20746890000000001</v>
      </c>
      <c r="F148">
        <f>IF(ISBLANK(VLOOKUP($A148,quarterly_data,MATCH(F$1,quarterly!$1:$1,FALSE),FALSE)),"NA",VLOOKUP($A148,quarterly_data,MATCH(F$1,quarterly!$1:$1,FALSE),FALSE))</f>
        <v>4.8252799999999998E-2</v>
      </c>
      <c r="G148">
        <f>IF(ISBLANK(VLOOKUP($A148,quarterly_data,MATCH(G$1,quarterly!$1:$1,FALSE),FALSE)),"NA",VLOOKUP($A148,quarterly_data,MATCH(G$1,quarterly!$1:$1,FALSE),FALSE))</f>
        <v>16420.738000000001</v>
      </c>
      <c r="H148">
        <f>IF(ISBLANK(VLOOKUP($A148,quarterly_data,MATCH(H$1,quarterly!$1:$1,FALSE),FALSE)),"NA",VLOOKUP($A148,quarterly_data,MATCH(H$1,quarterly!$1:$1,FALSE),FALSE))</f>
        <v>431836</v>
      </c>
      <c r="I148">
        <f>IF(ISBLANK(VLOOKUP($A148,quarterly_data,MATCH(I$1,quarterly!$1:$1,FALSE),FALSE)),"NA",VLOOKUP($A148,quarterly_data,MATCH(I$1,quarterly!$1:$1,FALSE),FALSE))</f>
        <v>0.7</v>
      </c>
      <c r="J148">
        <f>IF(ISBLANK(VLOOKUP($A148,quarterly_data,MATCH(J$1,quarterly!$1:$1,FALSE),FALSE)),"NA",VLOOKUP($A148,quarterly_data,MATCH(J$1,quarterly!$1:$1,FALSE),FALSE))</f>
        <v>60.18</v>
      </c>
      <c r="K148">
        <f>IF(COUNTIFS(monthly!C:C,"",monthly!$A:$A,"&gt;="&amp;$A148,monthly!$B:$B,"&lt;="&amp;$B148)&gt;0,"NA",AVERAGEIFS(monthly!C:C,monthly!$A:$A,"&gt;="&amp;$A148,monthly!$B:$B,"&lt;="&amp;$B148))</f>
        <v>63.4</v>
      </c>
      <c r="L148">
        <f>IF(COUNTIFS(monthly!D:D,"",monthly!$A:$A,"&gt;="&amp;$A148,monthly!$B:$B,"&lt;="&amp;$B148)&gt;0,"NA",AVERAGEIFS(monthly!D:D,monthly!$A:$A,"&gt;="&amp;$A148,monthly!$B:$B,"&lt;="&amp;$B148))</f>
        <v>0.75883333333333347</v>
      </c>
      <c r="M148">
        <f>IF(COUNTIFS(monthly!E:E,"",monthly!$A:$A,"&gt;="&amp;$A148,monthly!$B:$B,"&lt;="&amp;$B148)&gt;0,"NA",AVERAGEIFS(monthly!E:E,monthly!$A:$A,"&gt;="&amp;$A148,monthly!$B:$B,"&lt;="&amp;$B148))</f>
        <v>58.397614898295565</v>
      </c>
      <c r="N148" t="str">
        <f>IF(COUNTIFS(monthly!F:F,"",monthly!$A:$A,"&gt;="&amp;$A148,monthly!$B:$B,"&lt;="&amp;$B148)&gt;0,"NA",AVERAGEIFS(monthly!F:F,monthly!$A:$A,"&gt;="&amp;$A148,monthly!$B:$B,"&lt;="&amp;$B148))</f>
        <v>NA</v>
      </c>
      <c r="O148">
        <f>IF(COUNTIFS(monthly!G:G,"",monthly!$A:$A,"&gt;="&amp;$A148,monthly!$B:$B,"&lt;="&amp;$B148)&gt;0,"NA",AVERAGEIFS(monthly!G:G,monthly!$A:$A,"&gt;="&amp;$A148,monthly!$B:$B,"&lt;="&amp;$B148))</f>
        <v>70.100000000000009</v>
      </c>
      <c r="P148">
        <f>IF(COUNTIFS(monthly!H:H,"",monthly!$A:$A,"&gt;="&amp;$A148,monthly!$B:$B,"&lt;="&amp;$B148)&gt;0,"NA",AVERAGEIFS(monthly!H:H,monthly!$A:$A,"&gt;="&amp;$A148,monthly!$B:$B,"&lt;="&amp;$B148))</f>
        <v>50.266666666666659</v>
      </c>
      <c r="Q148">
        <f>IF(COUNTIFS(monthly!I:I,"",monthly!$A:$A,"&gt;="&amp;$A148,monthly!$B:$B,"&lt;="&amp;$B148)&gt;0,"NA",AVERAGEIFS(monthly!I:I,monthly!$A:$A,"&gt;="&amp;$A148,monthly!$B:$B,"&lt;="&amp;$B148))</f>
        <v>70.100000000000009</v>
      </c>
      <c r="R148">
        <f>IF(COUNTIFS(monthly!J:J,"",monthly!$A:$A,"&gt;="&amp;$A148,monthly!$B:$B,"&lt;="&amp;$B148)&gt;0,"NA",AVERAGEIFS(monthly!J:J,monthly!$A:$A,"&gt;="&amp;$A148,monthly!$B:$B,"&lt;="&amp;$B148))</f>
        <v>7.246666666666667</v>
      </c>
      <c r="S148">
        <f>IF(COUNTIFS(monthly!K:K,"",monthly!$A:$A,"&gt;="&amp;$A148,monthly!$B:$B,"&lt;="&amp;$B148)&gt;0,"NA",AVERAGEIFS(monthly!K:K,monthly!$A:$A,"&gt;="&amp;$A148,monthly!$B:$B,"&lt;="&amp;$B148))</f>
        <v>5.913333333333334</v>
      </c>
      <c r="T148">
        <f>IF(COUNTIFS(monthly!L:L,"",monthly!$A:$A,"&gt;="&amp;$A148,monthly!$B:$B,"&lt;="&amp;$B148)&gt;0,"NA",AVERAGEIFS(monthly!L:L,monthly!$A:$A,"&gt;="&amp;$A148,monthly!$B:$B,"&lt;="&amp;$B148))</f>
        <v>5.2454265232974917</v>
      </c>
      <c r="U148">
        <f>IF(COUNTIFS(monthly!M:M,"",monthly!$A:$A,"&gt;="&amp;$A148,monthly!$B:$B,"&lt;="&amp;$B148)&gt;0,"NA",AVERAGEIFS(monthly!M:M,monthly!$A:$A,"&gt;="&amp;$A148,monthly!$B:$B,"&lt;="&amp;$B148))</f>
        <v>0.66790681003584174</v>
      </c>
      <c r="V148">
        <f>IF(COUNTIFS(monthly!N:N,"",monthly!$A:$A,"&gt;="&amp;$A148,monthly!$B:$B,"&lt;="&amp;$B148)&gt;0,"NA",AVERAGEIFS(monthly!N:N,monthly!$A:$A,"&gt;="&amp;$A148,monthly!$B:$B,"&lt;="&amp;$B148))</f>
        <v>5.9083816425120785</v>
      </c>
      <c r="W148">
        <f>IF(COUNTIFS(monthly!O:O,"",monthly!$A:$A,"&gt;="&amp;$A148,monthly!$B:$B,"&lt;="&amp;$B148)&gt;0,"NA",AVERAGEIFS(monthly!O:O,monthly!$A:$A,"&gt;="&amp;$A148,monthly!$B:$B,"&lt;="&amp;$B148))</f>
        <v>4.9303260869565202</v>
      </c>
      <c r="X148">
        <f>IF(COUNTIFS(monthly!P:P,"",monthly!$A:$A,"&gt;="&amp;$A148,monthly!$B:$B,"&lt;="&amp;$B148)&gt;0,"NA",AVERAGEIFS(monthly!P:P,monthly!$A:$A,"&gt;="&amp;$A148,monthly!$B:$B,"&lt;="&amp;$B148))</f>
        <v>0.9780555555555569</v>
      </c>
      <c r="Y148">
        <f>IF(COUNTIFS(monthly!Q:Q,"",monthly!$A:$A,"&gt;="&amp;$A148,monthly!$B:$B,"&lt;="&amp;$B148)&gt;0,"NA",AVERAGEIFS(monthly!Q:Q,monthly!$A:$A,"&gt;="&amp;$A148,monthly!$B:$B,"&lt;="&amp;$B148))</f>
        <v>5.7363250517598345</v>
      </c>
      <c r="Z148">
        <f>IF(COUNTIFS(monthly!R:R,"",monthly!$A:$A,"&gt;="&amp;$A148,monthly!$B:$B,"&lt;="&amp;$B148)&gt;0,"NA",AVERAGEIFS(monthly!R:R,monthly!$A:$A,"&gt;="&amp;$A148,monthly!$B:$B,"&lt;="&amp;$B148))</f>
        <v>4.8943405797101454</v>
      </c>
      <c r="AA148">
        <f>IF(COUNTIFS(monthly!S:S,"",monthly!$A:$A,"&gt;="&amp;$A148,monthly!$B:$B,"&lt;="&amp;$B148)&gt;0,"NA",AVERAGEIFS(monthly!S:S,monthly!$A:$A,"&gt;="&amp;$A148,monthly!$B:$B,"&lt;="&amp;$B148))</f>
        <v>0.84198447204968885</v>
      </c>
      <c r="AB148">
        <f>IF(COUNTIFS(monthly!T:T,"",monthly!$A:$A,"&gt;="&amp;$A148,monthly!$B:$B,"&lt;="&amp;$B148)&gt;0,"NA",AVERAGEIFS(monthly!T:T,monthly!$A:$A,"&gt;="&amp;$A148,monthly!$B:$B,"&lt;="&amp;$B148))</f>
        <v>13.620746376811594</v>
      </c>
      <c r="AC148">
        <f>IF(COUNTIFS(monthly!U:U,"",monthly!$A:$A,"&gt;="&amp;$A148,monthly!$B:$B,"&lt;="&amp;$B148)&gt;0,"NA",AVERAGEIFS(monthly!U:U,monthly!$A:$A,"&gt;="&amp;$A148,monthly!$B:$B,"&lt;="&amp;$B148))</f>
        <v>62.703468850826276</v>
      </c>
      <c r="AD148">
        <f>IF(COUNTIFS(monthly!V:V,"",monthly!$A:$A,"&gt;="&amp;$A148,monthly!$B:$B,"&lt;="&amp;$B148)&gt;0,"NA",AVERAGEIFS(monthly!V:V,monthly!$A:$A,"&gt;="&amp;$A148,monthly!$B:$B,"&lt;="&amp;$B148))</f>
        <v>51.988940070064395</v>
      </c>
      <c r="AE148">
        <f>IF(COUNTIFS(monthly!W:W,"",monthly!$A:$A,"&gt;="&amp;$A148,monthly!$B:$B,"&lt;="&amp;$B148)&gt;0,"NA",AVERAGEIFS(monthly!W:W,monthly!$A:$A,"&gt;="&amp;$A148,monthly!$B:$B,"&lt;="&amp;$B148))</f>
        <v>131.98006693522134</v>
      </c>
      <c r="AF148">
        <f>IF(COUNTIFS(monthly!X:X,"",monthly!$A:$A,"&gt;="&amp;$A148,monthly!$B:$B,"&lt;="&amp;$B148)&gt;0,"NA",AVERAGEIFS(monthly!X:X,monthly!$A:$A,"&gt;="&amp;$A148,monthly!$B:$B,"&lt;="&amp;$B148))</f>
        <v>128.74440511067709</v>
      </c>
      <c r="AG148">
        <f>IF(COUNTIFS(monthly!Y:Y,"",monthly!$A:$A,"&gt;="&amp;$A148,monthly!$B:$B,"&lt;="&amp;$B148)&gt;0,"NA",AVERAGEIFS(monthly!Y:Y,monthly!$A:$A,"&gt;="&amp;$A148,monthly!$B:$B,"&lt;="&amp;$B148))</f>
        <v>138.68163299560547</v>
      </c>
      <c r="AH148">
        <f>IF(COUNTIFS(monthly!Z:Z,"",monthly!$A:$A,"&gt;="&amp;$A148,monthly!$B:$B,"&lt;="&amp;$B148)&gt;0,"NA",AVERAGEIFS(monthly!Z:Z,monthly!$A:$A,"&gt;="&amp;$A148,monthly!$B:$B,"&lt;="&amp;$B148))</f>
        <v>8.9900689820448562E-2</v>
      </c>
    </row>
    <row r="149" spans="1:34" x14ac:dyDescent="0.2">
      <c r="A149" s="1">
        <v>38991</v>
      </c>
      <c r="B149" s="1">
        <v>39081</v>
      </c>
      <c r="C149">
        <f>IF(ISBLANK(VLOOKUP($A149,quarterly_data,MATCH(C$1,quarterly!$1:$1,FALSE),FALSE)),"NA",VLOOKUP($A149,quarterly_data,MATCH(C$1,quarterly!$1:$1,FALSE),FALSE))</f>
        <v>128.07264702734395</v>
      </c>
      <c r="D149">
        <f>IF(ISBLANK(VLOOKUP($A149,quarterly_data,MATCH(D$1,quarterly!$1:$1,FALSE),FALSE)),"NA",VLOOKUP($A149,quarterly_data,MATCH(D$1,quarterly!$1:$1,FALSE),FALSE))</f>
        <v>74.900000000000006</v>
      </c>
      <c r="E149">
        <f>IF(ISBLANK(VLOOKUP($A149,quarterly_data,MATCH(E$1,quarterly!$1:$1,FALSE),FALSE)),"NA",VLOOKUP($A149,quarterly_data,MATCH(E$1,quarterly!$1:$1,FALSE),FALSE))</f>
        <v>0</v>
      </c>
      <c r="F149">
        <f>IF(ISBLANK(VLOOKUP($A149,quarterly_data,MATCH(F$1,quarterly!$1:$1,FALSE),FALSE)),"NA",VLOOKUP($A149,quarterly_data,MATCH(F$1,quarterly!$1:$1,FALSE),FALSE))</f>
        <v>2.29999E-2</v>
      </c>
      <c r="G149">
        <f>IF(ISBLANK(VLOOKUP($A149,quarterly_data,MATCH(G$1,quarterly!$1:$1,FALSE),FALSE)),"NA",VLOOKUP($A149,quarterly_data,MATCH(G$1,quarterly!$1:$1,FALSE),FALSE))</f>
        <v>16561.866000000002</v>
      </c>
      <c r="H149">
        <f>IF(ISBLANK(VLOOKUP($A149,quarterly_data,MATCH(H$1,quarterly!$1:$1,FALSE),FALSE)),"NA",VLOOKUP($A149,quarterly_data,MATCH(H$1,quarterly!$1:$1,FALSE),FALSE))</f>
        <v>437165</v>
      </c>
      <c r="I149">
        <f>IF(ISBLANK(VLOOKUP($A149,quarterly_data,MATCH(I$1,quarterly!$1:$1,FALSE),FALSE)),"NA",VLOOKUP($A149,quarterly_data,MATCH(I$1,quarterly!$1:$1,FALSE),FALSE))</f>
        <v>0.6</v>
      </c>
      <c r="J149">
        <f>IF(ISBLANK(VLOOKUP($A149,quarterly_data,MATCH(J$1,quarterly!$1:$1,FALSE),FALSE)),"NA",VLOOKUP($A149,quarterly_data,MATCH(J$1,quarterly!$1:$1,FALSE),FALSE))</f>
        <v>60.11</v>
      </c>
      <c r="K149">
        <f>IF(COUNTIFS(monthly!C:C,"",monthly!$A:$A,"&gt;="&amp;$A149,monthly!$B:$B,"&lt;="&amp;$B149)&gt;0,"NA",AVERAGEIFS(monthly!C:C,monthly!$A:$A,"&gt;="&amp;$A149,monthly!$B:$B,"&lt;="&amp;$B149))</f>
        <v>64.25</v>
      </c>
      <c r="L149">
        <f>IF(COUNTIFS(monthly!D:D,"",monthly!$A:$A,"&gt;="&amp;$A149,monthly!$B:$B,"&lt;="&amp;$B149)&gt;0,"NA",AVERAGEIFS(monthly!D:D,monthly!$A:$A,"&gt;="&amp;$A149,monthly!$B:$B,"&lt;="&amp;$B149))</f>
        <v>0.77710000000000001</v>
      </c>
      <c r="M149">
        <f>IF(COUNTIFS(monthly!E:E,"",monthly!$A:$A,"&gt;="&amp;$A149,monthly!$B:$B,"&lt;="&amp;$B149)&gt;0,"NA",AVERAGEIFS(monthly!E:E,monthly!$A:$A,"&gt;="&amp;$A149,monthly!$B:$B,"&lt;="&amp;$B149))</f>
        <v>58.054745942173149</v>
      </c>
      <c r="N149" t="str">
        <f>IF(COUNTIFS(monthly!F:F,"",monthly!$A:$A,"&gt;="&amp;$A149,monthly!$B:$B,"&lt;="&amp;$B149)&gt;0,"NA",AVERAGEIFS(monthly!F:F,monthly!$A:$A,"&gt;="&amp;$A149,monthly!$B:$B,"&lt;="&amp;$B149))</f>
        <v>NA</v>
      </c>
      <c r="O149">
        <f>IF(COUNTIFS(monthly!G:G,"",monthly!$A:$A,"&gt;="&amp;$A149,monthly!$B:$B,"&lt;="&amp;$B149)&gt;0,"NA",AVERAGEIFS(monthly!G:G,monthly!$A:$A,"&gt;="&amp;$A149,monthly!$B:$B,"&lt;="&amp;$B149))</f>
        <v>72.599999999999994</v>
      </c>
      <c r="P149">
        <f>IF(COUNTIFS(monthly!H:H,"",monthly!$A:$A,"&gt;="&amp;$A149,monthly!$B:$B,"&lt;="&amp;$B149)&gt;0,"NA",AVERAGEIFS(monthly!H:H,monthly!$A:$A,"&gt;="&amp;$A149,monthly!$B:$B,"&lt;="&amp;$B149))</f>
        <v>45.05</v>
      </c>
      <c r="Q149">
        <f>IF(COUNTIFS(monthly!I:I,"",monthly!$A:$A,"&gt;="&amp;$A149,monthly!$B:$B,"&lt;="&amp;$B149)&gt;0,"NA",AVERAGEIFS(monthly!I:I,monthly!$A:$A,"&gt;="&amp;$A149,monthly!$B:$B,"&lt;="&amp;$B149))</f>
        <v>58.45</v>
      </c>
      <c r="R149">
        <f>IF(COUNTIFS(monthly!J:J,"",monthly!$A:$A,"&gt;="&amp;$A149,monthly!$B:$B,"&lt;="&amp;$B149)&gt;0,"NA",AVERAGEIFS(monthly!J:J,monthly!$A:$A,"&gt;="&amp;$A149,monthly!$B:$B,"&lt;="&amp;$B149))</f>
        <v>7.2050000000000001</v>
      </c>
      <c r="S149">
        <f>IF(COUNTIFS(monthly!K:K,"",monthly!$A:$A,"&gt;="&amp;$A149,monthly!$B:$B,"&lt;="&amp;$B149)&gt;0,"NA",AVERAGEIFS(monthly!K:K,monthly!$A:$A,"&gt;="&amp;$A149,monthly!$B:$B,"&lt;="&amp;$B149))</f>
        <v>6.0950000000000006</v>
      </c>
      <c r="T149">
        <f>IF(COUNTIFS(monthly!L:L,"",monthly!$A:$A,"&gt;="&amp;$A149,monthly!$B:$B,"&lt;="&amp;$B149)&gt;0,"NA",AVERAGEIFS(monthly!L:L,monthly!$A:$A,"&gt;="&amp;$A149,monthly!$B:$B,"&lt;="&amp;$B149))</f>
        <v>5.2454139784946232</v>
      </c>
      <c r="U149">
        <f>IF(COUNTIFS(monthly!M:M,"",monthly!$A:$A,"&gt;="&amp;$A149,monthly!$B:$B,"&lt;="&amp;$B149)&gt;0,"NA",AVERAGEIFS(monthly!M:M,monthly!$A:$A,"&gt;="&amp;$A149,monthly!$B:$B,"&lt;="&amp;$B149))</f>
        <v>0.84958602150537699</v>
      </c>
      <c r="V149">
        <f>IF(COUNTIFS(monthly!N:N,"",monthly!$A:$A,"&gt;="&amp;$A149,monthly!$B:$B,"&lt;="&amp;$B149)&gt;0,"NA",AVERAGEIFS(monthly!N:N,monthly!$A:$A,"&gt;="&amp;$A149,monthly!$B:$B,"&lt;="&amp;$B149))</f>
        <v>6.0126839826839813</v>
      </c>
      <c r="W149">
        <f>IF(COUNTIFS(monthly!O:O,"",monthly!$A:$A,"&gt;="&amp;$A149,monthly!$B:$B,"&lt;="&amp;$B149)&gt;0,"NA",AVERAGEIFS(monthly!O:O,monthly!$A:$A,"&gt;="&amp;$A149,monthly!$B:$B,"&lt;="&amp;$B149))</f>
        <v>4.7680952380952384</v>
      </c>
      <c r="X149">
        <f>IF(COUNTIFS(monthly!P:P,"",monthly!$A:$A,"&gt;="&amp;$A149,monthly!$B:$B,"&lt;="&amp;$B149)&gt;0,"NA",AVERAGEIFS(monthly!P:P,monthly!$A:$A,"&gt;="&amp;$A149,monthly!$B:$B,"&lt;="&amp;$B149))</f>
        <v>1.2445887445887434</v>
      </c>
      <c r="Y149">
        <f>IF(COUNTIFS(monthly!Q:Q,"",monthly!$A:$A,"&gt;="&amp;$A149,monthly!$B:$B,"&lt;="&amp;$B149)&gt;0,"NA",AVERAGEIFS(monthly!Q:Q,monthly!$A:$A,"&gt;="&amp;$A149,monthly!$B:$B,"&lt;="&amp;$B149))</f>
        <v>5.6322727272727278</v>
      </c>
      <c r="Z149">
        <f>IF(COUNTIFS(monthly!R:R,"",monthly!$A:$A,"&gt;="&amp;$A149,monthly!$B:$B,"&lt;="&amp;$B149)&gt;0,"NA",AVERAGEIFS(monthly!R:R,monthly!$A:$A,"&gt;="&amp;$A149,monthly!$B:$B,"&lt;="&amp;$B149))</f>
        <v>4.6621428571428574</v>
      </c>
      <c r="AA149">
        <f>IF(COUNTIFS(monthly!S:S,"",monthly!$A:$A,"&gt;="&amp;$A149,monthly!$B:$B,"&lt;="&amp;$B149)&gt;0,"NA",AVERAGEIFS(monthly!S:S,monthly!$A:$A,"&gt;="&amp;$A149,monthly!$B:$B,"&lt;="&amp;$B149))</f>
        <v>0.97012987012986995</v>
      </c>
      <c r="AB149">
        <f>IF(COUNTIFS(monthly!T:T,"",monthly!$A:$A,"&gt;="&amp;$A149,monthly!$B:$B,"&lt;="&amp;$B149)&gt;0,"NA",AVERAGEIFS(monthly!T:T,monthly!$A:$A,"&gt;="&amp;$A149,monthly!$B:$B,"&lt;="&amp;$B149))</f>
        <v>11.061991341991344</v>
      </c>
      <c r="AC149">
        <f>IF(COUNTIFS(monthly!U:U,"",monthly!$A:$A,"&gt;="&amp;$A149,monthly!$B:$B,"&lt;="&amp;$B149)&gt;0,"NA",AVERAGEIFS(monthly!U:U,monthly!$A:$A,"&gt;="&amp;$A149,monthly!$B:$B,"&lt;="&amp;$B149))</f>
        <v>59.136896260373419</v>
      </c>
      <c r="AD149">
        <f>IF(COUNTIFS(monthly!V:V,"",monthly!$A:$A,"&gt;="&amp;$A149,monthly!$B:$B,"&lt;="&amp;$B149)&gt;0,"NA",AVERAGEIFS(monthly!V:V,monthly!$A:$A,"&gt;="&amp;$A149,monthly!$B:$B,"&lt;="&amp;$B149))</f>
        <v>47.613577861402874</v>
      </c>
      <c r="AE149">
        <f>IF(COUNTIFS(monthly!W:W,"",monthly!$A:$A,"&gt;="&amp;$A149,monthly!$B:$B,"&lt;="&amp;$B149)&gt;0,"NA",AVERAGEIFS(monthly!W:W,monthly!$A:$A,"&gt;="&amp;$A149,monthly!$B:$B,"&lt;="&amp;$B149))</f>
        <v>100.95711135864258</v>
      </c>
      <c r="AF149">
        <f>IF(COUNTIFS(monthly!X:X,"",monthly!$A:$A,"&gt;="&amp;$A149,monthly!$B:$B,"&lt;="&amp;$B149)&gt;0,"NA",AVERAGEIFS(monthly!X:X,monthly!$A:$A,"&gt;="&amp;$A149,monthly!$B:$B,"&lt;="&amp;$B149))</f>
        <v>106.28383255004883</v>
      </c>
      <c r="AG149">
        <f>IF(COUNTIFS(monthly!Y:Y,"",monthly!$A:$A,"&gt;="&amp;$A149,monthly!$B:$B,"&lt;="&amp;$B149)&gt;0,"NA",AVERAGEIFS(monthly!Y:Y,monthly!$A:$A,"&gt;="&amp;$A149,monthly!$B:$B,"&lt;="&amp;$B149))</f>
        <v>92.992214202880859</v>
      </c>
      <c r="AH149">
        <f>IF(COUNTIFS(monthly!Z:Z,"",monthly!$A:$A,"&gt;="&amp;$A149,monthly!$B:$B,"&lt;="&amp;$B149)&gt;0,"NA",AVERAGEIFS(monthly!Z:Z,monthly!$A:$A,"&gt;="&amp;$A149,monthly!$B:$B,"&lt;="&amp;$B149))</f>
        <v>0.12755079567432404</v>
      </c>
    </row>
    <row r="150" spans="1:34" x14ac:dyDescent="0.2">
      <c r="A150" s="1">
        <v>39083</v>
      </c>
      <c r="B150" s="1">
        <v>39171</v>
      </c>
      <c r="C150">
        <f>IF(ISBLANK(VLOOKUP($A150,quarterly_data,MATCH(C$1,quarterly!$1:$1,FALSE),FALSE)),"NA",VLOOKUP($A150,quarterly_data,MATCH(C$1,quarterly!$1:$1,FALSE),FALSE))</f>
        <v>129.87787121487301</v>
      </c>
      <c r="D150">
        <f>IF(ISBLANK(VLOOKUP($A150,quarterly_data,MATCH(D$1,quarterly!$1:$1,FALSE),FALSE)),"NA",VLOOKUP($A150,quarterly_data,MATCH(D$1,quarterly!$1:$1,FALSE),FALSE))</f>
        <v>77</v>
      </c>
      <c r="E150">
        <f>IF(ISBLANK(VLOOKUP($A150,quarterly_data,MATCH(E$1,quarterly!$1:$1,FALSE),FALSE)),"NA",VLOOKUP($A150,quarterly_data,MATCH(E$1,quarterly!$1:$1,FALSE),FALSE))</f>
        <v>0</v>
      </c>
      <c r="F150">
        <f>IF(ISBLANK(VLOOKUP($A150,quarterly_data,MATCH(F$1,quarterly!$1:$1,FALSE),FALSE)),"NA",VLOOKUP($A150,quarterly_data,MATCH(F$1,quarterly!$1:$1,FALSE),FALSE))</f>
        <v>6.9156E-3</v>
      </c>
      <c r="G150">
        <f>IF(ISBLANK(VLOOKUP($A150,quarterly_data,MATCH(G$1,quarterly!$1:$1,FALSE),FALSE)),"NA",VLOOKUP($A150,quarterly_data,MATCH(G$1,quarterly!$1:$1,FALSE),FALSE))</f>
        <v>16611.689999999999</v>
      </c>
      <c r="H150">
        <f>IF(ISBLANK(VLOOKUP($A150,quarterly_data,MATCH(H$1,quarterly!$1:$1,FALSE),FALSE)),"NA",VLOOKUP($A150,quarterly_data,MATCH(H$1,quarterly!$1:$1,FALSE),FALSE))</f>
        <v>443184</v>
      </c>
      <c r="I150">
        <f>IF(ISBLANK(VLOOKUP($A150,quarterly_data,MATCH(I$1,quarterly!$1:$1,FALSE),FALSE)),"NA",VLOOKUP($A150,quarterly_data,MATCH(I$1,quarterly!$1:$1,FALSE),FALSE))</f>
        <v>0.6</v>
      </c>
      <c r="J150">
        <f>IF(ISBLANK(VLOOKUP($A150,quarterly_data,MATCH(J$1,quarterly!$1:$1,FALSE),FALSE)),"NA",VLOOKUP($A150,quarterly_data,MATCH(J$1,quarterly!$1:$1,FALSE),FALSE))</f>
        <v>60.16</v>
      </c>
      <c r="K150">
        <f>IF(COUNTIFS(monthly!C:C,"",monthly!$A:$A,"&gt;="&amp;$A150,monthly!$B:$B,"&lt;="&amp;$B150)&gt;0,"NA",AVERAGEIFS(monthly!C:C,monthly!$A:$A,"&gt;="&amp;$A150,monthly!$B:$B,"&lt;="&amp;$B150))</f>
        <v>64.199999999999989</v>
      </c>
      <c r="L150">
        <f>IF(COUNTIFS(monthly!D:D,"",monthly!$A:$A,"&gt;="&amp;$A150,monthly!$B:$B,"&lt;="&amp;$B150)&gt;0,"NA",AVERAGEIFS(monthly!D:D,monthly!$A:$A,"&gt;="&amp;$A150,monthly!$B:$B,"&lt;="&amp;$B150))</f>
        <v>0.78</v>
      </c>
      <c r="M150">
        <f>IF(COUNTIFS(monthly!E:E,"",monthly!$A:$A,"&gt;="&amp;$A150,monthly!$B:$B,"&lt;="&amp;$B150)&gt;0,"NA",AVERAGEIFS(monthly!E:E,monthly!$A:$A,"&gt;="&amp;$A150,monthly!$B:$B,"&lt;="&amp;$B150))</f>
        <v>58.104038221410505</v>
      </c>
      <c r="N150" t="str">
        <f>IF(COUNTIFS(monthly!F:F,"",monthly!$A:$A,"&gt;="&amp;$A150,monthly!$B:$B,"&lt;="&amp;$B150)&gt;0,"NA",AVERAGEIFS(monthly!F:F,monthly!$A:$A,"&gt;="&amp;$A150,monthly!$B:$B,"&lt;="&amp;$B150))</f>
        <v>NA</v>
      </c>
      <c r="O150">
        <f>IF(COUNTIFS(monthly!G:G,"",monthly!$A:$A,"&gt;="&amp;$A150,monthly!$B:$B,"&lt;="&amp;$B150)&gt;0,"NA",AVERAGEIFS(monthly!G:G,monthly!$A:$A,"&gt;="&amp;$A150,monthly!$B:$B,"&lt;="&amp;$B150))</f>
        <v>80.45</v>
      </c>
      <c r="P150">
        <f>IF(COUNTIFS(monthly!H:H,"",monthly!$A:$A,"&gt;="&amp;$A150,monthly!$B:$B,"&lt;="&amp;$B150)&gt;0,"NA",AVERAGEIFS(monthly!H:H,monthly!$A:$A,"&gt;="&amp;$A150,monthly!$B:$B,"&lt;="&amp;$B150))</f>
        <v>52.099999999999994</v>
      </c>
      <c r="Q150">
        <f>IF(COUNTIFS(monthly!I:I,"",monthly!$A:$A,"&gt;="&amp;$A150,monthly!$B:$B,"&lt;="&amp;$B150)&gt;0,"NA",AVERAGEIFS(monthly!I:I,monthly!$A:$A,"&gt;="&amp;$A150,monthly!$B:$B,"&lt;="&amp;$B150))</f>
        <v>56.05</v>
      </c>
      <c r="R150">
        <f>IF(COUNTIFS(monthly!J:J,"",monthly!$A:$A,"&gt;="&amp;$A150,monthly!$B:$B,"&lt;="&amp;$B150)&gt;0,"NA",AVERAGEIFS(monthly!J:J,monthly!$A:$A,"&gt;="&amp;$A150,monthly!$B:$B,"&lt;="&amp;$B150))</f>
        <v>7</v>
      </c>
      <c r="S150">
        <f>IF(COUNTIFS(monthly!K:K,"",monthly!$A:$A,"&gt;="&amp;$A150,monthly!$B:$B,"&lt;="&amp;$B150)&gt;0,"NA",AVERAGEIFS(monthly!K:K,monthly!$A:$A,"&gt;="&amp;$A150,monthly!$B:$B,"&lt;="&amp;$B150))</f>
        <v>6.25</v>
      </c>
      <c r="T150">
        <f>IF(COUNTIFS(monthly!L:L,"",monthly!$A:$A,"&gt;="&amp;$A150,monthly!$B:$B,"&lt;="&amp;$B150)&gt;0,"NA",AVERAGEIFS(monthly!L:L,monthly!$A:$A,"&gt;="&amp;$A150,monthly!$B:$B,"&lt;="&amp;$B150))</f>
        <v>5.2536578341013822</v>
      </c>
      <c r="U150">
        <f>IF(COUNTIFS(monthly!M:M,"",monthly!$A:$A,"&gt;="&amp;$A150,monthly!$B:$B,"&lt;="&amp;$B150)&gt;0,"NA",AVERAGEIFS(monthly!M:M,monthly!$A:$A,"&gt;="&amp;$A150,monthly!$B:$B,"&lt;="&amp;$B150))</f>
        <v>0.99634216589861824</v>
      </c>
      <c r="V150">
        <f>IF(COUNTIFS(monthly!N:N,"",monthly!$A:$A,"&gt;="&amp;$A150,monthly!$B:$B,"&lt;="&amp;$B150)&gt;0,"NA",AVERAGEIFS(monthly!N:N,monthly!$A:$A,"&gt;="&amp;$A150,monthly!$B:$B,"&lt;="&amp;$B150))</f>
        <v>6.1306547619047613</v>
      </c>
      <c r="W150">
        <f>IF(COUNTIFS(monthly!O:O,"",monthly!$A:$A,"&gt;="&amp;$A150,monthly!$B:$B,"&lt;="&amp;$B150)&gt;0,"NA",AVERAGEIFS(monthly!O:O,monthly!$A:$A,"&gt;="&amp;$A150,monthly!$B:$B,"&lt;="&amp;$B150))</f>
        <v>4.8625689223057655</v>
      </c>
      <c r="X150">
        <f>IF(COUNTIFS(monthly!P:P,"",monthly!$A:$A,"&gt;="&amp;$A150,monthly!$B:$B,"&lt;="&amp;$B150)&gt;0,"NA",AVERAGEIFS(monthly!P:P,monthly!$A:$A,"&gt;="&amp;$A150,monthly!$B:$B,"&lt;="&amp;$B150))</f>
        <v>1.2680858395989967</v>
      </c>
      <c r="Y150">
        <f>IF(COUNTIFS(monthly!Q:Q,"",monthly!$A:$A,"&gt;="&amp;$A150,monthly!$B:$B,"&lt;="&amp;$B150)&gt;0,"NA",AVERAGEIFS(monthly!Q:Q,monthly!$A:$A,"&gt;="&amp;$A150,monthly!$B:$B,"&lt;="&amp;$B150))</f>
        <v>5.843434523809524</v>
      </c>
      <c r="Z150">
        <f>IF(COUNTIFS(monthly!R:R,"",monthly!$A:$A,"&gt;="&amp;$A150,monthly!$B:$B,"&lt;="&amp;$B150)&gt;0,"NA",AVERAGEIFS(monthly!R:R,monthly!$A:$A,"&gt;="&amp;$A150,monthly!$B:$B,"&lt;="&amp;$B150))</f>
        <v>4.7410776942355888</v>
      </c>
      <c r="AA150">
        <f>IF(COUNTIFS(monthly!S:S,"",monthly!$A:$A,"&gt;="&amp;$A150,monthly!$B:$B,"&lt;="&amp;$B150)&gt;0,"NA",AVERAGEIFS(monthly!S:S,monthly!$A:$A,"&gt;="&amp;$A150,monthly!$B:$B,"&lt;="&amp;$B150))</f>
        <v>1.1023568295739343</v>
      </c>
      <c r="AB150">
        <f>IF(COUNTIFS(monthly!T:T,"",monthly!$A:$A,"&gt;="&amp;$A150,monthly!$B:$B,"&lt;="&amp;$B150)&gt;0,"NA",AVERAGEIFS(monthly!T:T,monthly!$A:$A,"&gt;="&amp;$A150,monthly!$B:$B,"&lt;="&amp;$B150))</f>
        <v>11.098881578947369</v>
      </c>
      <c r="AC150">
        <f>IF(COUNTIFS(monthly!U:U,"",monthly!$A:$A,"&gt;="&amp;$A150,monthly!$B:$B,"&lt;="&amp;$B150)&gt;0,"NA",AVERAGEIFS(monthly!U:U,monthly!$A:$A,"&gt;="&amp;$A150,monthly!$B:$B,"&lt;="&amp;$B150))</f>
        <v>59.134947039291397</v>
      </c>
      <c r="AD150">
        <f>IF(COUNTIFS(monthly!V:V,"",monthly!$A:$A,"&gt;="&amp;$A150,monthly!$B:$B,"&lt;="&amp;$B150)&gt;0,"NA",AVERAGEIFS(monthly!V:V,monthly!$A:$A,"&gt;="&amp;$A150,monthly!$B:$B,"&lt;="&amp;$B150))</f>
        <v>31.428718588565175</v>
      </c>
      <c r="AE150">
        <f>IF(COUNTIFS(monthly!W:W,"",monthly!$A:$A,"&gt;="&amp;$A150,monthly!$B:$B,"&lt;="&amp;$B150)&gt;0,"NA",AVERAGEIFS(monthly!W:W,monthly!$A:$A,"&gt;="&amp;$A150,monthly!$B:$B,"&lt;="&amp;$B150))</f>
        <v>97.044700622558594</v>
      </c>
      <c r="AF150">
        <f>IF(COUNTIFS(monthly!X:X,"",monthly!$A:$A,"&gt;="&amp;$A150,monthly!$B:$B,"&lt;="&amp;$B150)&gt;0,"NA",AVERAGEIFS(monthly!X:X,monthly!$A:$A,"&gt;="&amp;$A150,monthly!$B:$B,"&lt;="&amp;$B150))</f>
        <v>96.884593963623047</v>
      </c>
      <c r="AG150">
        <f>IF(COUNTIFS(monthly!Y:Y,"",monthly!$A:$A,"&gt;="&amp;$A150,monthly!$B:$B,"&lt;="&amp;$B150)&gt;0,"NA",AVERAGEIFS(monthly!Y:Y,monthly!$A:$A,"&gt;="&amp;$A150,monthly!$B:$B,"&lt;="&amp;$B150))</f>
        <v>94.304706573486328</v>
      </c>
      <c r="AH150">
        <f>IF(COUNTIFS(monthly!Z:Z,"",monthly!$A:$A,"&gt;="&amp;$A150,monthly!$B:$B,"&lt;="&amp;$B150)&gt;0,"NA",AVERAGEIFS(monthly!Z:Z,monthly!$A:$A,"&gt;="&amp;$A150,monthly!$B:$B,"&lt;="&amp;$B150))</f>
        <v>7.5331714004278183E-2</v>
      </c>
    </row>
    <row r="151" spans="1:34" x14ac:dyDescent="0.2">
      <c r="A151" s="1">
        <v>39173</v>
      </c>
      <c r="B151" s="1">
        <v>39263</v>
      </c>
      <c r="C151">
        <f>IF(ISBLANK(VLOOKUP($A151,quarterly_data,MATCH(C$1,quarterly!$1:$1,FALSE),FALSE)),"NA",VLOOKUP($A151,quarterly_data,MATCH(C$1,quarterly!$1:$1,FALSE),FALSE))</f>
        <v>136.11812774715054</v>
      </c>
      <c r="D151">
        <f>IF(ISBLANK(VLOOKUP($A151,quarterly_data,MATCH(D$1,quarterly!$1:$1,FALSE),FALSE)),"NA",VLOOKUP($A151,quarterly_data,MATCH(D$1,quarterly!$1:$1,FALSE),FALSE))</f>
        <v>76.400000000000006</v>
      </c>
      <c r="E151">
        <f>IF(ISBLANK(VLOOKUP($A151,quarterly_data,MATCH(E$1,quarterly!$1:$1,FALSE),FALSE)),"NA",VLOOKUP($A151,quarterly_data,MATCH(E$1,quarterly!$1:$1,FALSE),FALSE))</f>
        <v>7.6423400000000002E-2</v>
      </c>
      <c r="F151">
        <f>IF(ISBLANK(VLOOKUP($A151,quarterly_data,MATCH(F$1,quarterly!$1:$1,FALSE),FALSE)),"NA",VLOOKUP($A151,quarterly_data,MATCH(F$1,quarterly!$1:$1,FALSE),FALSE))</f>
        <v>1.52847E-2</v>
      </c>
      <c r="G151">
        <f>IF(ISBLANK(VLOOKUP($A151,quarterly_data,MATCH(G$1,quarterly!$1:$1,FALSE),FALSE)),"NA",VLOOKUP($A151,quarterly_data,MATCH(G$1,quarterly!$1:$1,FALSE),FALSE))</f>
        <v>16713.313999999998</v>
      </c>
      <c r="H151">
        <f>IF(ISBLANK(VLOOKUP($A151,quarterly_data,MATCH(H$1,quarterly!$1:$1,FALSE),FALSE)),"NA",VLOOKUP($A151,quarterly_data,MATCH(H$1,quarterly!$1:$1,FALSE),FALSE))</f>
        <v>446128</v>
      </c>
      <c r="I151">
        <f>IF(ISBLANK(VLOOKUP($A151,quarterly_data,MATCH(I$1,quarterly!$1:$1,FALSE),FALSE)),"NA",VLOOKUP($A151,quarterly_data,MATCH(I$1,quarterly!$1:$1,FALSE),FALSE))</f>
        <v>0.9</v>
      </c>
      <c r="J151">
        <f>IF(ISBLANK(VLOOKUP($A151,quarterly_data,MATCH(J$1,quarterly!$1:$1,FALSE),FALSE)),"NA",VLOOKUP($A151,quarterly_data,MATCH(J$1,quarterly!$1:$1,FALSE),FALSE))</f>
        <v>60.9</v>
      </c>
      <c r="K151">
        <f>IF(COUNTIFS(monthly!C:C,"",monthly!$A:$A,"&gt;="&amp;$A151,monthly!$B:$B,"&lt;="&amp;$B151)&gt;0,"NA",AVERAGEIFS(monthly!C:C,monthly!$A:$A,"&gt;="&amp;$A151,monthly!$B:$B,"&lt;="&amp;$B151))</f>
        <v>67.63333333333334</v>
      </c>
      <c r="L151">
        <f>IF(COUNTIFS(monthly!D:D,"",monthly!$A:$A,"&gt;="&amp;$A151,monthly!$B:$B,"&lt;="&amp;$B151)&gt;0,"NA",AVERAGEIFS(monthly!D:D,monthly!$A:$A,"&gt;="&amp;$A151,monthly!$B:$B,"&lt;="&amp;$B151))</f>
        <v>0.83330000000000004</v>
      </c>
      <c r="M151">
        <f>IF(COUNTIFS(monthly!E:E,"",monthly!$A:$A,"&gt;="&amp;$A151,monthly!$B:$B,"&lt;="&amp;$B151)&gt;0,"NA",AVERAGEIFS(monthly!E:E,monthly!$A:$A,"&gt;="&amp;$A151,monthly!$B:$B,"&lt;="&amp;$B151))</f>
        <v>60.973053588749131</v>
      </c>
      <c r="N151" t="str">
        <f>IF(COUNTIFS(monthly!F:F,"",monthly!$A:$A,"&gt;="&amp;$A151,monthly!$B:$B,"&lt;="&amp;$B151)&gt;0,"NA",AVERAGEIFS(monthly!F:F,monthly!$A:$A,"&gt;="&amp;$A151,monthly!$B:$B,"&lt;="&amp;$B151))</f>
        <v>NA</v>
      </c>
      <c r="O151">
        <f>IF(COUNTIFS(monthly!G:G,"",monthly!$A:$A,"&gt;="&amp;$A151,monthly!$B:$B,"&lt;="&amp;$B151)&gt;0,"NA",AVERAGEIFS(monthly!G:G,monthly!$A:$A,"&gt;="&amp;$A151,monthly!$B:$B,"&lt;="&amp;$B151))</f>
        <v>98.833333333333329</v>
      </c>
      <c r="P151">
        <f>IF(COUNTIFS(monthly!H:H,"",monthly!$A:$A,"&gt;="&amp;$A151,monthly!$B:$B,"&lt;="&amp;$B151)&gt;0,"NA",AVERAGEIFS(monthly!H:H,monthly!$A:$A,"&gt;="&amp;$A151,monthly!$B:$B,"&lt;="&amp;$B151))</f>
        <v>57.9</v>
      </c>
      <c r="Q151">
        <f>IF(COUNTIFS(monthly!I:I,"",monthly!$A:$A,"&gt;="&amp;$A151,monthly!$B:$B,"&lt;="&amp;$B151)&gt;0,"NA",AVERAGEIFS(monthly!I:I,monthly!$A:$A,"&gt;="&amp;$A151,monthly!$B:$B,"&lt;="&amp;$B151))</f>
        <v>68.733333333333334</v>
      </c>
      <c r="R151">
        <f>IF(COUNTIFS(monthly!J:J,"",monthly!$A:$A,"&gt;="&amp;$A151,monthly!$B:$B,"&lt;="&amp;$B151)&gt;0,"NA",AVERAGEIFS(monthly!J:J,monthly!$A:$A,"&gt;="&amp;$A151,monthly!$B:$B,"&lt;="&amp;$B151))</f>
        <v>7.14</v>
      </c>
      <c r="S151">
        <f>IF(COUNTIFS(monthly!K:K,"",monthly!$A:$A,"&gt;="&amp;$A151,monthly!$B:$B,"&lt;="&amp;$B151)&gt;0,"NA",AVERAGEIFS(monthly!K:K,monthly!$A:$A,"&gt;="&amp;$A151,monthly!$B:$B,"&lt;="&amp;$B151))</f>
        <v>6.25</v>
      </c>
      <c r="T151">
        <f>IF(COUNTIFS(monthly!L:L,"",monthly!$A:$A,"&gt;="&amp;$A151,monthly!$B:$B,"&lt;="&amp;$B151)&gt;0,"NA",AVERAGEIFS(monthly!L:L,monthly!$A:$A,"&gt;="&amp;$A151,monthly!$B:$B,"&lt;="&amp;$B151))</f>
        <v>5.2524050179211468</v>
      </c>
      <c r="U151">
        <f>IF(COUNTIFS(monthly!M:M,"",monthly!$A:$A,"&gt;="&amp;$A151,monthly!$B:$B,"&lt;="&amp;$B151)&gt;0,"NA",AVERAGEIFS(monthly!M:M,monthly!$A:$A,"&gt;="&amp;$A151,monthly!$B:$B,"&lt;="&amp;$B151))</f>
        <v>0.99759498207885322</v>
      </c>
      <c r="V151">
        <f>IF(COUNTIFS(monthly!N:N,"",monthly!$A:$A,"&gt;="&amp;$A151,monthly!$B:$B,"&lt;="&amp;$B151)&gt;0,"NA",AVERAGEIFS(monthly!N:N,monthly!$A:$A,"&gt;="&amp;$A151,monthly!$B:$B,"&lt;="&amp;$B151))</f>
        <v>6.2815309983896954</v>
      </c>
      <c r="W151">
        <f>IF(COUNTIFS(monthly!O:O,"",monthly!$A:$A,"&gt;="&amp;$A151,monthly!$B:$B,"&lt;="&amp;$B151)&gt;0,"NA",AVERAGEIFS(monthly!O:O,monthly!$A:$A,"&gt;="&amp;$A151,monthly!$B:$B,"&lt;="&amp;$B151))</f>
        <v>4.8043434343434344</v>
      </c>
      <c r="X151">
        <f>IF(COUNTIFS(monthly!P:P,"",monthly!$A:$A,"&gt;="&amp;$A151,monthly!$B:$B,"&lt;="&amp;$B151)&gt;0,"NA",AVERAGEIFS(monthly!P:P,monthly!$A:$A,"&gt;="&amp;$A151,monthly!$B:$B,"&lt;="&amp;$B151))</f>
        <v>1.4771875640462608</v>
      </c>
      <c r="Y151">
        <f>IF(COUNTIFS(monthly!Q:Q,"",monthly!$A:$A,"&gt;="&amp;$A151,monthly!$B:$B,"&lt;="&amp;$B151)&gt;0,"NA",AVERAGEIFS(monthly!Q:Q,monthly!$A:$A,"&gt;="&amp;$A151,monthly!$B:$B,"&lt;="&amp;$B151))</f>
        <v>6.011780595813204</v>
      </c>
      <c r="Z151">
        <f>IF(COUNTIFS(monthly!R:R,"",monthly!$A:$A,"&gt;="&amp;$A151,monthly!$B:$B,"&lt;="&amp;$B151)&gt;0,"NA",AVERAGEIFS(monthly!R:R,monthly!$A:$A,"&gt;="&amp;$A151,monthly!$B:$B,"&lt;="&amp;$B151))</f>
        <v>4.8476767676767674</v>
      </c>
      <c r="AA151">
        <f>IF(COUNTIFS(monthly!S:S,"",monthly!$A:$A,"&gt;="&amp;$A151,monthly!$B:$B,"&lt;="&amp;$B151)&gt;0,"NA",AVERAGEIFS(monthly!S:S,monthly!$A:$A,"&gt;="&amp;$A151,monthly!$B:$B,"&lt;="&amp;$B151))</f>
        <v>1.1641038281364369</v>
      </c>
      <c r="AB151">
        <f>IF(COUNTIFS(monthly!T:T,"",monthly!$A:$A,"&gt;="&amp;$A151,monthly!$B:$B,"&lt;="&amp;$B151)&gt;0,"NA",AVERAGEIFS(monthly!T:T,monthly!$A:$A,"&gt;="&amp;$A151,monthly!$B:$B,"&lt;="&amp;$B151))</f>
        <v>13.726115440115441</v>
      </c>
      <c r="AC151">
        <f>IF(COUNTIFS(monthly!U:U,"",monthly!$A:$A,"&gt;="&amp;$A151,monthly!$B:$B,"&lt;="&amp;$B151)&gt;0,"NA",AVERAGEIFS(monthly!U:U,monthly!$A:$A,"&gt;="&amp;$A151,monthly!$B:$B,"&lt;="&amp;$B151))</f>
        <v>58.488725152430476</v>
      </c>
      <c r="AD151">
        <f>IF(COUNTIFS(monthly!V:V,"",monthly!$A:$A,"&gt;="&amp;$A151,monthly!$B:$B,"&lt;="&amp;$B151)&gt;0,"NA",AVERAGEIFS(monthly!V:V,monthly!$A:$A,"&gt;="&amp;$A151,monthly!$B:$B,"&lt;="&amp;$B151))</f>
        <v>32.991294444084367</v>
      </c>
      <c r="AE151">
        <f>IF(COUNTIFS(monthly!W:W,"",monthly!$A:$A,"&gt;="&amp;$A151,monthly!$B:$B,"&lt;="&amp;$B151)&gt;0,"NA",AVERAGEIFS(monthly!W:W,monthly!$A:$A,"&gt;="&amp;$A151,monthly!$B:$B,"&lt;="&amp;$B151))</f>
        <v>89.061759948730469</v>
      </c>
      <c r="AF151">
        <f>IF(COUNTIFS(monthly!X:X,"",monthly!$A:$A,"&gt;="&amp;$A151,monthly!$B:$B,"&lt;="&amp;$B151)&gt;0,"NA",AVERAGEIFS(monthly!X:X,monthly!$A:$A,"&gt;="&amp;$A151,monthly!$B:$B,"&lt;="&amp;$B151))</f>
        <v>79.536448160807296</v>
      </c>
      <c r="AG151">
        <f>IF(COUNTIFS(monthly!Y:Y,"",monthly!$A:$A,"&gt;="&amp;$A151,monthly!$B:$B,"&lt;="&amp;$B151)&gt;0,"NA",AVERAGEIFS(monthly!Y:Y,monthly!$A:$A,"&gt;="&amp;$A151,monthly!$B:$B,"&lt;="&amp;$B151))</f>
        <v>98.873758951822921</v>
      </c>
      <c r="AH151">
        <f>IF(COUNTIFS(monthly!Z:Z,"",monthly!$A:$A,"&gt;="&amp;$A151,monthly!$B:$B,"&lt;="&amp;$B151)&gt;0,"NA",AVERAGEIFS(monthly!Z:Z,monthly!$A:$A,"&gt;="&amp;$A151,monthly!$B:$B,"&lt;="&amp;$B151))</f>
        <v>6.2985715766747788E-2</v>
      </c>
    </row>
    <row r="152" spans="1:34" x14ac:dyDescent="0.2">
      <c r="A152" s="1">
        <v>39264</v>
      </c>
      <c r="B152" s="1">
        <v>39355</v>
      </c>
      <c r="C152">
        <f>IF(ISBLANK(VLOOKUP($A152,quarterly_data,MATCH(C$1,quarterly!$1:$1,FALSE),FALSE)),"NA",VLOOKUP($A152,quarterly_data,MATCH(C$1,quarterly!$1:$1,FALSE),FALSE))</f>
        <v>137.77688893663182</v>
      </c>
      <c r="D152">
        <f>IF(ISBLANK(VLOOKUP($A152,quarterly_data,MATCH(D$1,quarterly!$1:$1,FALSE),FALSE)),"NA",VLOOKUP($A152,quarterly_data,MATCH(D$1,quarterly!$1:$1,FALSE),FALSE))</f>
        <v>75.7</v>
      </c>
      <c r="E152">
        <f>IF(ISBLANK(VLOOKUP($A152,quarterly_data,MATCH(E$1,quarterly!$1:$1,FALSE),FALSE)),"NA",VLOOKUP($A152,quarterly_data,MATCH(E$1,quarterly!$1:$1,FALSE),FALSE))</f>
        <v>0</v>
      </c>
      <c r="F152">
        <f>IF(ISBLANK(VLOOKUP($A152,quarterly_data,MATCH(F$1,quarterly!$1:$1,FALSE),FALSE)),"NA",VLOOKUP($A152,quarterly_data,MATCH(F$1,quarterly!$1:$1,FALSE),FALSE))</f>
        <v>7.6423000000000003E-3</v>
      </c>
      <c r="G152">
        <f>IF(ISBLANK(VLOOKUP($A152,quarterly_data,MATCH(G$1,quarterly!$1:$1,FALSE),FALSE)),"NA",VLOOKUP($A152,quarterly_data,MATCH(G$1,quarterly!$1:$1,FALSE),FALSE))</f>
        <v>16809.587</v>
      </c>
      <c r="H152">
        <f>IF(ISBLANK(VLOOKUP($A152,quarterly_data,MATCH(H$1,quarterly!$1:$1,FALSE),FALSE)),"NA",VLOOKUP($A152,quarterly_data,MATCH(H$1,quarterly!$1:$1,FALSE),FALSE))</f>
        <v>451354</v>
      </c>
      <c r="I152">
        <f>IF(ISBLANK(VLOOKUP($A152,quarterly_data,MATCH(I$1,quarterly!$1:$1,FALSE),FALSE)),"NA",VLOOKUP($A152,quarterly_data,MATCH(I$1,quarterly!$1:$1,FALSE),FALSE))</f>
        <v>0.9</v>
      </c>
      <c r="J152">
        <f>IF(ISBLANK(VLOOKUP($A152,quarterly_data,MATCH(J$1,quarterly!$1:$1,FALSE),FALSE)),"NA",VLOOKUP($A152,quarterly_data,MATCH(J$1,quarterly!$1:$1,FALSE),FALSE))</f>
        <v>61.32</v>
      </c>
      <c r="K152">
        <f>IF(COUNTIFS(monthly!C:C,"",monthly!$A:$A,"&gt;="&amp;$A152,monthly!$B:$B,"&lt;="&amp;$B152)&gt;0,"NA",AVERAGEIFS(monthly!C:C,monthly!$A:$A,"&gt;="&amp;$A152,monthly!$B:$B,"&lt;="&amp;$B152))</f>
        <v>68.333333333333329</v>
      </c>
      <c r="L152">
        <f>IF(COUNTIFS(monthly!D:D,"",monthly!$A:$A,"&gt;="&amp;$A152,monthly!$B:$B,"&lt;="&amp;$B152)&gt;0,"NA",AVERAGEIFS(monthly!D:D,monthly!$A:$A,"&gt;="&amp;$A152,monthly!$B:$B,"&lt;="&amp;$B152))</f>
        <v>0.85376666666666667</v>
      </c>
      <c r="M152">
        <f>IF(COUNTIFS(monthly!E:E,"",monthly!$A:$A,"&gt;="&amp;$A152,monthly!$B:$B,"&lt;="&amp;$B152)&gt;0,"NA",AVERAGEIFS(monthly!E:E,monthly!$A:$A,"&gt;="&amp;$A152,monthly!$B:$B,"&lt;="&amp;$B152))</f>
        <v>60.799311785848239</v>
      </c>
      <c r="N152" t="str">
        <f>IF(COUNTIFS(monthly!F:F,"",monthly!$A:$A,"&gt;="&amp;$A152,monthly!$B:$B,"&lt;="&amp;$B152)&gt;0,"NA",AVERAGEIFS(monthly!F:F,monthly!$A:$A,"&gt;="&amp;$A152,monthly!$B:$B,"&lt;="&amp;$B152))</f>
        <v>NA</v>
      </c>
      <c r="O152">
        <f>IF(COUNTIFS(monthly!G:G,"",monthly!$A:$A,"&gt;="&amp;$A152,monthly!$B:$B,"&lt;="&amp;$B152)&gt;0,"NA",AVERAGEIFS(monthly!G:G,monthly!$A:$A,"&gt;="&amp;$A152,monthly!$B:$B,"&lt;="&amp;$B152))</f>
        <v>125.56666666666666</v>
      </c>
      <c r="P152">
        <f>IF(COUNTIFS(monthly!H:H,"",monthly!$A:$A,"&gt;="&amp;$A152,monthly!$B:$B,"&lt;="&amp;$B152)&gt;0,"NA",AVERAGEIFS(monthly!H:H,monthly!$A:$A,"&gt;="&amp;$A152,monthly!$B:$B,"&lt;="&amp;$B152))</f>
        <v>68.36666666666666</v>
      </c>
      <c r="Q152">
        <f>IF(COUNTIFS(monthly!I:I,"",monthly!$A:$A,"&gt;="&amp;$A152,monthly!$B:$B,"&lt;="&amp;$B152)&gt;0,"NA",AVERAGEIFS(monthly!I:I,monthly!$A:$A,"&gt;="&amp;$A152,monthly!$B:$B,"&lt;="&amp;$B152))</f>
        <v>75.033333333333331</v>
      </c>
      <c r="R152">
        <f>IF(COUNTIFS(monthly!J:J,"",monthly!$A:$A,"&gt;="&amp;$A152,monthly!$B:$B,"&lt;="&amp;$B152)&gt;0,"NA",AVERAGEIFS(monthly!J:J,monthly!$A:$A,"&gt;="&amp;$A152,monthly!$B:$B,"&lt;="&amp;$B152))</f>
        <v>7.6833333333333336</v>
      </c>
      <c r="S152">
        <f>IF(COUNTIFS(monthly!K:K,"",monthly!$A:$A,"&gt;="&amp;$A152,monthly!$B:$B,"&lt;="&amp;$B152)&gt;0,"NA",AVERAGEIFS(monthly!K:K,monthly!$A:$A,"&gt;="&amp;$A152,monthly!$B:$B,"&lt;="&amp;$B152))</f>
        <v>6.3999999999999995</v>
      </c>
      <c r="T152">
        <f>IF(COUNTIFS(monthly!L:L,"",monthly!$A:$A,"&gt;="&amp;$A152,monthly!$B:$B,"&lt;="&amp;$B152)&gt;0,"NA",AVERAGEIFS(monthly!L:L,monthly!$A:$A,"&gt;="&amp;$A152,monthly!$B:$B,"&lt;="&amp;$B152))</f>
        <v>5.0728817204301082</v>
      </c>
      <c r="U152">
        <f>IF(COUNTIFS(monthly!M:M,"",monthly!$A:$A,"&gt;="&amp;$A152,monthly!$B:$B,"&lt;="&amp;$B152)&gt;0,"NA",AVERAGEIFS(monthly!M:M,monthly!$A:$A,"&gt;="&amp;$A152,monthly!$B:$B,"&lt;="&amp;$B152))</f>
        <v>1.3271182795698921</v>
      </c>
      <c r="V152">
        <f>IF(COUNTIFS(monthly!N:N,"",monthly!$A:$A,"&gt;="&amp;$A152,monthly!$B:$B,"&lt;="&amp;$B152)&gt;0,"NA",AVERAGEIFS(monthly!N:N,monthly!$A:$A,"&gt;="&amp;$A152,monthly!$B:$B,"&lt;="&amp;$B152))</f>
        <v>6.3325518341307818</v>
      </c>
      <c r="W152">
        <f>IF(COUNTIFS(monthly!O:O,"",monthly!$A:$A,"&gt;="&amp;$A152,monthly!$B:$B,"&lt;="&amp;$B152)&gt;0,"NA",AVERAGEIFS(monthly!O:O,monthly!$A:$A,"&gt;="&amp;$A152,monthly!$B:$B,"&lt;="&amp;$B152))</f>
        <v>4.3812233482256362</v>
      </c>
      <c r="X152">
        <f>IF(COUNTIFS(monthly!P:P,"",monthly!$A:$A,"&gt;="&amp;$A152,monthly!$B:$B,"&lt;="&amp;$B152)&gt;0,"NA",AVERAGEIFS(monthly!P:P,monthly!$A:$A,"&gt;="&amp;$A152,monthly!$B:$B,"&lt;="&amp;$B152))</f>
        <v>1.951328485905145</v>
      </c>
      <c r="Y152">
        <f>IF(COUNTIFS(monthly!Q:Q,"",monthly!$A:$A,"&gt;="&amp;$A152,monthly!$B:$B,"&lt;="&amp;$B152)&gt;0,"NA",AVERAGEIFS(monthly!Q:Q,monthly!$A:$A,"&gt;="&amp;$A152,monthly!$B:$B,"&lt;="&amp;$B152))</f>
        <v>6.0225956937799028</v>
      </c>
      <c r="Z152">
        <f>IF(COUNTIFS(monthly!R:R,"",monthly!$A:$A,"&gt;="&amp;$A152,monthly!$B:$B,"&lt;="&amp;$B152)&gt;0,"NA",AVERAGEIFS(monthly!R:R,monthly!$A:$A,"&gt;="&amp;$A152,monthly!$B:$B,"&lt;="&amp;$B152))</f>
        <v>4.733549090116596</v>
      </c>
      <c r="AA152">
        <f>IF(COUNTIFS(monthly!S:S,"",monthly!$A:$A,"&gt;="&amp;$A152,monthly!$B:$B,"&lt;="&amp;$B152)&gt;0,"NA",AVERAGEIFS(monthly!S:S,monthly!$A:$A,"&gt;="&amp;$A152,monthly!$B:$B,"&lt;="&amp;$B152))</f>
        <v>1.2890466036633079</v>
      </c>
      <c r="AB152">
        <f>IF(COUNTIFS(monthly!T:T,"",monthly!$A:$A,"&gt;="&amp;$A152,monthly!$B:$B,"&lt;="&amp;$B152)&gt;0,"NA",AVERAGEIFS(monthly!T:T,monthly!$A:$A,"&gt;="&amp;$A152,monthly!$B:$B,"&lt;="&amp;$B152))</f>
        <v>21.49945588609204</v>
      </c>
      <c r="AC152">
        <f>IF(COUNTIFS(monthly!U:U,"",monthly!$A:$A,"&gt;="&amp;$A152,monthly!$B:$B,"&lt;="&amp;$B152)&gt;0,"NA",AVERAGEIFS(monthly!U:U,monthly!$A:$A,"&gt;="&amp;$A152,monthly!$B:$B,"&lt;="&amp;$B152))</f>
        <v>75.073808287281437</v>
      </c>
      <c r="AD152">
        <f>IF(COUNTIFS(monthly!V:V,"",monthly!$A:$A,"&gt;="&amp;$A152,monthly!$B:$B,"&lt;="&amp;$B152)&gt;0,"NA",AVERAGEIFS(monthly!V:V,monthly!$A:$A,"&gt;="&amp;$A152,monthly!$B:$B,"&lt;="&amp;$B152))</f>
        <v>61.00878803156079</v>
      </c>
      <c r="AE152">
        <f>IF(COUNTIFS(monthly!W:W,"",monthly!$A:$A,"&gt;="&amp;$A152,monthly!$B:$B,"&lt;="&amp;$B152)&gt;0,"NA",AVERAGEIFS(monthly!W:W,monthly!$A:$A,"&gt;="&amp;$A152,monthly!$B:$B,"&lt;="&amp;$B152))</f>
        <v>96.669441223144531</v>
      </c>
      <c r="AF152">
        <f>IF(COUNTIFS(monthly!X:X,"",monthly!$A:$A,"&gt;="&amp;$A152,monthly!$B:$B,"&lt;="&amp;$B152)&gt;0,"NA",AVERAGEIFS(monthly!X:X,monthly!$A:$A,"&gt;="&amp;$A152,monthly!$B:$B,"&lt;="&amp;$B152))</f>
        <v>90.443041483561203</v>
      </c>
      <c r="AG152">
        <f>IF(COUNTIFS(monthly!Y:Y,"",monthly!$A:$A,"&gt;="&amp;$A152,monthly!$B:$B,"&lt;="&amp;$B152)&gt;0,"NA",AVERAGEIFS(monthly!Y:Y,monthly!$A:$A,"&gt;="&amp;$A152,monthly!$B:$B,"&lt;="&amp;$B152))</f>
        <v>106.51055399576823</v>
      </c>
      <c r="AH152">
        <f>IF(COUNTIFS(monthly!Z:Z,"",monthly!$A:$A,"&gt;="&amp;$A152,monthly!$B:$B,"&lt;="&amp;$B152)&gt;0,"NA",AVERAGEIFS(monthly!Z:Z,monthly!$A:$A,"&gt;="&amp;$A152,monthly!$B:$B,"&lt;="&amp;$B152))</f>
        <v>0.10950684299071629</v>
      </c>
    </row>
    <row r="153" spans="1:34" x14ac:dyDescent="0.2">
      <c r="A153" s="1">
        <v>39356</v>
      </c>
      <c r="B153" s="1">
        <v>39446</v>
      </c>
      <c r="C153">
        <f>IF(ISBLANK(VLOOKUP($A153,quarterly_data,MATCH(C$1,quarterly!$1:$1,FALSE),FALSE)),"NA",VLOOKUP($A153,quarterly_data,MATCH(C$1,quarterly!$1:$1,FALSE),FALSE))</f>
        <v>141.82757042212938</v>
      </c>
      <c r="D153">
        <f>IF(ISBLANK(VLOOKUP($A153,quarterly_data,MATCH(D$1,quarterly!$1:$1,FALSE),FALSE)),"NA",VLOOKUP($A153,quarterly_data,MATCH(D$1,quarterly!$1:$1,FALSE),FALSE))</f>
        <v>77.099999999999994</v>
      </c>
      <c r="E153">
        <f>IF(ISBLANK(VLOOKUP($A153,quarterly_data,MATCH(E$1,quarterly!$1:$1,FALSE),FALSE)),"NA",VLOOKUP($A153,quarterly_data,MATCH(E$1,quarterly!$1:$1,FALSE),FALSE))</f>
        <v>0</v>
      </c>
      <c r="F153">
        <f>IF(ISBLANK(VLOOKUP($A153,quarterly_data,MATCH(F$1,quarterly!$1:$1,FALSE),FALSE)),"NA",VLOOKUP($A153,quarterly_data,MATCH(F$1,quarterly!$1:$1,FALSE),FALSE))</f>
        <v>2.5474E-3</v>
      </c>
      <c r="G153">
        <f>IF(ISBLANK(VLOOKUP($A153,quarterly_data,MATCH(G$1,quarterly!$1:$1,FALSE),FALSE)),"NA",VLOOKUP($A153,quarterly_data,MATCH(G$1,quarterly!$1:$1,FALSE),FALSE))</f>
        <v>16915.190999999999</v>
      </c>
      <c r="H153">
        <f>IF(ISBLANK(VLOOKUP($A153,quarterly_data,MATCH(H$1,quarterly!$1:$1,FALSE),FALSE)),"NA",VLOOKUP($A153,quarterly_data,MATCH(H$1,quarterly!$1:$1,FALSE),FALSE))</f>
        <v>452939</v>
      </c>
      <c r="I153">
        <f>IF(ISBLANK(VLOOKUP($A153,quarterly_data,MATCH(I$1,quarterly!$1:$1,FALSE),FALSE)),"NA",VLOOKUP($A153,quarterly_data,MATCH(I$1,quarterly!$1:$1,FALSE),FALSE))</f>
        <v>1.2</v>
      </c>
      <c r="J153">
        <f>IF(ISBLANK(VLOOKUP($A153,quarterly_data,MATCH(J$1,quarterly!$1:$1,FALSE),FALSE)),"NA",VLOOKUP($A153,quarterly_data,MATCH(J$1,quarterly!$1:$1,FALSE),FALSE))</f>
        <v>61.89</v>
      </c>
      <c r="K153">
        <f>IF(COUNTIFS(monthly!C:C,"",monthly!$A:$A,"&gt;="&amp;$A153,monthly!$B:$B,"&lt;="&amp;$B153)&gt;0,"NA",AVERAGEIFS(monthly!C:C,monthly!$A:$A,"&gt;="&amp;$A153,monthly!$B:$B,"&lt;="&amp;$B153))</f>
        <v>70.550000000000011</v>
      </c>
      <c r="L153">
        <f>IF(COUNTIFS(monthly!D:D,"",monthly!$A:$A,"&gt;="&amp;$A153,monthly!$B:$B,"&lt;="&amp;$B153)&gt;0,"NA",AVERAGEIFS(monthly!D:D,monthly!$A:$A,"&gt;="&amp;$A153,monthly!$B:$B,"&lt;="&amp;$B153))</f>
        <v>0.90405000000000002</v>
      </c>
      <c r="M153">
        <f>IF(COUNTIFS(monthly!E:E,"",monthly!$A:$A,"&gt;="&amp;$A153,monthly!$B:$B,"&lt;="&amp;$B153)&gt;0,"NA",AVERAGEIFS(monthly!E:E,monthly!$A:$A,"&gt;="&amp;$A153,monthly!$B:$B,"&lt;="&amp;$B153))</f>
        <v>63.440843837483449</v>
      </c>
      <c r="N153" t="str">
        <f>IF(COUNTIFS(monthly!F:F,"",monthly!$A:$A,"&gt;="&amp;$A153,monthly!$B:$B,"&lt;="&amp;$B153)&gt;0,"NA",AVERAGEIFS(monthly!F:F,monthly!$A:$A,"&gt;="&amp;$A153,monthly!$B:$B,"&lt;="&amp;$B153))</f>
        <v>NA</v>
      </c>
      <c r="O153">
        <f>IF(COUNTIFS(monthly!G:G,"",monthly!$A:$A,"&gt;="&amp;$A153,monthly!$B:$B,"&lt;="&amp;$B153)&gt;0,"NA",AVERAGEIFS(monthly!G:G,monthly!$A:$A,"&gt;="&amp;$A153,monthly!$B:$B,"&lt;="&amp;$B153))</f>
        <v>181.6</v>
      </c>
      <c r="P153">
        <f>IF(COUNTIFS(monthly!H:H,"",monthly!$A:$A,"&gt;="&amp;$A153,monthly!$B:$B,"&lt;="&amp;$B153)&gt;0,"NA",AVERAGEIFS(monthly!H:H,monthly!$A:$A,"&gt;="&amp;$A153,monthly!$B:$B,"&lt;="&amp;$B153))</f>
        <v>79.699999999999989</v>
      </c>
      <c r="Q153">
        <f>IF(COUNTIFS(monthly!I:I,"",monthly!$A:$A,"&gt;="&amp;$A153,monthly!$B:$B,"&lt;="&amp;$B153)&gt;0,"NA",AVERAGEIFS(monthly!I:I,monthly!$A:$A,"&gt;="&amp;$A153,monthly!$B:$B,"&lt;="&amp;$B153))</f>
        <v>87.7</v>
      </c>
      <c r="R153">
        <f>IF(COUNTIFS(monthly!J:J,"",monthly!$A:$A,"&gt;="&amp;$A153,monthly!$B:$B,"&lt;="&amp;$B153)&gt;0,"NA",AVERAGEIFS(monthly!J:J,monthly!$A:$A,"&gt;="&amp;$A153,monthly!$B:$B,"&lt;="&amp;$B153))</f>
        <v>8.8450000000000006</v>
      </c>
      <c r="S153">
        <f>IF(COUNTIFS(monthly!K:K,"",monthly!$A:$A,"&gt;="&amp;$A153,monthly!$B:$B,"&lt;="&amp;$B153)&gt;0,"NA",AVERAGEIFS(monthly!K:K,monthly!$A:$A,"&gt;="&amp;$A153,monthly!$B:$B,"&lt;="&amp;$B153))</f>
        <v>6.6</v>
      </c>
      <c r="T153">
        <f>IF(COUNTIFS(monthly!L:L,"",monthly!$A:$A,"&gt;="&amp;$A153,monthly!$B:$B,"&lt;="&amp;$B153)&gt;0,"NA",AVERAGEIFS(monthly!L:L,monthly!$A:$A,"&gt;="&amp;$A153,monthly!$B:$B,"&lt;="&amp;$B153))</f>
        <v>4.6210752688172043</v>
      </c>
      <c r="U153">
        <f>IF(COUNTIFS(monthly!M:M,"",monthly!$A:$A,"&gt;="&amp;$A153,monthly!$B:$B,"&lt;="&amp;$B153)&gt;0,"NA",AVERAGEIFS(monthly!M:M,monthly!$A:$A,"&gt;="&amp;$A153,monthly!$B:$B,"&lt;="&amp;$B153))</f>
        <v>1.9789247311827958</v>
      </c>
      <c r="V153">
        <f>IF(COUNTIFS(monthly!N:N,"",monthly!$A:$A,"&gt;="&amp;$A153,monthly!$B:$B,"&lt;="&amp;$B153)&gt;0,"NA",AVERAGEIFS(monthly!N:N,monthly!$A:$A,"&gt;="&amp;$A153,monthly!$B:$B,"&lt;="&amp;$B153))</f>
        <v>6.6216403162055339</v>
      </c>
      <c r="W153">
        <f>IF(COUNTIFS(monthly!O:O,"",monthly!$A:$A,"&gt;="&amp;$A153,monthly!$B:$B,"&lt;="&amp;$B153)&gt;0,"NA",AVERAGEIFS(monthly!O:O,monthly!$A:$A,"&gt;="&amp;$A153,monthly!$B:$B,"&lt;="&amp;$B153))</f>
        <v>3.652113636363636</v>
      </c>
      <c r="X153">
        <f>IF(COUNTIFS(monthly!P:P,"",monthly!$A:$A,"&gt;="&amp;$A153,monthly!$B:$B,"&lt;="&amp;$B153)&gt;0,"NA",AVERAGEIFS(monthly!P:P,monthly!$A:$A,"&gt;="&amp;$A153,monthly!$B:$B,"&lt;="&amp;$B153))</f>
        <v>2.9695266798418976</v>
      </c>
      <c r="Y153">
        <f>IF(COUNTIFS(monthly!Q:Q,"",monthly!$A:$A,"&gt;="&amp;$A153,monthly!$B:$B,"&lt;="&amp;$B153)&gt;0,"NA",AVERAGEIFS(monthly!Q:Q,monthly!$A:$A,"&gt;="&amp;$A153,monthly!$B:$B,"&lt;="&amp;$B153))</f>
        <v>6.0999011857707508</v>
      </c>
      <c r="Z153">
        <f>IF(COUNTIFS(monthly!R:R,"",monthly!$A:$A,"&gt;="&amp;$A153,monthly!$B:$B,"&lt;="&amp;$B153)&gt;0,"NA",AVERAGEIFS(monthly!R:R,monthly!$A:$A,"&gt;="&amp;$A153,monthly!$B:$B,"&lt;="&amp;$B153))</f>
        <v>4.3381136363636363</v>
      </c>
      <c r="AA153">
        <f>IF(COUNTIFS(monthly!S:S,"",monthly!$A:$A,"&gt;="&amp;$A153,monthly!$B:$B,"&lt;="&amp;$B153)&gt;0,"NA",AVERAGEIFS(monthly!S:S,monthly!$A:$A,"&gt;="&amp;$A153,monthly!$B:$B,"&lt;="&amp;$B153))</f>
        <v>1.7617875494071145</v>
      </c>
      <c r="AB153">
        <f>IF(COUNTIFS(monthly!T:T,"",monthly!$A:$A,"&gt;="&amp;$A153,monthly!$B:$B,"&lt;="&amp;$B153)&gt;0,"NA",AVERAGEIFS(monthly!T:T,monthly!$A:$A,"&gt;="&amp;$A153,monthly!$B:$B,"&lt;="&amp;$B153))</f>
        <v>22.349016563147</v>
      </c>
      <c r="AC153">
        <f>IF(COUNTIFS(monthly!U:U,"",monthly!$A:$A,"&gt;="&amp;$A153,monthly!$B:$B,"&lt;="&amp;$B153)&gt;0,"NA",AVERAGEIFS(monthly!U:U,monthly!$A:$A,"&gt;="&amp;$A153,monthly!$B:$B,"&lt;="&amp;$B153))</f>
        <v>80.880974655553757</v>
      </c>
      <c r="AD153">
        <f>IF(COUNTIFS(monthly!V:V,"",monthly!$A:$A,"&gt;="&amp;$A153,monthly!$B:$B,"&lt;="&amp;$B153)&gt;0,"NA",AVERAGEIFS(monthly!V:V,monthly!$A:$A,"&gt;="&amp;$A153,monthly!$B:$B,"&lt;="&amp;$B153))</f>
        <v>84.855204215723759</v>
      </c>
      <c r="AE153">
        <f>IF(COUNTIFS(monthly!W:W,"",monthly!$A:$A,"&gt;="&amp;$A153,monthly!$B:$B,"&lt;="&amp;$B153)&gt;0,"NA",AVERAGEIFS(monthly!W:W,monthly!$A:$A,"&gt;="&amp;$A153,monthly!$B:$B,"&lt;="&amp;$B153))</f>
        <v>95.634231567382812</v>
      </c>
      <c r="AF153">
        <f>IF(COUNTIFS(monthly!X:X,"",monthly!$A:$A,"&gt;="&amp;$A153,monthly!$B:$B,"&lt;="&amp;$B153)&gt;0,"NA",AVERAGEIFS(monthly!X:X,monthly!$A:$A,"&gt;="&amp;$A153,monthly!$B:$B,"&lt;="&amp;$B153))</f>
        <v>99.674373626708984</v>
      </c>
      <c r="AG153">
        <f>IF(COUNTIFS(monthly!Y:Y,"",monthly!$A:$A,"&gt;="&amp;$A153,monthly!$B:$B,"&lt;="&amp;$B153)&gt;0,"NA",AVERAGEIFS(monthly!Y:Y,monthly!$A:$A,"&gt;="&amp;$A153,monthly!$B:$B,"&lt;="&amp;$B153))</f>
        <v>89.531795501708984</v>
      </c>
      <c r="AH153">
        <f>IF(COUNTIFS(monthly!Z:Z,"",monthly!$A:$A,"&gt;="&amp;$A153,monthly!$B:$B,"&lt;="&amp;$B153)&gt;0,"NA",AVERAGEIFS(monthly!Z:Z,monthly!$A:$A,"&gt;="&amp;$A153,monthly!$B:$B,"&lt;="&amp;$B153))</f>
        <v>8.8869880884885788E-2</v>
      </c>
    </row>
    <row r="154" spans="1:34" x14ac:dyDescent="0.2">
      <c r="A154" s="1">
        <v>39448</v>
      </c>
      <c r="B154" s="1">
        <v>39537</v>
      </c>
      <c r="C154">
        <f>IF(ISBLANK(VLOOKUP($A154,quarterly_data,MATCH(C$1,quarterly!$1:$1,FALSE),FALSE)),"NA",VLOOKUP($A154,quarterly_data,MATCH(C$1,quarterly!$1:$1,FALSE),FALSE))</f>
        <v>141.45552351221193</v>
      </c>
      <c r="D154">
        <f>IF(ISBLANK(VLOOKUP($A154,quarterly_data,MATCH(D$1,quarterly!$1:$1,FALSE),FALSE)),"NA",VLOOKUP($A154,quarterly_data,MATCH(D$1,quarterly!$1:$1,FALSE),FALSE))</f>
        <v>79.099999999999994</v>
      </c>
      <c r="E154">
        <f>IF(ISBLANK(VLOOKUP($A154,quarterly_data,MATCH(E$1,quarterly!$1:$1,FALSE),FALSE)),"NA",VLOOKUP($A154,quarterly_data,MATCH(E$1,quarterly!$1:$1,FALSE),FALSE))</f>
        <v>0.1144558</v>
      </c>
      <c r="F154">
        <f>IF(ISBLANK(VLOOKUP($A154,quarterly_data,MATCH(F$1,quarterly!$1:$1,FALSE),FALSE)),"NA",VLOOKUP($A154,quarterly_data,MATCH(F$1,quarterly!$1:$1,FALSE),FALSE))</f>
        <v>2.28912E-2</v>
      </c>
      <c r="G154">
        <f>IF(ISBLANK(VLOOKUP($A154,quarterly_data,MATCH(G$1,quarterly!$1:$1,FALSE),FALSE)),"NA",VLOOKUP($A154,quarterly_data,MATCH(G$1,quarterly!$1:$1,FALSE),FALSE))</f>
        <v>16843.003000000001</v>
      </c>
      <c r="H154">
        <f>IF(ISBLANK(VLOOKUP($A154,quarterly_data,MATCH(H$1,quarterly!$1:$1,FALSE),FALSE)),"NA",VLOOKUP($A154,quarterly_data,MATCH(H$1,quarterly!$1:$1,FALSE),FALSE))</f>
        <v>458030</v>
      </c>
      <c r="I154">
        <f>IF(ISBLANK(VLOOKUP($A154,quarterly_data,MATCH(I$1,quarterly!$1:$1,FALSE),FALSE)),"NA",VLOOKUP($A154,quarterly_data,MATCH(I$1,quarterly!$1:$1,FALSE),FALSE))</f>
        <v>1.1000000000000001</v>
      </c>
      <c r="J154">
        <f>IF(ISBLANK(VLOOKUP($A154,quarterly_data,MATCH(J$1,quarterly!$1:$1,FALSE),FALSE)),"NA",VLOOKUP($A154,quarterly_data,MATCH(J$1,quarterly!$1:$1,FALSE),FALSE))</f>
        <v>62.72</v>
      </c>
      <c r="K154">
        <f>IF(COUNTIFS(monthly!C:C,"",monthly!$A:$A,"&gt;="&amp;$A154,monthly!$B:$B,"&lt;="&amp;$B154)&gt;0,"NA",AVERAGEIFS(monthly!C:C,monthly!$A:$A,"&gt;="&amp;$A154,monthly!$B:$B,"&lt;="&amp;$B154))</f>
        <v>70.05</v>
      </c>
      <c r="L154">
        <f>IF(COUNTIFS(monthly!D:D,"",monthly!$A:$A,"&gt;="&amp;$A154,monthly!$B:$B,"&lt;="&amp;$B154)&gt;0,"NA",AVERAGEIFS(monthly!D:D,monthly!$A:$A,"&gt;="&amp;$A154,monthly!$B:$B,"&lt;="&amp;$B154))</f>
        <v>0.91749999999999998</v>
      </c>
      <c r="M154">
        <f>IF(COUNTIFS(monthly!E:E,"",monthly!$A:$A,"&gt;="&amp;$A154,monthly!$B:$B,"&lt;="&amp;$B154)&gt;0,"NA",AVERAGEIFS(monthly!E:E,monthly!$A:$A,"&gt;="&amp;$A154,monthly!$B:$B,"&lt;="&amp;$B154))</f>
        <v>66.860300617107399</v>
      </c>
      <c r="N154" t="str">
        <f>IF(COUNTIFS(monthly!F:F,"",monthly!$A:$A,"&gt;="&amp;$A154,monthly!$B:$B,"&lt;="&amp;$B154)&gt;0,"NA",AVERAGEIFS(monthly!F:F,monthly!$A:$A,"&gt;="&amp;$A154,monthly!$B:$B,"&lt;="&amp;$B154))</f>
        <v>NA</v>
      </c>
      <c r="O154">
        <f>IF(COUNTIFS(monthly!G:G,"",monthly!$A:$A,"&gt;="&amp;$A154,monthly!$B:$B,"&lt;="&amp;$B154)&gt;0,"NA",AVERAGEIFS(monthly!G:G,monthly!$A:$A,"&gt;="&amp;$A154,monthly!$B:$B,"&lt;="&amp;$B154))</f>
        <v>189.75</v>
      </c>
      <c r="P154">
        <f>IF(COUNTIFS(monthly!H:H,"",monthly!$A:$A,"&gt;="&amp;$A154,monthly!$B:$B,"&lt;="&amp;$B154)&gt;0,"NA",AVERAGEIFS(monthly!H:H,monthly!$A:$A,"&gt;="&amp;$A154,monthly!$B:$B,"&lt;="&amp;$B154))</f>
        <v>111.9</v>
      </c>
      <c r="Q154">
        <f>IF(COUNTIFS(monthly!I:I,"",monthly!$A:$A,"&gt;="&amp;$A154,monthly!$B:$B,"&lt;="&amp;$B154)&gt;0,"NA",AVERAGEIFS(monthly!I:I,monthly!$A:$A,"&gt;="&amp;$A154,monthly!$B:$B,"&lt;="&amp;$B154))</f>
        <v>93.35</v>
      </c>
      <c r="R154">
        <f>IF(COUNTIFS(monthly!J:J,"",monthly!$A:$A,"&gt;="&amp;$A154,monthly!$B:$B,"&lt;="&amp;$B154)&gt;0,"NA",AVERAGEIFS(monthly!J:J,monthly!$A:$A,"&gt;="&amp;$A154,monthly!$B:$B,"&lt;="&amp;$B154))</f>
        <v>10.199999999999999</v>
      </c>
      <c r="S154">
        <f>IF(COUNTIFS(monthly!K:K,"",monthly!$A:$A,"&gt;="&amp;$A154,monthly!$B:$B,"&lt;="&amp;$B154)&gt;0,"NA",AVERAGEIFS(monthly!K:K,monthly!$A:$A,"&gt;="&amp;$A154,monthly!$B:$B,"&lt;="&amp;$B154))</f>
        <v>6.8550000000000004</v>
      </c>
      <c r="T154">
        <f>IF(COUNTIFS(monthly!L:L,"",monthly!$A:$A,"&gt;="&amp;$A154,monthly!$B:$B,"&lt;="&amp;$B154)&gt;0,"NA",AVERAGEIFS(monthly!L:L,monthly!$A:$A,"&gt;="&amp;$A154,monthly!$B:$B,"&lt;="&amp;$B154))</f>
        <v>3.4605061179087881</v>
      </c>
      <c r="U154">
        <f>IF(COUNTIFS(monthly!M:M,"",monthly!$A:$A,"&gt;="&amp;$A154,monthly!$B:$B,"&lt;="&amp;$B154)&gt;0,"NA",AVERAGEIFS(monthly!M:M,monthly!$A:$A,"&gt;="&amp;$A154,monthly!$B:$B,"&lt;="&amp;$B154))</f>
        <v>3.3944938820912123</v>
      </c>
      <c r="V154">
        <f>IF(COUNTIFS(monthly!N:N,"",monthly!$A:$A,"&gt;="&amp;$A154,monthly!$B:$B,"&lt;="&amp;$B154)&gt;0,"NA",AVERAGEIFS(monthly!N:N,monthly!$A:$A,"&gt;="&amp;$A154,monthly!$B:$B,"&lt;="&amp;$B154))</f>
        <v>6.7140476190476202</v>
      </c>
      <c r="W154">
        <f>IF(COUNTIFS(monthly!O:O,"",monthly!$A:$A,"&gt;="&amp;$A154,monthly!$B:$B,"&lt;="&amp;$B154)&gt;0,"NA",AVERAGEIFS(monthly!O:O,monthly!$A:$A,"&gt;="&amp;$A154,monthly!$B:$B,"&lt;="&amp;$B154))</f>
        <v>2.2243571428571425</v>
      </c>
      <c r="X154">
        <f>IF(COUNTIFS(monthly!P:P,"",monthly!$A:$A,"&gt;="&amp;$A154,monthly!$B:$B,"&lt;="&amp;$B154)&gt;0,"NA",AVERAGEIFS(monthly!P:P,monthly!$A:$A,"&gt;="&amp;$A154,monthly!$B:$B,"&lt;="&amp;$B154))</f>
        <v>4.4896904761904777</v>
      </c>
      <c r="Y154">
        <f>IF(COUNTIFS(monthly!Q:Q,"",monthly!$A:$A,"&gt;="&amp;$A154,monthly!$B:$B,"&lt;="&amp;$B154)&gt;0,"NA",AVERAGEIFS(monthly!Q:Q,monthly!$A:$A,"&gt;="&amp;$A154,monthly!$B:$B,"&lt;="&amp;$B154))</f>
        <v>6.1854761904761899</v>
      </c>
      <c r="Z154">
        <f>IF(COUNTIFS(monthly!R:R,"",monthly!$A:$A,"&gt;="&amp;$A154,monthly!$B:$B,"&lt;="&amp;$B154)&gt;0,"NA",AVERAGEIFS(monthly!R:R,monthly!$A:$A,"&gt;="&amp;$A154,monthly!$B:$B,"&lt;="&amp;$B154))</f>
        <v>3.7408928571428572</v>
      </c>
      <c r="AA154">
        <f>IF(COUNTIFS(monthly!S:S,"",monthly!$A:$A,"&gt;="&amp;$A154,monthly!$B:$B,"&lt;="&amp;$B154)&gt;0,"NA",AVERAGEIFS(monthly!S:S,monthly!$A:$A,"&gt;="&amp;$A154,monthly!$B:$B,"&lt;="&amp;$B154))</f>
        <v>2.4445833333333327</v>
      </c>
      <c r="AB154">
        <f>IF(COUNTIFS(monthly!T:T,"",monthly!$A:$A,"&gt;="&amp;$A154,monthly!$B:$B,"&lt;="&amp;$B154)&gt;0,"NA",AVERAGEIFS(monthly!T:T,monthly!$A:$A,"&gt;="&amp;$A154,monthly!$B:$B,"&lt;="&amp;$B154))</f>
        <v>25.636095238095237</v>
      </c>
      <c r="AC154">
        <f>IF(COUNTIFS(monthly!U:U,"",monthly!$A:$A,"&gt;="&amp;$A154,monthly!$B:$B,"&lt;="&amp;$B154)&gt;0,"NA",AVERAGEIFS(monthly!U:U,monthly!$A:$A,"&gt;="&amp;$A154,monthly!$B:$B,"&lt;="&amp;$B154))</f>
        <v>116.24370417652418</v>
      </c>
      <c r="AD154">
        <f>IF(COUNTIFS(monthly!V:V,"",monthly!$A:$A,"&gt;="&amp;$A154,monthly!$B:$B,"&lt;="&amp;$B154)&gt;0,"NA",AVERAGEIFS(monthly!V:V,monthly!$A:$A,"&gt;="&amp;$A154,monthly!$B:$B,"&lt;="&amp;$B154))</f>
        <v>130.25250989134727</v>
      </c>
      <c r="AE154">
        <f>IF(COUNTIFS(monthly!W:W,"",monthly!$A:$A,"&gt;="&amp;$A154,monthly!$B:$B,"&lt;="&amp;$B154)&gt;0,"NA",AVERAGEIFS(monthly!W:W,monthly!$A:$A,"&gt;="&amp;$A154,monthly!$B:$B,"&lt;="&amp;$B154))</f>
        <v>81.125644683837891</v>
      </c>
      <c r="AF154">
        <f>IF(COUNTIFS(monthly!X:X,"",monthly!$A:$A,"&gt;="&amp;$A154,monthly!$B:$B,"&lt;="&amp;$B154)&gt;0,"NA",AVERAGEIFS(monthly!X:X,monthly!$A:$A,"&gt;="&amp;$A154,monthly!$B:$B,"&lt;="&amp;$B154))</f>
        <v>74.465442657470703</v>
      </c>
      <c r="AG154">
        <f>IF(COUNTIFS(monthly!Y:Y,"",monthly!$A:$A,"&gt;="&amp;$A154,monthly!$B:$B,"&lt;="&amp;$B154)&gt;0,"NA",AVERAGEIFS(monthly!Y:Y,monthly!$A:$A,"&gt;="&amp;$A154,monthly!$B:$B,"&lt;="&amp;$B154))</f>
        <v>85.250217437744141</v>
      </c>
      <c r="AH154">
        <f>IF(COUNTIFS(monthly!Z:Z,"",monthly!$A:$A,"&gt;="&amp;$A154,monthly!$B:$B,"&lt;="&amp;$B154)&gt;0,"NA",AVERAGEIFS(monthly!Z:Z,monthly!$A:$A,"&gt;="&amp;$A154,monthly!$B:$B,"&lt;="&amp;$B154))</f>
        <v>6.6329831257462502E-2</v>
      </c>
    </row>
    <row r="155" spans="1:34" x14ac:dyDescent="0.2">
      <c r="A155" s="1">
        <v>39539</v>
      </c>
      <c r="B155" s="1">
        <v>39629</v>
      </c>
      <c r="C155">
        <f>IF(ISBLANK(VLOOKUP($A155,quarterly_data,MATCH(C$1,quarterly!$1:$1,FALSE),FALSE)),"NA",VLOOKUP($A155,quarterly_data,MATCH(C$1,quarterly!$1:$1,FALSE),FALSE))</f>
        <v>146.46375576735522</v>
      </c>
      <c r="D155">
        <f>IF(ISBLANK(VLOOKUP($A155,quarterly_data,MATCH(D$1,quarterly!$1:$1,FALSE),FALSE)),"NA",VLOOKUP($A155,quarterly_data,MATCH(D$1,quarterly!$1:$1,FALSE),FALSE))</f>
        <v>85.7</v>
      </c>
      <c r="E155">
        <f>IF(ISBLANK(VLOOKUP($A155,quarterly_data,MATCH(E$1,quarterly!$1:$1,FALSE),FALSE)),"NA",VLOOKUP($A155,quarterly_data,MATCH(E$1,quarterly!$1:$1,FALSE),FALSE))</f>
        <v>0.35528189999999998</v>
      </c>
      <c r="F155">
        <f>IF(ISBLANK(VLOOKUP($A155,quarterly_data,MATCH(F$1,quarterly!$1:$1,FALSE),FALSE)),"NA",VLOOKUP($A155,quarterly_data,MATCH(F$1,quarterly!$1:$1,FALSE),FALSE))</f>
        <v>8.2501900000000003E-2</v>
      </c>
      <c r="G155">
        <f>IF(ISBLANK(VLOOKUP($A155,quarterly_data,MATCH(G$1,quarterly!$1:$1,FALSE),FALSE)),"NA",VLOOKUP($A155,quarterly_data,MATCH(G$1,quarterly!$1:$1,FALSE),FALSE))</f>
        <v>16943.291000000001</v>
      </c>
      <c r="H155">
        <f>IF(ISBLANK(VLOOKUP($A155,quarterly_data,MATCH(H$1,quarterly!$1:$1,FALSE),FALSE)),"NA",VLOOKUP($A155,quarterly_data,MATCH(H$1,quarterly!$1:$1,FALSE),FALSE))</f>
        <v>459711</v>
      </c>
      <c r="I155">
        <f>IF(ISBLANK(VLOOKUP($A155,quarterly_data,MATCH(I$1,quarterly!$1:$1,FALSE),FALSE)),"NA",VLOOKUP($A155,quarterly_data,MATCH(I$1,quarterly!$1:$1,FALSE),FALSE))</f>
        <v>1.2</v>
      </c>
      <c r="J155">
        <f>IF(ISBLANK(VLOOKUP($A155,quarterly_data,MATCH(J$1,quarterly!$1:$1,FALSE),FALSE)),"NA",VLOOKUP($A155,quarterly_data,MATCH(J$1,quarterly!$1:$1,FALSE),FALSE))</f>
        <v>63.63</v>
      </c>
      <c r="K155">
        <f>IF(COUNTIFS(monthly!C:C,"",monthly!$A:$A,"&gt;="&amp;$A155,monthly!$B:$B,"&lt;="&amp;$B155)&gt;0,"NA",AVERAGEIFS(monthly!C:C,monthly!$A:$A,"&gt;="&amp;$A155,monthly!$B:$B,"&lt;="&amp;$B155))</f>
        <v>72.3</v>
      </c>
      <c r="L155">
        <f>IF(COUNTIFS(monthly!D:D,"",monthly!$A:$A,"&gt;="&amp;$A155,monthly!$B:$B,"&lt;="&amp;$B155)&gt;0,"NA",AVERAGEIFS(monthly!D:D,monthly!$A:$A,"&gt;="&amp;$A155,monthly!$B:$B,"&lt;="&amp;$B155))</f>
        <v>0.95073333333333332</v>
      </c>
      <c r="M155">
        <f>IF(COUNTIFS(monthly!E:E,"",monthly!$A:$A,"&gt;="&amp;$A155,monthly!$B:$B,"&lt;="&amp;$B155)&gt;0,"NA",AVERAGEIFS(monthly!E:E,monthly!$A:$A,"&gt;="&amp;$A155,monthly!$B:$B,"&lt;="&amp;$B155))</f>
        <v>80.74421053821834</v>
      </c>
      <c r="N155" t="str">
        <f>IF(COUNTIFS(monthly!F:F,"",monthly!$A:$A,"&gt;="&amp;$A155,monthly!$B:$B,"&lt;="&amp;$B155)&gt;0,"NA",AVERAGEIFS(monthly!F:F,monthly!$A:$A,"&gt;="&amp;$A155,monthly!$B:$B,"&lt;="&amp;$B155))</f>
        <v>NA</v>
      </c>
      <c r="O155">
        <f>IF(COUNTIFS(monthly!G:G,"",monthly!$A:$A,"&gt;="&amp;$A155,monthly!$B:$B,"&lt;="&amp;$B155)&gt;0,"NA",AVERAGEIFS(monthly!G:G,monthly!$A:$A,"&gt;="&amp;$A155,monthly!$B:$B,"&lt;="&amp;$B155))</f>
        <v>190.96666666666667</v>
      </c>
      <c r="P155">
        <f>IF(COUNTIFS(monthly!H:H,"",monthly!$A:$A,"&gt;="&amp;$A155,monthly!$B:$B,"&lt;="&amp;$B155)&gt;0,"NA",AVERAGEIFS(monthly!H:H,monthly!$A:$A,"&gt;="&amp;$A155,monthly!$B:$B,"&lt;="&amp;$B155))</f>
        <v>138.66666666666666</v>
      </c>
      <c r="Q155">
        <f>IF(COUNTIFS(monthly!I:I,"",monthly!$A:$A,"&gt;="&amp;$A155,monthly!$B:$B,"&lt;="&amp;$B155)&gt;0,"NA",AVERAGEIFS(monthly!I:I,monthly!$A:$A,"&gt;="&amp;$A155,monthly!$B:$B,"&lt;="&amp;$B155))</f>
        <v>122.36666666666667</v>
      </c>
      <c r="R155">
        <f>IF(COUNTIFS(monthly!J:J,"",monthly!$A:$A,"&gt;="&amp;$A155,monthly!$B:$B,"&lt;="&amp;$B155)&gt;0,"NA",AVERAGEIFS(monthly!J:J,monthly!$A:$A,"&gt;="&amp;$A155,monthly!$B:$B,"&lt;="&amp;$B155))</f>
        <v>11.706666666666669</v>
      </c>
      <c r="S155">
        <f>IF(COUNTIFS(monthly!K:K,"",monthly!$A:$A,"&gt;="&amp;$A155,monthly!$B:$B,"&lt;="&amp;$B155)&gt;0,"NA",AVERAGEIFS(monthly!K:K,monthly!$A:$A,"&gt;="&amp;$A155,monthly!$B:$B,"&lt;="&amp;$B155))</f>
        <v>7.25</v>
      </c>
      <c r="T155">
        <f>IF(COUNTIFS(monthly!L:L,"",monthly!$A:$A,"&gt;="&amp;$A155,monthly!$B:$B,"&lt;="&amp;$B155)&gt;0,"NA",AVERAGEIFS(monthly!L:L,monthly!$A:$A,"&gt;="&amp;$A155,monthly!$B:$B,"&lt;="&amp;$B155))</f>
        <v>2.0859068100358424</v>
      </c>
      <c r="U155">
        <f>IF(COUNTIFS(monthly!M:M,"",monthly!$A:$A,"&gt;="&amp;$A155,monthly!$B:$B,"&lt;="&amp;$B155)&gt;0,"NA",AVERAGEIFS(monthly!M:M,monthly!$A:$A,"&gt;="&amp;$A155,monthly!$B:$B,"&lt;="&amp;$B155))</f>
        <v>5.1640931899641576</v>
      </c>
      <c r="V155">
        <f>IF(COUNTIFS(monthly!N:N,"",monthly!$A:$A,"&gt;="&amp;$A155,monthly!$B:$B,"&lt;="&amp;$B155)&gt;0,"NA",AVERAGEIFS(monthly!N:N,monthly!$A:$A,"&gt;="&amp;$A155,monthly!$B:$B,"&lt;="&amp;$B155))</f>
        <v>6.6333964646464638</v>
      </c>
      <c r="W155">
        <f>IF(COUNTIFS(monthly!O:O,"",monthly!$A:$A,"&gt;="&amp;$A155,monthly!$B:$B,"&lt;="&amp;$B155)&gt;0,"NA",AVERAGEIFS(monthly!O:O,monthly!$A:$A,"&gt;="&amp;$A155,monthly!$B:$B,"&lt;="&amp;$B155))</f>
        <v>2.4222655122655121</v>
      </c>
      <c r="X155">
        <f>IF(COUNTIFS(monthly!P:P,"",monthly!$A:$A,"&gt;="&amp;$A155,monthly!$B:$B,"&lt;="&amp;$B155)&gt;0,"NA",AVERAGEIFS(monthly!P:P,monthly!$A:$A,"&gt;="&amp;$A155,monthly!$B:$B,"&lt;="&amp;$B155))</f>
        <v>4.2111309523809526</v>
      </c>
      <c r="Y155">
        <f>IF(COUNTIFS(monthly!Q:Q,"",monthly!$A:$A,"&gt;="&amp;$A155,monthly!$B:$B,"&lt;="&amp;$B155)&gt;0,"NA",AVERAGEIFS(monthly!Q:Q,monthly!$A:$A,"&gt;="&amp;$A155,monthly!$B:$B,"&lt;="&amp;$B155))</f>
        <v>6.3707420634920631</v>
      </c>
      <c r="Z155">
        <f>IF(COUNTIFS(monthly!R:R,"",monthly!$A:$A,"&gt;="&amp;$A155,monthly!$B:$B,"&lt;="&amp;$B155)&gt;0,"NA",AVERAGEIFS(monthly!R:R,monthly!$A:$A,"&gt;="&amp;$A155,monthly!$B:$B,"&lt;="&amp;$B155))</f>
        <v>3.8848412698412695</v>
      </c>
      <c r="AA155">
        <f>IF(COUNTIFS(monthly!S:S,"",monthly!$A:$A,"&gt;="&amp;$A155,monthly!$B:$B,"&lt;="&amp;$B155)&gt;0,"NA",AVERAGEIFS(monthly!S:S,monthly!$A:$A,"&gt;="&amp;$A155,monthly!$B:$B,"&lt;="&amp;$B155))</f>
        <v>2.4859007936507935</v>
      </c>
      <c r="AB155">
        <f>IF(COUNTIFS(monthly!T:T,"",monthly!$A:$A,"&gt;="&amp;$A155,monthly!$B:$B,"&lt;="&amp;$B155)&gt;0,"NA",AVERAGEIFS(monthly!T:T,monthly!$A:$A,"&gt;="&amp;$A155,monthly!$B:$B,"&lt;="&amp;$B155))</f>
        <v>20.658845598845598</v>
      </c>
      <c r="AC155">
        <f>IF(COUNTIFS(monthly!U:U,"",monthly!$A:$A,"&gt;="&amp;$A155,monthly!$B:$B,"&lt;="&amp;$B155)&gt;0,"NA",AVERAGEIFS(monthly!U:U,monthly!$A:$A,"&gt;="&amp;$A155,monthly!$B:$B,"&lt;="&amp;$B155))</f>
        <v>85.406733690649688</v>
      </c>
      <c r="AD155">
        <f>IF(COUNTIFS(monthly!V:V,"",monthly!$A:$A,"&gt;="&amp;$A155,monthly!$B:$B,"&lt;="&amp;$B155)&gt;0,"NA",AVERAGEIFS(monthly!V:V,monthly!$A:$A,"&gt;="&amp;$A155,monthly!$B:$B,"&lt;="&amp;$B155))</f>
        <v>110.7544889428907</v>
      </c>
      <c r="AE155">
        <f>IF(COUNTIFS(monthly!W:W,"",monthly!$A:$A,"&gt;="&amp;$A155,monthly!$B:$B,"&lt;="&amp;$B155)&gt;0,"NA",AVERAGEIFS(monthly!W:W,monthly!$A:$A,"&gt;="&amp;$A155,monthly!$B:$B,"&lt;="&amp;$B155))</f>
        <v>77.342343648274735</v>
      </c>
      <c r="AF155">
        <f>IF(COUNTIFS(monthly!X:X,"",monthly!$A:$A,"&gt;="&amp;$A155,monthly!$B:$B,"&lt;="&amp;$B155)&gt;0,"NA",AVERAGEIFS(monthly!X:X,monthly!$A:$A,"&gt;="&amp;$A155,monthly!$B:$B,"&lt;="&amp;$B155))</f>
        <v>76.340593973795578</v>
      </c>
      <c r="AG155">
        <f>IF(COUNTIFS(monthly!Y:Y,"",monthly!$A:$A,"&gt;="&amp;$A155,monthly!$B:$B,"&lt;="&amp;$B155)&gt;0,"NA",AVERAGEIFS(monthly!Y:Y,monthly!$A:$A,"&gt;="&amp;$A155,monthly!$B:$B,"&lt;="&amp;$B155))</f>
        <v>75.042477925618485</v>
      </c>
      <c r="AH155">
        <f>IF(COUNTIFS(monthly!Z:Z,"",monthly!$A:$A,"&gt;="&amp;$A155,monthly!$B:$B,"&lt;="&amp;$B155)&gt;0,"NA",AVERAGEIFS(monthly!Z:Z,monthly!$A:$A,"&gt;="&amp;$A155,monthly!$B:$B,"&lt;="&amp;$B155))</f>
        <v>5.692970442275206E-2</v>
      </c>
    </row>
    <row r="156" spans="1:34" x14ac:dyDescent="0.2">
      <c r="A156" s="1">
        <v>39630</v>
      </c>
      <c r="B156" s="1">
        <v>39721</v>
      </c>
      <c r="C156">
        <f>IF(ISBLANK(VLOOKUP($A156,quarterly_data,MATCH(C$1,quarterly!$1:$1,FALSE),FALSE)),"NA",VLOOKUP($A156,quarterly_data,MATCH(C$1,quarterly!$1:$1,FALSE),FALSE))</f>
        <v>141.81757164500792</v>
      </c>
      <c r="D156">
        <f>IF(ISBLANK(VLOOKUP($A156,quarterly_data,MATCH(D$1,quarterly!$1:$1,FALSE),FALSE)),"NA",VLOOKUP($A156,quarterly_data,MATCH(D$1,quarterly!$1:$1,FALSE),FALSE))</f>
        <v>91</v>
      </c>
      <c r="E156">
        <f>IF(ISBLANK(VLOOKUP($A156,quarterly_data,MATCH(E$1,quarterly!$1:$1,FALSE),FALSE)),"NA",VLOOKUP($A156,quarterly_data,MATCH(E$1,quarterly!$1:$1,FALSE),FALSE))</f>
        <v>0.2330459</v>
      </c>
      <c r="F156">
        <f>IF(ISBLANK(VLOOKUP($A156,quarterly_data,MATCH(F$1,quarterly!$1:$1,FALSE),FALSE)),"NA",VLOOKUP($A156,quarterly_data,MATCH(F$1,quarterly!$1:$1,FALSE),FALSE))</f>
        <v>8.5952600000000004E-2</v>
      </c>
      <c r="G156">
        <f>IF(ISBLANK(VLOOKUP($A156,quarterly_data,MATCH(G$1,quarterly!$1:$1,FALSE),FALSE)),"NA",VLOOKUP($A156,quarterly_data,MATCH(G$1,quarterly!$1:$1,FALSE),FALSE))</f>
        <v>16854.294999999998</v>
      </c>
      <c r="H156">
        <f>IF(ISBLANK(VLOOKUP($A156,quarterly_data,MATCH(H$1,quarterly!$1:$1,FALSE),FALSE)),"NA",VLOOKUP($A156,quarterly_data,MATCH(H$1,quarterly!$1:$1,FALSE),FALSE))</f>
        <v>462813</v>
      </c>
      <c r="I156">
        <f>IF(ISBLANK(VLOOKUP($A156,quarterly_data,MATCH(I$1,quarterly!$1:$1,FALSE),FALSE)),"NA",VLOOKUP($A156,quarterly_data,MATCH(I$1,quarterly!$1:$1,FALSE),FALSE))</f>
        <v>1.2</v>
      </c>
      <c r="J156">
        <f>IF(ISBLANK(VLOOKUP($A156,quarterly_data,MATCH(J$1,quarterly!$1:$1,FALSE),FALSE)),"NA",VLOOKUP($A156,quarterly_data,MATCH(J$1,quarterly!$1:$1,FALSE),FALSE))</f>
        <v>64.37</v>
      </c>
      <c r="K156">
        <f>IF(COUNTIFS(monthly!C:C,"",monthly!$A:$A,"&gt;="&amp;$A156,monthly!$B:$B,"&lt;="&amp;$B156)&gt;0,"NA",AVERAGEIFS(monthly!C:C,monthly!$A:$A,"&gt;="&amp;$A156,monthly!$B:$B,"&lt;="&amp;$B156))</f>
        <v>67.766666666666666</v>
      </c>
      <c r="L156">
        <f>IF(COUNTIFS(monthly!D:D,"",monthly!$A:$A,"&gt;="&amp;$A156,monthly!$B:$B,"&lt;="&amp;$B156)&gt;0,"NA",AVERAGEIFS(monthly!D:D,monthly!$A:$A,"&gt;="&amp;$A156,monthly!$B:$B,"&lt;="&amp;$B156))</f>
        <v>0.86896666666666667</v>
      </c>
      <c r="M156">
        <f>IF(COUNTIFS(monthly!E:E,"",monthly!$A:$A,"&gt;="&amp;$A156,monthly!$B:$B,"&lt;="&amp;$B156)&gt;0,"NA",AVERAGEIFS(monthly!E:E,monthly!$A:$A,"&gt;="&amp;$A156,monthly!$B:$B,"&lt;="&amp;$B156))</f>
        <v>91.165300550377808</v>
      </c>
      <c r="N156" t="str">
        <f>IF(COUNTIFS(monthly!F:F,"",monthly!$A:$A,"&gt;="&amp;$A156,monthly!$B:$B,"&lt;="&amp;$B156)&gt;0,"NA",AVERAGEIFS(monthly!F:F,monthly!$A:$A,"&gt;="&amp;$A156,monthly!$B:$B,"&lt;="&amp;$B156))</f>
        <v>NA</v>
      </c>
      <c r="O156">
        <f>IF(COUNTIFS(monthly!G:G,"",monthly!$A:$A,"&gt;="&amp;$A156,monthly!$B:$B,"&lt;="&amp;$B156)&gt;0,"NA",AVERAGEIFS(monthly!G:G,monthly!$A:$A,"&gt;="&amp;$A156,monthly!$B:$B,"&lt;="&amp;$B156))</f>
        <v>166.26666666666665</v>
      </c>
      <c r="P156">
        <f>IF(COUNTIFS(monthly!H:H,"",monthly!$A:$A,"&gt;="&amp;$A156,monthly!$B:$B,"&lt;="&amp;$B156)&gt;0,"NA",AVERAGEIFS(monthly!H:H,monthly!$A:$A,"&gt;="&amp;$A156,monthly!$B:$B,"&lt;="&amp;$B156))</f>
        <v>162.79999999999998</v>
      </c>
      <c r="Q156">
        <f>IF(COUNTIFS(monthly!I:I,"",monthly!$A:$A,"&gt;="&amp;$A156,monthly!$B:$B,"&lt;="&amp;$B156)&gt;0,"NA",AVERAGEIFS(monthly!I:I,monthly!$A:$A,"&gt;="&amp;$A156,monthly!$B:$B,"&lt;="&amp;$B156))</f>
        <v>115.59999999999998</v>
      </c>
      <c r="R156">
        <f>IF(COUNTIFS(monthly!J:J,"",monthly!$A:$A,"&gt;="&amp;$A156,monthly!$B:$B,"&lt;="&amp;$B156)&gt;0,"NA",AVERAGEIFS(monthly!J:J,monthly!$A:$A,"&gt;="&amp;$A156,monthly!$B:$B,"&lt;="&amp;$B156))</f>
        <v>13.33</v>
      </c>
      <c r="S156">
        <f>IF(COUNTIFS(monthly!K:K,"",monthly!$A:$A,"&gt;="&amp;$A156,monthly!$B:$B,"&lt;="&amp;$B156)&gt;0,"NA",AVERAGEIFS(monthly!K:K,monthly!$A:$A,"&gt;="&amp;$A156,monthly!$B:$B,"&lt;="&amp;$B156))</f>
        <v>7.1733333333333329</v>
      </c>
      <c r="T156">
        <f>IF(COUNTIFS(monthly!L:L,"",monthly!$A:$A,"&gt;="&amp;$A156,monthly!$B:$B,"&lt;="&amp;$B156)&gt;0,"NA",AVERAGEIFS(monthly!L:L,monthly!$A:$A,"&gt;="&amp;$A156,monthly!$B:$B,"&lt;="&amp;$B156))</f>
        <v>1.93926523297491</v>
      </c>
      <c r="U156">
        <f>IF(COUNTIFS(monthly!M:M,"",monthly!$A:$A,"&gt;="&amp;$A156,monthly!$B:$B,"&lt;="&amp;$B156)&gt;0,"NA",AVERAGEIFS(monthly!M:M,monthly!$A:$A,"&gt;="&amp;$A156,monthly!$B:$B,"&lt;="&amp;$B156))</f>
        <v>5.2340681003584235</v>
      </c>
      <c r="V156">
        <f>IF(COUNTIFS(monthly!N:N,"",monthly!$A:$A,"&gt;="&amp;$A156,monthly!$B:$B,"&lt;="&amp;$B156)&gt;0,"NA",AVERAGEIFS(monthly!N:N,monthly!$A:$A,"&gt;="&amp;$A156,monthly!$B:$B,"&lt;="&amp;$B156))</f>
        <v>5.9931959815546767</v>
      </c>
      <c r="W156">
        <f>IF(COUNTIFS(monthly!O:O,"",monthly!$A:$A,"&gt;="&amp;$A156,monthly!$B:$B,"&lt;="&amp;$B156)&gt;0,"NA",AVERAGEIFS(monthly!O:O,monthly!$A:$A,"&gt;="&amp;$A156,monthly!$B:$B,"&lt;="&amp;$B156))</f>
        <v>2.3566161616161616</v>
      </c>
      <c r="X156">
        <f>IF(COUNTIFS(monthly!P:P,"",monthly!$A:$A,"&gt;="&amp;$A156,monthly!$B:$B,"&lt;="&amp;$B156)&gt;0,"NA",AVERAGEIFS(monthly!P:P,monthly!$A:$A,"&gt;="&amp;$A156,monthly!$B:$B,"&lt;="&amp;$B156))</f>
        <v>3.6365798199385151</v>
      </c>
      <c r="Y156">
        <f>IF(COUNTIFS(monthly!Q:Q,"",monthly!$A:$A,"&gt;="&amp;$A156,monthly!$B:$B,"&lt;="&amp;$B156)&gt;0,"NA",AVERAGEIFS(monthly!Q:Q,monthly!$A:$A,"&gt;="&amp;$A156,monthly!$B:$B,"&lt;="&amp;$B156))</f>
        <v>5.9583102766798417</v>
      </c>
      <c r="Z156">
        <f>IF(COUNTIFS(monthly!R:R,"",monthly!$A:$A,"&gt;="&amp;$A156,monthly!$B:$B,"&lt;="&amp;$B156)&gt;0,"NA",AVERAGEIFS(monthly!R:R,monthly!$A:$A,"&gt;="&amp;$A156,monthly!$B:$B,"&lt;="&amp;$B156))</f>
        <v>3.8598773448773449</v>
      </c>
      <c r="AA156">
        <f>IF(COUNTIFS(monthly!S:S,"",monthly!$A:$A,"&gt;="&amp;$A156,monthly!$B:$B,"&lt;="&amp;$B156)&gt;0,"NA",AVERAGEIFS(monthly!S:S,monthly!$A:$A,"&gt;="&amp;$A156,monthly!$B:$B,"&lt;="&amp;$B156))</f>
        <v>2.0984329318024972</v>
      </c>
      <c r="AB156">
        <f>IF(COUNTIFS(monthly!T:T,"",monthly!$A:$A,"&gt;="&amp;$A156,monthly!$B:$B,"&lt;="&amp;$B156)&gt;0,"NA",AVERAGEIFS(monthly!T:T,monthly!$A:$A,"&gt;="&amp;$A156,monthly!$B:$B,"&lt;="&amp;$B156))</f>
        <v>25.085367965367968</v>
      </c>
      <c r="AC156">
        <f>IF(COUNTIFS(monthly!U:U,"",monthly!$A:$A,"&gt;="&amp;$A156,monthly!$B:$B,"&lt;="&amp;$B156)&gt;0,"NA",AVERAGEIFS(monthly!U:U,monthly!$A:$A,"&gt;="&amp;$A156,monthly!$B:$B,"&lt;="&amp;$B156))</f>
        <v>115.869770557587</v>
      </c>
      <c r="AD156">
        <f>IF(COUNTIFS(monthly!V:V,"",monthly!$A:$A,"&gt;="&amp;$A156,monthly!$B:$B,"&lt;="&amp;$B156)&gt;0,"NA",AVERAGEIFS(monthly!V:V,monthly!$A:$A,"&gt;="&amp;$A156,monthly!$B:$B,"&lt;="&amp;$B156))</f>
        <v>151.39741897797637</v>
      </c>
      <c r="AE156">
        <f>IF(COUNTIFS(monthly!W:W,"",monthly!$A:$A,"&gt;="&amp;$A156,monthly!$B:$B,"&lt;="&amp;$B156)&gt;0,"NA",AVERAGEIFS(monthly!W:W,monthly!$A:$A,"&gt;="&amp;$A156,monthly!$B:$B,"&lt;="&amp;$B156))</f>
        <v>88.945411682128906</v>
      </c>
      <c r="AF156">
        <f>IF(COUNTIFS(monthly!X:X,"",monthly!$A:$A,"&gt;="&amp;$A156,monthly!$B:$B,"&lt;="&amp;$B156)&gt;0,"NA",AVERAGEIFS(monthly!X:X,monthly!$A:$A,"&gt;="&amp;$A156,monthly!$B:$B,"&lt;="&amp;$B156))</f>
        <v>80.702156066894531</v>
      </c>
      <c r="AG156">
        <f>IF(COUNTIFS(monthly!Y:Y,"",monthly!$A:$A,"&gt;="&amp;$A156,monthly!$B:$B,"&lt;="&amp;$B156)&gt;0,"NA",AVERAGEIFS(monthly!Y:Y,monthly!$A:$A,"&gt;="&amp;$A156,monthly!$B:$B,"&lt;="&amp;$B156))</f>
        <v>95.895800272623703</v>
      </c>
      <c r="AH156">
        <f>IF(COUNTIFS(monthly!Z:Z,"",monthly!$A:$A,"&gt;="&amp;$A156,monthly!$B:$B,"&lt;="&amp;$B156)&gt;0,"NA",AVERAGEIFS(monthly!Z:Z,monthly!$A:$A,"&gt;="&amp;$A156,monthly!$B:$B,"&lt;="&amp;$B156))</f>
        <v>6.0277516643206276E-2</v>
      </c>
    </row>
    <row r="157" spans="1:34" x14ac:dyDescent="0.2">
      <c r="A157" s="1">
        <v>39722</v>
      </c>
      <c r="B157" s="1">
        <v>39812</v>
      </c>
      <c r="C157">
        <f>IF(ISBLANK(VLOOKUP($A157,quarterly_data,MATCH(C$1,quarterly!$1:$1,FALSE),FALSE)),"NA",VLOOKUP($A157,quarterly_data,MATCH(C$1,quarterly!$1:$1,FALSE),FALSE))</f>
        <v>113.65036319029474</v>
      </c>
      <c r="D157">
        <f>IF(ISBLANK(VLOOKUP($A157,quarterly_data,MATCH(D$1,quarterly!$1:$1,FALSE),FALSE)),"NA",VLOOKUP($A157,quarterly_data,MATCH(D$1,quarterly!$1:$1,FALSE),FALSE))</f>
        <v>88.8</v>
      </c>
      <c r="E157">
        <f>IF(ISBLANK(VLOOKUP($A157,quarterly_data,MATCH(E$1,quarterly!$1:$1,FALSE),FALSE)),"NA",VLOOKUP($A157,quarterly_data,MATCH(E$1,quarterly!$1:$1,FALSE),FALSE))</f>
        <v>0.21696679999999999</v>
      </c>
      <c r="F157">
        <f>IF(ISBLANK(VLOOKUP($A157,quarterly_data,MATCH(F$1,quarterly!$1:$1,FALSE),FALSE)),"NA",VLOOKUP($A157,quarterly_data,MATCH(F$1,quarterly!$1:$1,FALSE),FALSE))</f>
        <v>7.8540700000000005E-2</v>
      </c>
      <c r="G157">
        <f>IF(ISBLANK(VLOOKUP($A157,quarterly_data,MATCH(G$1,quarterly!$1:$1,FALSE),FALSE)),"NA",VLOOKUP($A157,quarterly_data,MATCH(G$1,quarterly!$1:$1,FALSE),FALSE))</f>
        <v>16485.349999999999</v>
      </c>
      <c r="H157">
        <f>IF(ISBLANK(VLOOKUP($A157,quarterly_data,MATCH(H$1,quarterly!$1:$1,FALSE),FALSE)),"NA",VLOOKUP($A157,quarterly_data,MATCH(H$1,quarterly!$1:$1,FALSE),FALSE))</f>
        <v>460801</v>
      </c>
      <c r="I157">
        <f>IF(ISBLANK(VLOOKUP($A157,quarterly_data,MATCH(I$1,quarterly!$1:$1,FALSE),FALSE)),"NA",VLOOKUP($A157,quarterly_data,MATCH(I$1,quarterly!$1:$1,FALSE),FALSE))</f>
        <v>0.7</v>
      </c>
      <c r="J157">
        <f>IF(ISBLANK(VLOOKUP($A157,quarterly_data,MATCH(J$1,quarterly!$1:$1,FALSE),FALSE)),"NA",VLOOKUP($A157,quarterly_data,MATCH(J$1,quarterly!$1:$1,FALSE),FALSE))</f>
        <v>64.16</v>
      </c>
      <c r="K157">
        <f>IF(COUNTIFS(monthly!C:C,"",monthly!$A:$A,"&gt;="&amp;$A157,monthly!$B:$B,"&lt;="&amp;$B157)&gt;0,"NA",AVERAGEIFS(monthly!C:C,monthly!$A:$A,"&gt;="&amp;$A157,monthly!$B:$B,"&lt;="&amp;$B157))</f>
        <v>54.650000000000006</v>
      </c>
      <c r="L157">
        <f>IF(COUNTIFS(monthly!D:D,"",monthly!$A:$A,"&gt;="&amp;$A157,monthly!$B:$B,"&lt;="&amp;$B157)&gt;0,"NA",AVERAGEIFS(monthly!D:D,monthly!$A:$A,"&gt;="&amp;$A157,monthly!$B:$B,"&lt;="&amp;$B157))</f>
        <v>0.66260000000000008</v>
      </c>
      <c r="M157">
        <f>IF(COUNTIFS(monthly!E:E,"",monthly!$A:$A,"&gt;="&amp;$A157,monthly!$B:$B,"&lt;="&amp;$B157)&gt;0,"NA",AVERAGEIFS(monthly!E:E,monthly!$A:$A,"&gt;="&amp;$A157,monthly!$B:$B,"&lt;="&amp;$B157))</f>
        <v>87.33444524920165</v>
      </c>
      <c r="N157" t="str">
        <f>IF(COUNTIFS(monthly!F:F,"",monthly!$A:$A,"&gt;="&amp;$A157,monthly!$B:$B,"&lt;="&amp;$B157)&gt;0,"NA",AVERAGEIFS(monthly!F:F,monthly!$A:$A,"&gt;="&amp;$A157,monthly!$B:$B,"&lt;="&amp;$B157))</f>
        <v>NA</v>
      </c>
      <c r="O157">
        <f>IF(COUNTIFS(monthly!G:G,"",monthly!$A:$A,"&gt;="&amp;$A157,monthly!$B:$B,"&lt;="&amp;$B157)&gt;0,"NA",AVERAGEIFS(monthly!G:G,monthly!$A:$A,"&gt;="&amp;$A157,monthly!$B:$B,"&lt;="&amp;$B157))</f>
        <v>76.849999999999994</v>
      </c>
      <c r="P157">
        <f>IF(COUNTIFS(monthly!H:H,"",monthly!$A:$A,"&gt;="&amp;$A157,monthly!$B:$B,"&lt;="&amp;$B157)&gt;0,"NA",AVERAGEIFS(monthly!H:H,monthly!$A:$A,"&gt;="&amp;$A157,monthly!$B:$B,"&lt;="&amp;$B157))</f>
        <v>100.15</v>
      </c>
      <c r="Q157">
        <f>IF(COUNTIFS(monthly!I:I,"",monthly!$A:$A,"&gt;="&amp;$A157,monthly!$B:$B,"&lt;="&amp;$B157)&gt;0,"NA",AVERAGEIFS(monthly!I:I,monthly!$A:$A,"&gt;="&amp;$A157,monthly!$B:$B,"&lt;="&amp;$B157))</f>
        <v>63</v>
      </c>
      <c r="R157">
        <f>IF(COUNTIFS(monthly!J:J,"",monthly!$A:$A,"&gt;="&amp;$A157,monthly!$B:$B,"&lt;="&amp;$B157)&gt;0,"NA",AVERAGEIFS(monthly!J:J,monthly!$A:$A,"&gt;="&amp;$A157,monthly!$B:$B,"&lt;="&amp;$B157))</f>
        <v>15.035</v>
      </c>
      <c r="S157">
        <f>IF(COUNTIFS(monthly!K:K,"",monthly!$A:$A,"&gt;="&amp;$A157,monthly!$B:$B,"&lt;="&amp;$B157)&gt;0,"NA",AVERAGEIFS(monthly!K:K,monthly!$A:$A,"&gt;="&amp;$A157,monthly!$B:$B,"&lt;="&amp;$B157))</f>
        <v>5.7549999999999999</v>
      </c>
      <c r="T157">
        <f>IF(COUNTIFS(monthly!L:L,"",monthly!$A:$A,"&gt;="&amp;$A157,monthly!$B:$B,"&lt;="&amp;$B157)&gt;0,"NA",AVERAGEIFS(monthly!L:L,monthly!$A:$A,"&gt;="&amp;$A157,monthly!$B:$B,"&lt;="&amp;$B157))</f>
        <v>0.67851075268817196</v>
      </c>
      <c r="U157">
        <f>IF(COUNTIFS(monthly!M:M,"",monthly!$A:$A,"&gt;="&amp;$A157,monthly!$B:$B,"&lt;="&amp;$B157)&gt;0,"NA",AVERAGEIFS(monthly!M:M,monthly!$A:$A,"&gt;="&amp;$A157,monthly!$B:$B,"&lt;="&amp;$B157))</f>
        <v>5.0764892473118284</v>
      </c>
      <c r="V157">
        <f>IF(COUNTIFS(monthly!N:N,"",monthly!$A:$A,"&gt;="&amp;$A157,monthly!$B:$B,"&lt;="&amp;$B157)&gt;0,"NA",AVERAGEIFS(monthly!N:N,monthly!$A:$A,"&gt;="&amp;$A157,monthly!$B:$B,"&lt;="&amp;$B157))</f>
        <v>3.9934659090909088</v>
      </c>
      <c r="W157">
        <f>IF(COUNTIFS(monthly!O:O,"",monthly!$A:$A,"&gt;="&amp;$A157,monthly!$B:$B,"&lt;="&amp;$B157)&gt;0,"NA",AVERAGEIFS(monthly!O:O,monthly!$A:$A,"&gt;="&amp;$A157,monthly!$B:$B,"&lt;="&amp;$B157))</f>
        <v>1.4125252525252527</v>
      </c>
      <c r="X157">
        <f>IF(COUNTIFS(monthly!P:P,"",monthly!$A:$A,"&gt;="&amp;$A157,monthly!$B:$B,"&lt;="&amp;$B157)&gt;0,"NA",AVERAGEIFS(monthly!P:P,monthly!$A:$A,"&gt;="&amp;$A157,monthly!$B:$B,"&lt;="&amp;$B157))</f>
        <v>2.5809406565656565</v>
      </c>
      <c r="Y157">
        <f>IF(COUNTIFS(monthly!Q:Q,"",monthly!$A:$A,"&gt;="&amp;$A157,monthly!$B:$B,"&lt;="&amp;$B157)&gt;0,"NA",AVERAGEIFS(monthly!Q:Q,monthly!$A:$A,"&gt;="&amp;$A157,monthly!$B:$B,"&lt;="&amp;$B157))</f>
        <v>5.077988636363636</v>
      </c>
      <c r="Z157">
        <f>IF(COUNTIFS(monthly!R:R,"",monthly!$A:$A,"&gt;="&amp;$A157,monthly!$B:$B,"&lt;="&amp;$B157)&gt;0,"NA",AVERAGEIFS(monthly!R:R,monthly!$A:$A,"&gt;="&amp;$A157,monthly!$B:$B,"&lt;="&amp;$B157))</f>
        <v>3.6703787878787884</v>
      </c>
      <c r="AA157">
        <f>IF(COUNTIFS(monthly!S:S,"",monthly!$A:$A,"&gt;="&amp;$A157,monthly!$B:$B,"&lt;="&amp;$B157)&gt;0,"NA",AVERAGEIFS(monthly!S:S,monthly!$A:$A,"&gt;="&amp;$A157,monthly!$B:$B,"&lt;="&amp;$B157))</f>
        <v>1.4076098484848476</v>
      </c>
      <c r="AB157">
        <f>IF(COUNTIFS(monthly!T:T,"",monthly!$A:$A,"&gt;="&amp;$A157,monthly!$B:$B,"&lt;="&amp;$B157)&gt;0,"NA",AVERAGEIFS(monthly!T:T,monthly!$A:$A,"&gt;="&amp;$A157,monthly!$B:$B,"&lt;="&amp;$B157))</f>
        <v>61.923169336384447</v>
      </c>
      <c r="AC157">
        <f>IF(COUNTIFS(monthly!U:U,"",monthly!$A:$A,"&gt;="&amp;$A157,monthly!$B:$B,"&lt;="&amp;$B157)&gt;0,"NA",AVERAGEIFS(monthly!U:U,monthly!$A:$A,"&gt;="&amp;$A157,monthly!$B:$B,"&lt;="&amp;$B157))</f>
        <v>175.46257464623235</v>
      </c>
      <c r="AD157">
        <f>IF(COUNTIFS(monthly!V:V,"",monthly!$A:$A,"&gt;="&amp;$A157,monthly!$B:$B,"&lt;="&amp;$B157)&gt;0,"NA",AVERAGEIFS(monthly!V:V,monthly!$A:$A,"&gt;="&amp;$A157,monthly!$B:$B,"&lt;="&amp;$B157))</f>
        <v>238.67682375146367</v>
      </c>
      <c r="AE157">
        <f>IF(COUNTIFS(monthly!W:W,"",monthly!$A:$A,"&gt;="&amp;$A157,monthly!$B:$B,"&lt;="&amp;$B157)&gt;0,"NA",AVERAGEIFS(monthly!W:W,monthly!$A:$A,"&gt;="&amp;$A157,monthly!$B:$B,"&lt;="&amp;$B157))</f>
        <v>71.620384216308594</v>
      </c>
      <c r="AF157">
        <f>IF(COUNTIFS(monthly!X:X,"",monthly!$A:$A,"&gt;="&amp;$A157,monthly!$B:$B,"&lt;="&amp;$B157)&gt;0,"NA",AVERAGEIFS(monthly!X:X,monthly!$A:$A,"&gt;="&amp;$A157,monthly!$B:$B,"&lt;="&amp;$B157))</f>
        <v>60.710519790649414</v>
      </c>
      <c r="AG157">
        <f>IF(COUNTIFS(monthly!Y:Y,"",monthly!$A:$A,"&gt;="&amp;$A157,monthly!$B:$B,"&lt;="&amp;$B157)&gt;0,"NA",AVERAGEIFS(monthly!Y:Y,monthly!$A:$A,"&gt;="&amp;$A157,monthly!$B:$B,"&lt;="&amp;$B157))</f>
        <v>85.213111877441406</v>
      </c>
      <c r="AH157">
        <f>IF(COUNTIFS(monthly!Z:Z,"",monthly!$A:$A,"&gt;="&amp;$A157,monthly!$B:$B,"&lt;="&amp;$B157)&gt;0,"NA",AVERAGEIFS(monthly!Z:Z,monthly!$A:$A,"&gt;="&amp;$A157,monthly!$B:$B,"&lt;="&amp;$B157))</f>
        <v>5.9799786657094955E-2</v>
      </c>
    </row>
    <row r="158" spans="1:34" x14ac:dyDescent="0.2">
      <c r="A158" s="1">
        <v>39814</v>
      </c>
      <c r="B158" s="1">
        <v>39902</v>
      </c>
      <c r="C158">
        <f>IF(ISBLANK(VLOOKUP($A158,quarterly_data,MATCH(C$1,quarterly!$1:$1,FALSE),FALSE)),"NA",VLOOKUP($A158,quarterly_data,MATCH(C$1,quarterly!$1:$1,FALSE),FALSE))</f>
        <v>114.71269397079746</v>
      </c>
      <c r="D158">
        <f>IF(ISBLANK(VLOOKUP($A158,quarterly_data,MATCH(D$1,quarterly!$1:$1,FALSE),FALSE)),"NA",VLOOKUP($A158,quarterly_data,MATCH(D$1,quarterly!$1:$1,FALSE),FALSE))</f>
        <v>84.4</v>
      </c>
      <c r="E158">
        <f>IF(ISBLANK(VLOOKUP($A158,quarterly_data,MATCH(E$1,quarterly!$1:$1,FALSE),FALSE)),"NA",VLOOKUP($A158,quarterly_data,MATCH(E$1,quarterly!$1:$1,FALSE),FALSE))</f>
        <v>0.11312220000000001</v>
      </c>
      <c r="F158">
        <f>IF(ISBLANK(VLOOKUP($A158,quarterly_data,MATCH(F$1,quarterly!$1:$1,FALSE),FALSE)),"NA",VLOOKUP($A158,quarterly_data,MATCH(F$1,quarterly!$1:$1,FALSE),FALSE))</f>
        <v>5.2089299999999998E-2</v>
      </c>
      <c r="G158">
        <f>IF(ISBLANK(VLOOKUP($A158,quarterly_data,MATCH(G$1,quarterly!$1:$1,FALSE),FALSE)),"NA",VLOOKUP($A158,quarterly_data,MATCH(G$1,quarterly!$1:$1,FALSE),FALSE))</f>
        <v>16298.262000000001</v>
      </c>
      <c r="H158">
        <f>IF(ISBLANK(VLOOKUP($A158,quarterly_data,MATCH(H$1,quarterly!$1:$1,FALSE),FALSE)),"NA",VLOOKUP($A158,quarterly_data,MATCH(H$1,quarterly!$1:$1,FALSE),FALSE))</f>
        <v>465513</v>
      </c>
      <c r="I158">
        <f>IF(ISBLANK(VLOOKUP($A158,quarterly_data,MATCH(I$1,quarterly!$1:$1,FALSE),FALSE)),"NA",VLOOKUP($A158,quarterly_data,MATCH(I$1,quarterly!$1:$1,FALSE),FALSE))</f>
        <v>0.9</v>
      </c>
      <c r="J158">
        <f>IF(ISBLANK(VLOOKUP($A158,quarterly_data,MATCH(J$1,quarterly!$1:$1,FALSE),FALSE)),"NA",VLOOKUP($A158,quarterly_data,MATCH(J$1,quarterly!$1:$1,FALSE),FALSE))</f>
        <v>64.23</v>
      </c>
      <c r="K158">
        <f>IF(COUNTIFS(monthly!C:C,"",monthly!$A:$A,"&gt;="&amp;$A158,monthly!$B:$B,"&lt;="&amp;$B158)&gt;0,"NA",AVERAGEIFS(monthly!C:C,monthly!$A:$A,"&gt;="&amp;$A158,monthly!$B:$B,"&lt;="&amp;$B158))</f>
        <v>54</v>
      </c>
      <c r="L158">
        <f>IF(COUNTIFS(monthly!D:D,"",monthly!$A:$A,"&gt;="&amp;$A158,monthly!$B:$B,"&lt;="&amp;$B158)&gt;0,"NA",AVERAGEIFS(monthly!D:D,monthly!$A:$A,"&gt;="&amp;$A158,monthly!$B:$B,"&lt;="&amp;$B158))</f>
        <v>0.64460000000000006</v>
      </c>
      <c r="M158">
        <f>IF(COUNTIFS(monthly!E:E,"",monthly!$A:$A,"&gt;="&amp;$A158,monthly!$B:$B,"&lt;="&amp;$B158)&gt;0,"NA",AVERAGEIFS(monthly!E:E,monthly!$A:$A,"&gt;="&amp;$A158,monthly!$B:$B,"&lt;="&amp;$B158))</f>
        <v>74.874076285385101</v>
      </c>
      <c r="N158">
        <f>IF(COUNTIFS(monthly!F:F,"",monthly!$A:$A,"&gt;="&amp;$A158,monthly!$B:$B,"&lt;="&amp;$B158)&gt;0,"NA",AVERAGEIFS(monthly!F:F,monthly!$A:$A,"&gt;="&amp;$A158,monthly!$B:$B,"&lt;="&amp;$B158))</f>
        <v>60.567785826996101</v>
      </c>
      <c r="O158">
        <f>IF(COUNTIFS(monthly!G:G,"",monthly!$A:$A,"&gt;="&amp;$A158,monthly!$B:$B,"&lt;="&amp;$B158)&gt;0,"NA",AVERAGEIFS(monthly!G:G,monthly!$A:$A,"&gt;="&amp;$A158,monthly!$B:$B,"&lt;="&amp;$B158))</f>
        <v>74.05</v>
      </c>
      <c r="P158">
        <f>IF(COUNTIFS(monthly!H:H,"",monthly!$A:$A,"&gt;="&amp;$A158,monthly!$B:$B,"&lt;="&amp;$B158)&gt;0,"NA",AVERAGEIFS(monthly!H:H,monthly!$A:$A,"&gt;="&amp;$A158,monthly!$B:$B,"&lt;="&amp;$B158))</f>
        <v>77.400000000000006</v>
      </c>
      <c r="Q158">
        <f>IF(COUNTIFS(monthly!I:I,"",monthly!$A:$A,"&gt;="&amp;$A158,monthly!$B:$B,"&lt;="&amp;$B158)&gt;0,"NA",AVERAGEIFS(monthly!I:I,monthly!$A:$A,"&gt;="&amp;$A158,monthly!$B:$B,"&lt;="&amp;$B158))</f>
        <v>44.05</v>
      </c>
      <c r="R158">
        <f>IF(COUNTIFS(monthly!J:J,"",monthly!$A:$A,"&gt;="&amp;$A158,monthly!$B:$B,"&lt;="&amp;$B158)&gt;0,"NA",AVERAGEIFS(monthly!J:J,monthly!$A:$A,"&gt;="&amp;$A158,monthly!$B:$B,"&lt;="&amp;$B158))</f>
        <v>11.615</v>
      </c>
      <c r="S158">
        <f>IF(COUNTIFS(monthly!K:K,"",monthly!$A:$A,"&gt;="&amp;$A158,monthly!$B:$B,"&lt;="&amp;$B158)&gt;0,"NA",AVERAGEIFS(monthly!K:K,monthly!$A:$A,"&gt;="&amp;$A158,monthly!$B:$B,"&lt;="&amp;$B158))</f>
        <v>3.8</v>
      </c>
      <c r="T158">
        <f>IF(COUNTIFS(monthly!L:L,"",monthly!$A:$A,"&gt;="&amp;$A158,monthly!$B:$B,"&lt;="&amp;$B158)&gt;0,"NA",AVERAGEIFS(monthly!L:L,monthly!$A:$A,"&gt;="&amp;$A158,monthly!$B:$B,"&lt;="&amp;$B158))</f>
        <v>0.18816820276497703</v>
      </c>
      <c r="U158">
        <f>IF(COUNTIFS(monthly!M:M,"",monthly!$A:$A,"&gt;="&amp;$A158,monthly!$B:$B,"&lt;="&amp;$B158)&gt;0,"NA",AVERAGEIFS(monthly!M:M,monthly!$A:$A,"&gt;="&amp;$A158,monthly!$B:$B,"&lt;="&amp;$B158))</f>
        <v>3.6118317972350229</v>
      </c>
      <c r="V158">
        <f>IF(COUNTIFS(monthly!N:N,"",monthly!$A:$A,"&gt;="&amp;$A158,monthly!$B:$B,"&lt;="&amp;$B158)&gt;0,"NA",AVERAGEIFS(monthly!N:N,monthly!$A:$A,"&gt;="&amp;$A158,monthly!$B:$B,"&lt;="&amp;$B158))</f>
        <v>2.8168749999999996</v>
      </c>
      <c r="W158">
        <f>IF(COUNTIFS(monthly!O:O,"",monthly!$A:$A,"&gt;="&amp;$A158,monthly!$B:$B,"&lt;="&amp;$B158)&gt;0,"NA",AVERAGEIFS(monthly!O:O,monthly!$A:$A,"&gt;="&amp;$A158,monthly!$B:$B,"&lt;="&amp;$B158))</f>
        <v>0.8911315789473685</v>
      </c>
      <c r="X158">
        <f>IF(COUNTIFS(monthly!P:P,"",monthly!$A:$A,"&gt;="&amp;$A158,monthly!$B:$B,"&lt;="&amp;$B158)&gt;0,"NA",AVERAGEIFS(monthly!P:P,monthly!$A:$A,"&gt;="&amp;$A158,monthly!$B:$B,"&lt;="&amp;$B158))</f>
        <v>1.9257434210526314</v>
      </c>
      <c r="Y158">
        <f>IF(COUNTIFS(monthly!Q:Q,"",monthly!$A:$A,"&gt;="&amp;$A158,monthly!$B:$B,"&lt;="&amp;$B158)&gt;0,"NA",AVERAGEIFS(monthly!Q:Q,monthly!$A:$A,"&gt;="&amp;$A158,monthly!$B:$B,"&lt;="&amp;$B158))</f>
        <v>4.1693750000000005</v>
      </c>
      <c r="Z158">
        <f>IF(COUNTIFS(monthly!R:R,"",monthly!$A:$A,"&gt;="&amp;$A158,monthly!$B:$B,"&lt;="&amp;$B158)&gt;0,"NA",AVERAGEIFS(monthly!R:R,monthly!$A:$A,"&gt;="&amp;$A158,monthly!$B:$B,"&lt;="&amp;$B158))</f>
        <v>2.6937499999999996</v>
      </c>
      <c r="AA158">
        <f>IF(COUNTIFS(monthly!S:S,"",monthly!$A:$A,"&gt;="&amp;$A158,monthly!$B:$B,"&lt;="&amp;$B158)&gt;0,"NA",AVERAGEIFS(monthly!S:S,monthly!$A:$A,"&gt;="&amp;$A158,monthly!$B:$B,"&lt;="&amp;$B158))</f>
        <v>1.4756250000000002</v>
      </c>
      <c r="AB158">
        <f>IF(COUNTIFS(monthly!T:T,"",monthly!$A:$A,"&gt;="&amp;$A158,monthly!$B:$B,"&lt;="&amp;$B158)&gt;0,"NA",AVERAGEIFS(monthly!T:T,monthly!$A:$A,"&gt;="&amp;$A158,monthly!$B:$B,"&lt;="&amp;$B158))</f>
        <v>45.126763157894736</v>
      </c>
      <c r="AC158">
        <f>IF(COUNTIFS(monthly!U:U,"",monthly!$A:$A,"&gt;="&amp;$A158,monthly!$B:$B,"&lt;="&amp;$B158)&gt;0,"NA",AVERAGEIFS(monthly!U:U,monthly!$A:$A,"&gt;="&amp;$A158,monthly!$B:$B,"&lt;="&amp;$B158))</f>
        <v>146.23725493699231</v>
      </c>
      <c r="AD158">
        <f>IF(COUNTIFS(monthly!V:V,"",monthly!$A:$A,"&gt;="&amp;$A158,monthly!$B:$B,"&lt;="&amp;$B158)&gt;0,"NA",AVERAGEIFS(monthly!V:V,monthly!$A:$A,"&gt;="&amp;$A158,monthly!$B:$B,"&lt;="&amp;$B158))</f>
        <v>148.67077796595333</v>
      </c>
      <c r="AE158">
        <f>IF(COUNTIFS(monthly!W:W,"",monthly!$A:$A,"&gt;="&amp;$A158,monthly!$B:$B,"&lt;="&amp;$B158)&gt;0,"NA",AVERAGEIFS(monthly!W:W,monthly!$A:$A,"&gt;="&amp;$A158,monthly!$B:$B,"&lt;="&amp;$B158))</f>
        <v>76.411075592041016</v>
      </c>
      <c r="AF158">
        <f>IF(COUNTIFS(monthly!X:X,"",monthly!$A:$A,"&gt;="&amp;$A158,monthly!$B:$B,"&lt;="&amp;$B158)&gt;0,"NA",AVERAGEIFS(monthly!X:X,monthly!$A:$A,"&gt;="&amp;$A158,monthly!$B:$B,"&lt;="&amp;$B158))</f>
        <v>75.543041229248047</v>
      </c>
      <c r="AG158">
        <f>IF(COUNTIFS(monthly!Y:Y,"",monthly!$A:$A,"&gt;="&amp;$A158,monthly!$B:$B,"&lt;="&amp;$B158)&gt;0,"NA",AVERAGEIFS(monthly!Y:Y,monthly!$A:$A,"&gt;="&amp;$A158,monthly!$B:$B,"&lt;="&amp;$B158))</f>
        <v>77.149452209472656</v>
      </c>
      <c r="AH158">
        <f>IF(COUNTIFS(monthly!Z:Z,"",monthly!$A:$A,"&gt;="&amp;$A158,monthly!$B:$B,"&lt;="&amp;$B158)&gt;0,"NA",AVERAGEIFS(monthly!Z:Z,monthly!$A:$A,"&gt;="&amp;$A158,monthly!$B:$B,"&lt;="&amp;$B158))</f>
        <v>3.7655649706721306E-2</v>
      </c>
    </row>
    <row r="159" spans="1:34" x14ac:dyDescent="0.2">
      <c r="A159" s="1">
        <v>39904</v>
      </c>
      <c r="B159" s="1">
        <v>39994</v>
      </c>
      <c r="C159">
        <f>IF(ISBLANK(VLOOKUP($A159,quarterly_data,MATCH(C$1,quarterly!$1:$1,FALSE),FALSE)),"NA",VLOOKUP($A159,quarterly_data,MATCH(C$1,quarterly!$1:$1,FALSE),FALSE))</f>
        <v>128.68270936502748</v>
      </c>
      <c r="D159">
        <f>IF(ISBLANK(VLOOKUP($A159,quarterly_data,MATCH(D$1,quarterly!$1:$1,FALSE),FALSE)),"NA",VLOOKUP($A159,quarterly_data,MATCH(D$1,quarterly!$1:$1,FALSE),FALSE))</f>
        <v>76.2</v>
      </c>
      <c r="E159">
        <f>IF(ISBLANK(VLOOKUP($A159,quarterly_data,MATCH(E$1,quarterly!$1:$1,FALSE),FALSE)),"NA",VLOOKUP($A159,quarterly_data,MATCH(E$1,quarterly!$1:$1,FALSE),FALSE))</f>
        <v>0</v>
      </c>
      <c r="F159">
        <f>IF(ISBLANK(VLOOKUP($A159,quarterly_data,MATCH(F$1,quarterly!$1:$1,FALSE),FALSE)),"NA",VLOOKUP($A159,quarterly_data,MATCH(F$1,quarterly!$1:$1,FALSE),FALSE))</f>
        <v>1.8544399999999999E-2</v>
      </c>
      <c r="G159">
        <f>IF(ISBLANK(VLOOKUP($A159,quarterly_data,MATCH(G$1,quarterly!$1:$1,FALSE),FALSE)),"NA",VLOOKUP($A159,quarterly_data,MATCH(G$1,quarterly!$1:$1,FALSE),FALSE))</f>
        <v>16269.145</v>
      </c>
      <c r="H159">
        <f>IF(ISBLANK(VLOOKUP($A159,quarterly_data,MATCH(H$1,quarterly!$1:$1,FALSE),FALSE)),"NA",VLOOKUP($A159,quarterly_data,MATCH(H$1,quarterly!$1:$1,FALSE),FALSE))</f>
        <v>468525</v>
      </c>
      <c r="I159">
        <f>IF(ISBLANK(VLOOKUP($A159,quarterly_data,MATCH(I$1,quarterly!$1:$1,FALSE),FALSE)),"NA",VLOOKUP($A159,quarterly_data,MATCH(I$1,quarterly!$1:$1,FALSE),FALSE))</f>
        <v>0.7</v>
      </c>
      <c r="J159">
        <f>IF(ISBLANK(VLOOKUP($A159,quarterly_data,MATCH(J$1,quarterly!$1:$1,FALSE),FALSE)),"NA",VLOOKUP($A159,quarterly_data,MATCH(J$1,quarterly!$1:$1,FALSE),FALSE))</f>
        <v>64.55</v>
      </c>
      <c r="K159">
        <f>IF(COUNTIFS(monthly!C:C,"",monthly!$A:$A,"&gt;="&amp;$A159,monthly!$B:$B,"&lt;="&amp;$B159)&gt;0,"NA",AVERAGEIFS(monthly!C:C,monthly!$A:$A,"&gt;="&amp;$A159,monthly!$B:$B,"&lt;="&amp;$B159))</f>
        <v>62.566666666666663</v>
      </c>
      <c r="L159">
        <f>IF(COUNTIFS(monthly!D:D,"",monthly!$A:$A,"&gt;="&amp;$A159,monthly!$B:$B,"&lt;="&amp;$B159)&gt;0,"NA",AVERAGEIFS(monthly!D:D,monthly!$A:$A,"&gt;="&amp;$A159,monthly!$B:$B,"&lt;="&amp;$B159))</f>
        <v>0.77636666666666665</v>
      </c>
      <c r="M159">
        <f>IF(COUNTIFS(monthly!E:E,"",monthly!$A:$A,"&gt;="&amp;$A159,monthly!$B:$B,"&lt;="&amp;$B159)&gt;0,"NA",AVERAGEIFS(monthly!E:E,monthly!$A:$A,"&gt;="&amp;$A159,monthly!$B:$B,"&lt;="&amp;$B159))</f>
        <v>62.039696136392998</v>
      </c>
      <c r="N159">
        <f>IF(COUNTIFS(monthly!F:F,"",monthly!$A:$A,"&gt;="&amp;$A159,monthly!$B:$B,"&lt;="&amp;$B159)&gt;0,"NA",AVERAGEIFS(monthly!F:F,monthly!$A:$A,"&gt;="&amp;$A159,monthly!$B:$B,"&lt;="&amp;$B159))</f>
        <v>54.385520163386069</v>
      </c>
      <c r="O159">
        <f>IF(COUNTIFS(monthly!G:G,"",monthly!$A:$A,"&gt;="&amp;$A159,monthly!$B:$B,"&lt;="&amp;$B159)&gt;0,"NA",AVERAGEIFS(monthly!G:G,monthly!$A:$A,"&gt;="&amp;$A159,monthly!$B:$B,"&lt;="&amp;$B159))</f>
        <v>64.733333333333334</v>
      </c>
      <c r="P159">
        <f>IF(COUNTIFS(monthly!H:H,"",monthly!$A:$A,"&gt;="&amp;$A159,monthly!$B:$B,"&lt;="&amp;$B159)&gt;0,"NA",AVERAGEIFS(monthly!H:H,monthly!$A:$A,"&gt;="&amp;$A159,monthly!$B:$B,"&lt;="&amp;$B159))</f>
        <v>66.5</v>
      </c>
      <c r="Q159">
        <f>IF(COUNTIFS(monthly!I:I,"",monthly!$A:$A,"&gt;="&amp;$A159,monthly!$B:$B,"&lt;="&amp;$B159)&gt;0,"NA",AVERAGEIFS(monthly!I:I,monthly!$A:$A,"&gt;="&amp;$A159,monthly!$B:$B,"&lt;="&amp;$B159))</f>
        <v>59.099999999999994</v>
      </c>
      <c r="R159">
        <f>IF(COUNTIFS(monthly!J:J,"",monthly!$A:$A,"&gt;="&amp;$A159,monthly!$B:$B,"&lt;="&amp;$B159)&gt;0,"NA",AVERAGEIFS(monthly!J:J,monthly!$A:$A,"&gt;="&amp;$A159,monthly!$B:$B,"&lt;="&amp;$B159))</f>
        <v>7.5999999999999988</v>
      </c>
      <c r="S159">
        <f>IF(COUNTIFS(monthly!K:K,"",monthly!$A:$A,"&gt;="&amp;$A159,monthly!$B:$B,"&lt;="&amp;$B159)&gt;0,"NA",AVERAGEIFS(monthly!K:K,monthly!$A:$A,"&gt;="&amp;$A159,monthly!$B:$B,"&lt;="&amp;$B159))</f>
        <v>3.02</v>
      </c>
      <c r="T159">
        <f>IF(COUNTIFS(monthly!L:L,"",monthly!$A:$A,"&gt;="&amp;$A159,monthly!$B:$B,"&lt;="&amp;$B159)&gt;0,"NA",AVERAGEIFS(monthly!L:L,monthly!$A:$A,"&gt;="&amp;$A159,monthly!$B:$B,"&lt;="&amp;$B159))</f>
        <v>0.17802867383512547</v>
      </c>
      <c r="U159">
        <f>IF(COUNTIFS(monthly!M:M,"",monthly!$A:$A,"&gt;="&amp;$A159,monthly!$B:$B,"&lt;="&amp;$B159)&gt;0,"NA",AVERAGEIFS(monthly!M:M,monthly!$A:$A,"&gt;="&amp;$A159,monthly!$B:$B,"&lt;="&amp;$B159))</f>
        <v>2.8419713261648751</v>
      </c>
      <c r="V159">
        <f>IF(COUNTIFS(monthly!N:N,"",monthly!$A:$A,"&gt;="&amp;$A159,monthly!$B:$B,"&lt;="&amp;$B159)&gt;0,"NA",AVERAGEIFS(monthly!N:N,monthly!$A:$A,"&gt;="&amp;$A159,monthly!$B:$B,"&lt;="&amp;$B159))</f>
        <v>3.507769841269841</v>
      </c>
      <c r="W159">
        <f>IF(COUNTIFS(monthly!O:O,"",monthly!$A:$A,"&gt;="&amp;$A159,monthly!$B:$B,"&lt;="&amp;$B159)&gt;0,"NA",AVERAGEIFS(monthly!O:O,monthly!$A:$A,"&gt;="&amp;$A159,monthly!$B:$B,"&lt;="&amp;$B159))</f>
        <v>1.0135779220779222</v>
      </c>
      <c r="X159">
        <f>IF(COUNTIFS(monthly!P:P,"",monthly!$A:$A,"&gt;="&amp;$A159,monthly!$B:$B,"&lt;="&amp;$B159)&gt;0,"NA",AVERAGEIFS(monthly!P:P,monthly!$A:$A,"&gt;="&amp;$A159,monthly!$B:$B,"&lt;="&amp;$B159))</f>
        <v>2.4941919191919188</v>
      </c>
      <c r="Y159">
        <f>IF(COUNTIFS(monthly!Q:Q,"",monthly!$A:$A,"&gt;="&amp;$A159,monthly!$B:$B,"&lt;="&amp;$B159)&gt;0,"NA",AVERAGEIFS(monthly!Q:Q,monthly!$A:$A,"&gt;="&amp;$A159,monthly!$B:$B,"&lt;="&amp;$B159))</f>
        <v>5.0243174603174605</v>
      </c>
      <c r="Z159">
        <f>IF(COUNTIFS(monthly!R:R,"",monthly!$A:$A,"&gt;="&amp;$A159,monthly!$B:$B,"&lt;="&amp;$B159)&gt;0,"NA",AVERAGEIFS(monthly!R:R,monthly!$A:$A,"&gt;="&amp;$A159,monthly!$B:$B,"&lt;="&amp;$B159))</f>
        <v>3.3139870129870133</v>
      </c>
      <c r="AA159">
        <f>IF(COUNTIFS(monthly!S:S,"",monthly!$A:$A,"&gt;="&amp;$A159,monthly!$B:$B,"&lt;="&amp;$B159)&gt;0,"NA",AVERAGEIFS(monthly!S:S,monthly!$A:$A,"&gt;="&amp;$A159,monthly!$B:$B,"&lt;="&amp;$B159))</f>
        <v>1.7103304473304473</v>
      </c>
      <c r="AB159">
        <f>IF(COUNTIFS(monthly!T:T,"",monthly!$A:$A,"&gt;="&amp;$A159,monthly!$B:$B,"&lt;="&amp;$B159)&gt;0,"NA",AVERAGEIFS(monthly!T:T,monthly!$A:$A,"&gt;="&amp;$A159,monthly!$B:$B,"&lt;="&amp;$B159))</f>
        <v>33.060754689754695</v>
      </c>
      <c r="AC159">
        <f>IF(COUNTIFS(monthly!U:U,"",monthly!$A:$A,"&gt;="&amp;$A159,monthly!$B:$B,"&lt;="&amp;$B159)&gt;0,"NA",AVERAGEIFS(monthly!U:U,monthly!$A:$A,"&gt;="&amp;$A159,monthly!$B:$B,"&lt;="&amp;$B159))</f>
        <v>106.96663683087873</v>
      </c>
      <c r="AD159">
        <f>IF(COUNTIFS(monthly!V:V,"",monthly!$A:$A,"&gt;="&amp;$A159,monthly!$B:$B,"&lt;="&amp;$B159)&gt;0,"NA",AVERAGEIFS(monthly!V:V,monthly!$A:$A,"&gt;="&amp;$A159,monthly!$B:$B,"&lt;="&amp;$B159))</f>
        <v>98.560694637954839</v>
      </c>
      <c r="AE159">
        <f>IF(COUNTIFS(monthly!W:W,"",monthly!$A:$A,"&gt;="&amp;$A159,monthly!$B:$B,"&lt;="&amp;$B159)&gt;0,"NA",AVERAGEIFS(monthly!W:W,monthly!$A:$A,"&gt;="&amp;$A159,monthly!$B:$B,"&lt;="&amp;$B159))</f>
        <v>85.492983500162765</v>
      </c>
      <c r="AF159">
        <f>IF(COUNTIFS(monthly!X:X,"",monthly!$A:$A,"&gt;="&amp;$A159,monthly!$B:$B,"&lt;="&amp;$B159)&gt;0,"NA",AVERAGEIFS(monthly!X:X,monthly!$A:$A,"&gt;="&amp;$A159,monthly!$B:$B,"&lt;="&amp;$B159))</f>
        <v>83.974403381347656</v>
      </c>
      <c r="AG159">
        <f>IF(COUNTIFS(monthly!Y:Y,"",monthly!$A:$A,"&gt;="&amp;$A159,monthly!$B:$B,"&lt;="&amp;$B159)&gt;0,"NA",AVERAGEIFS(monthly!Y:Y,monthly!$A:$A,"&gt;="&amp;$A159,monthly!$B:$B,"&lt;="&amp;$B159))</f>
        <v>83.738588968912765</v>
      </c>
      <c r="AH159">
        <f>IF(COUNTIFS(monthly!Z:Z,"",monthly!$A:$A,"&gt;="&amp;$A159,monthly!$B:$B,"&lt;="&amp;$B159)&gt;0,"NA",AVERAGEIFS(monthly!Z:Z,monthly!$A:$A,"&gt;="&amp;$A159,monthly!$B:$B,"&lt;="&amp;$B159))</f>
        <v>4.3587158744533859E-2</v>
      </c>
    </row>
    <row r="160" spans="1:34" x14ac:dyDescent="0.2">
      <c r="A160" s="1">
        <v>39995</v>
      </c>
      <c r="B160" s="1">
        <v>40086</v>
      </c>
      <c r="C160">
        <f>IF(ISBLANK(VLOOKUP($A160,quarterly_data,MATCH(C$1,quarterly!$1:$1,FALSE),FALSE)),"NA",VLOOKUP($A160,quarterly_data,MATCH(C$1,quarterly!$1:$1,FALSE),FALSE))</f>
        <v>137.55617507348782</v>
      </c>
      <c r="D160">
        <f>IF(ISBLANK(VLOOKUP($A160,quarterly_data,MATCH(D$1,quarterly!$1:$1,FALSE),FALSE)),"NA",VLOOKUP($A160,quarterly_data,MATCH(D$1,quarterly!$1:$1,FALSE),FALSE))</f>
        <v>74.8</v>
      </c>
      <c r="E160">
        <f>IF(ISBLANK(VLOOKUP($A160,quarterly_data,MATCH(E$1,quarterly!$1:$1,FALSE),FALSE)),"NA",VLOOKUP($A160,quarterly_data,MATCH(E$1,quarterly!$1:$1,FALSE),FALSE))</f>
        <v>9.8843500000000001E-2</v>
      </c>
      <c r="F160">
        <f>IF(ISBLANK(VLOOKUP($A160,quarterly_data,MATCH(F$1,quarterly!$1:$1,FALSE),FALSE)),"NA",VLOOKUP($A160,quarterly_data,MATCH(F$1,quarterly!$1:$1,FALSE),FALSE))</f>
        <v>2.3539399999999999E-2</v>
      </c>
      <c r="G160">
        <f>IF(ISBLANK(VLOOKUP($A160,quarterly_data,MATCH(G$1,quarterly!$1:$1,FALSE),FALSE)),"NA",VLOOKUP($A160,quarterly_data,MATCH(G$1,quarterly!$1:$1,FALSE),FALSE))</f>
        <v>16326.281000000001</v>
      </c>
      <c r="H160">
        <f>IF(ISBLANK(VLOOKUP($A160,quarterly_data,MATCH(H$1,quarterly!$1:$1,FALSE),FALSE)),"NA",VLOOKUP($A160,quarterly_data,MATCH(H$1,quarterly!$1:$1,FALSE),FALSE))</f>
        <v>469982</v>
      </c>
      <c r="I160">
        <f>IF(ISBLANK(VLOOKUP($A160,quarterly_data,MATCH(I$1,quarterly!$1:$1,FALSE),FALSE)),"NA",VLOOKUP($A160,quarterly_data,MATCH(I$1,quarterly!$1:$1,FALSE),FALSE))</f>
        <v>0.7</v>
      </c>
      <c r="J160">
        <f>IF(ISBLANK(VLOOKUP($A160,quarterly_data,MATCH(J$1,quarterly!$1:$1,FALSE),FALSE)),"NA",VLOOKUP($A160,quarterly_data,MATCH(J$1,quarterly!$1:$1,FALSE),FALSE))</f>
        <v>65.16</v>
      </c>
      <c r="K160">
        <f>IF(COUNTIFS(monthly!C:C,"",monthly!$A:$A,"&gt;="&amp;$A160,monthly!$B:$B,"&lt;="&amp;$B160)&gt;0,"NA",AVERAGEIFS(monthly!C:C,monthly!$A:$A,"&gt;="&amp;$A160,monthly!$B:$B,"&lt;="&amp;$B160))</f>
        <v>66.733333333333334</v>
      </c>
      <c r="L160">
        <f>IF(COUNTIFS(monthly!D:D,"",monthly!$A:$A,"&gt;="&amp;$A160,monthly!$B:$B,"&lt;="&amp;$B160)&gt;0,"NA",AVERAGEIFS(monthly!D:D,monthly!$A:$A,"&gt;="&amp;$A160,monthly!$B:$B,"&lt;="&amp;$B160))</f>
        <v>0.84916666666666663</v>
      </c>
      <c r="M160">
        <f>IF(COUNTIFS(monthly!E:E,"",monthly!$A:$A,"&gt;="&amp;$A160,monthly!$B:$B,"&lt;="&amp;$B160)&gt;0,"NA",AVERAGEIFS(monthly!E:E,monthly!$A:$A,"&gt;="&amp;$A160,monthly!$B:$B,"&lt;="&amp;$B160))</f>
        <v>61.63042187230446</v>
      </c>
      <c r="N160">
        <f>IF(COUNTIFS(monthly!F:F,"",monthly!$A:$A,"&gt;="&amp;$A160,monthly!$B:$B,"&lt;="&amp;$B160)&gt;0,"NA",AVERAGEIFS(monthly!F:F,monthly!$A:$A,"&gt;="&amp;$A160,monthly!$B:$B,"&lt;="&amp;$B160))</f>
        <v>63.101244705386364</v>
      </c>
      <c r="O160">
        <f>IF(COUNTIFS(monthly!G:G,"",monthly!$A:$A,"&gt;="&amp;$A160,monthly!$B:$B,"&lt;="&amp;$B160)&gt;0,"NA",AVERAGEIFS(monthly!G:G,monthly!$A:$A,"&gt;="&amp;$A160,monthly!$B:$B,"&lt;="&amp;$B160))</f>
        <v>87.466666666666654</v>
      </c>
      <c r="P160">
        <f>IF(COUNTIFS(monthly!H:H,"",monthly!$A:$A,"&gt;="&amp;$A160,monthly!$B:$B,"&lt;="&amp;$B160)&gt;0,"NA",AVERAGEIFS(monthly!H:H,monthly!$A:$A,"&gt;="&amp;$A160,monthly!$B:$B,"&lt;="&amp;$B160))</f>
        <v>71.3</v>
      </c>
      <c r="Q160">
        <f>IF(COUNTIFS(monthly!I:I,"",monthly!$A:$A,"&gt;="&amp;$A160,monthly!$B:$B,"&lt;="&amp;$B160)&gt;0,"NA",AVERAGEIFS(monthly!I:I,monthly!$A:$A,"&gt;="&amp;$A160,monthly!$B:$B,"&lt;="&amp;$B160))</f>
        <v>68.366666666666674</v>
      </c>
      <c r="R160">
        <f>IF(COUNTIFS(monthly!J:J,"",monthly!$A:$A,"&gt;="&amp;$A160,monthly!$B:$B,"&lt;="&amp;$B160)&gt;0,"NA",AVERAGEIFS(monthly!J:J,monthly!$A:$A,"&gt;="&amp;$A160,monthly!$B:$B,"&lt;="&amp;$B160))</f>
        <v>7.9099999999999993</v>
      </c>
      <c r="S160">
        <f>IF(COUNTIFS(monthly!K:K,"",monthly!$A:$A,"&gt;="&amp;$A160,monthly!$B:$B,"&lt;="&amp;$B160)&gt;0,"NA",AVERAGEIFS(monthly!K:K,monthly!$A:$A,"&gt;="&amp;$A160,monthly!$B:$B,"&lt;="&amp;$B160))</f>
        <v>3</v>
      </c>
      <c r="T160">
        <f>IF(COUNTIFS(monthly!L:L,"",monthly!$A:$A,"&gt;="&amp;$A160,monthly!$B:$B,"&lt;="&amp;$B160)&gt;0,"NA",AVERAGEIFS(monthly!L:L,monthly!$A:$A,"&gt;="&amp;$A160,monthly!$B:$B,"&lt;="&amp;$B160))</f>
        <v>0.15426523297491038</v>
      </c>
      <c r="U160">
        <f>IF(COUNTIFS(monthly!M:M,"",monthly!$A:$A,"&gt;="&amp;$A160,monthly!$B:$B,"&lt;="&amp;$B160)&gt;0,"NA",AVERAGEIFS(monthly!M:M,monthly!$A:$A,"&gt;="&amp;$A160,monthly!$B:$B,"&lt;="&amp;$B160))</f>
        <v>2.8457347670250894</v>
      </c>
      <c r="V160">
        <f>IF(COUNTIFS(monthly!N:N,"",monthly!$A:$A,"&gt;="&amp;$A160,monthly!$B:$B,"&lt;="&amp;$B160)&gt;0,"NA",AVERAGEIFS(monthly!N:N,monthly!$A:$A,"&gt;="&amp;$A160,monthly!$B:$B,"&lt;="&amp;$B160))</f>
        <v>4.3438702239789206</v>
      </c>
      <c r="W160">
        <f>IF(COUNTIFS(monthly!O:O,"",monthly!$A:$A,"&gt;="&amp;$A160,monthly!$B:$B,"&lt;="&amp;$B160)&gt;0,"NA",AVERAGEIFS(monthly!O:O,monthly!$A:$A,"&gt;="&amp;$A160,monthly!$B:$B,"&lt;="&amp;$B160))</f>
        <v>1.0301731601731603</v>
      </c>
      <c r="X160">
        <f>IF(COUNTIFS(monthly!P:P,"",monthly!$A:$A,"&gt;="&amp;$A160,monthly!$B:$B,"&lt;="&amp;$B160)&gt;0,"NA",AVERAGEIFS(monthly!P:P,monthly!$A:$A,"&gt;="&amp;$A160,monthly!$B:$B,"&lt;="&amp;$B160))</f>
        <v>3.3136970638057597</v>
      </c>
      <c r="Y160">
        <f>IF(COUNTIFS(monthly!Q:Q,"",monthly!$A:$A,"&gt;="&amp;$A160,monthly!$B:$B,"&lt;="&amp;$B160)&gt;0,"NA",AVERAGEIFS(monthly!Q:Q,monthly!$A:$A,"&gt;="&amp;$A160,monthly!$B:$B,"&lt;="&amp;$B160))</f>
        <v>5.4482374835309626</v>
      </c>
      <c r="Z160">
        <f>IF(COUNTIFS(monthly!R:R,"",monthly!$A:$A,"&gt;="&amp;$A160,monthly!$B:$B,"&lt;="&amp;$B160)&gt;0,"NA",AVERAGEIFS(monthly!R:R,monthly!$A:$A,"&gt;="&amp;$A160,monthly!$B:$B,"&lt;="&amp;$B160))</f>
        <v>3.5171067821067825</v>
      </c>
      <c r="AA160">
        <f>IF(COUNTIFS(monthly!S:S,"",monthly!$A:$A,"&gt;="&amp;$A160,monthly!$B:$B,"&lt;="&amp;$B160)&gt;0,"NA",AVERAGEIFS(monthly!S:S,monthly!$A:$A,"&gt;="&amp;$A160,monthly!$B:$B,"&lt;="&amp;$B160))</f>
        <v>1.9311307014241799</v>
      </c>
      <c r="AB160">
        <f>IF(COUNTIFS(monthly!T:T,"",monthly!$A:$A,"&gt;="&amp;$A160,monthly!$B:$B,"&lt;="&amp;$B160)&gt;0,"NA",AVERAGEIFS(monthly!T:T,monthly!$A:$A,"&gt;="&amp;$A160,monthly!$B:$B,"&lt;="&amp;$B160))</f>
        <v>25.475512265512265</v>
      </c>
      <c r="AC160">
        <f>IF(COUNTIFS(monthly!U:U,"",monthly!$A:$A,"&gt;="&amp;$A160,monthly!$B:$B,"&lt;="&amp;$B160)&gt;0,"NA",AVERAGEIFS(monthly!U:U,monthly!$A:$A,"&gt;="&amp;$A160,monthly!$B:$B,"&lt;="&amp;$B160))</f>
        <v>104.29150944238471</v>
      </c>
      <c r="AD160">
        <f>IF(COUNTIFS(monthly!V:V,"",monthly!$A:$A,"&gt;="&amp;$A160,monthly!$B:$B,"&lt;="&amp;$B160)&gt;0,"NA",AVERAGEIFS(monthly!V:V,monthly!$A:$A,"&gt;="&amp;$A160,monthly!$B:$B,"&lt;="&amp;$B160))</f>
        <v>94.356024544074174</v>
      </c>
      <c r="AE160">
        <f>IF(COUNTIFS(monthly!W:W,"",monthly!$A:$A,"&gt;="&amp;$A160,monthly!$B:$B,"&lt;="&amp;$B160)&gt;0,"NA",AVERAGEIFS(monthly!W:W,monthly!$A:$A,"&gt;="&amp;$A160,monthly!$B:$B,"&lt;="&amp;$B160))</f>
        <v>83.2171630859375</v>
      </c>
      <c r="AF160">
        <f>IF(COUNTIFS(monthly!X:X,"",monthly!$A:$A,"&gt;="&amp;$A160,monthly!$B:$B,"&lt;="&amp;$B160)&gt;0,"NA",AVERAGEIFS(monthly!X:X,monthly!$A:$A,"&gt;="&amp;$A160,monthly!$B:$B,"&lt;="&amp;$B160))</f>
        <v>81.436281840006515</v>
      </c>
      <c r="AG160">
        <f>IF(COUNTIFS(monthly!Y:Y,"",monthly!$A:$A,"&gt;="&amp;$A160,monthly!$B:$B,"&lt;="&amp;$B160)&gt;0,"NA",AVERAGEIFS(monthly!Y:Y,monthly!$A:$A,"&gt;="&amp;$A160,monthly!$B:$B,"&lt;="&amp;$B160))</f>
        <v>78.649792989095047</v>
      </c>
      <c r="AH160">
        <f>IF(COUNTIFS(monthly!Z:Z,"",monthly!$A:$A,"&gt;="&amp;$A160,monthly!$B:$B,"&lt;="&amp;$B160)&gt;0,"NA",AVERAGEIFS(monthly!Z:Z,monthly!$A:$A,"&gt;="&amp;$A160,monthly!$B:$B,"&lt;="&amp;$B160))</f>
        <v>7.7752343068520233E-2</v>
      </c>
    </row>
    <row r="161" spans="1:34" x14ac:dyDescent="0.2">
      <c r="A161" s="1">
        <v>40087</v>
      </c>
      <c r="B161" s="1">
        <v>40177</v>
      </c>
      <c r="C161">
        <f>IF(ISBLANK(VLOOKUP($A161,quarterly_data,MATCH(C$1,quarterly!$1:$1,FALSE),FALSE)),"NA",VLOOKUP($A161,quarterly_data,MATCH(C$1,quarterly!$1:$1,FALSE),FALSE))</f>
        <v>147.00237871416803</v>
      </c>
      <c r="D161">
        <f>IF(ISBLANK(VLOOKUP($A161,quarterly_data,MATCH(D$1,quarterly!$1:$1,FALSE),FALSE)),"NA",VLOOKUP($A161,quarterly_data,MATCH(D$1,quarterly!$1:$1,FALSE),FALSE))</f>
        <v>78</v>
      </c>
      <c r="E161">
        <f>IF(ISBLANK(VLOOKUP($A161,quarterly_data,MATCH(E$1,quarterly!$1:$1,FALSE),FALSE)),"NA",VLOOKUP($A161,quarterly_data,MATCH(E$1,quarterly!$1:$1,FALSE),FALSE))</f>
        <v>9.5969299999999994E-2</v>
      </c>
      <c r="F161">
        <f>IF(ISBLANK(VLOOKUP($A161,quarterly_data,MATCH(F$1,quarterly!$1:$1,FALSE),FALSE)),"NA",VLOOKUP($A161,quarterly_data,MATCH(F$1,quarterly!$1:$1,FALSE),FALSE))</f>
        <v>2.9078199999999998E-2</v>
      </c>
      <c r="G161">
        <f>IF(ISBLANK(VLOOKUP($A161,quarterly_data,MATCH(G$1,quarterly!$1:$1,FALSE),FALSE)),"NA",VLOOKUP($A161,quarterly_data,MATCH(G$1,quarterly!$1:$1,FALSE),FALSE))</f>
        <v>16502.754000000001</v>
      </c>
      <c r="H161">
        <f>IF(ISBLANK(VLOOKUP($A161,quarterly_data,MATCH(H$1,quarterly!$1:$1,FALSE),FALSE)),"NA",VLOOKUP($A161,quarterly_data,MATCH(H$1,quarterly!$1:$1,FALSE),FALSE))</f>
        <v>473770</v>
      </c>
      <c r="I161">
        <f>IF(ISBLANK(VLOOKUP($A161,quarterly_data,MATCH(I$1,quarterly!$1:$1,FALSE),FALSE)),"NA",VLOOKUP($A161,quarterly_data,MATCH(I$1,quarterly!$1:$1,FALSE),FALSE))</f>
        <v>0.8</v>
      </c>
      <c r="J161">
        <f>IF(ISBLANK(VLOOKUP($A161,quarterly_data,MATCH(J$1,quarterly!$1:$1,FALSE),FALSE)),"NA",VLOOKUP($A161,quarterly_data,MATCH(J$1,quarterly!$1:$1,FALSE),FALSE))</f>
        <v>65.510000000000005</v>
      </c>
      <c r="K161">
        <f>IF(COUNTIFS(monthly!C:C,"",monthly!$A:$A,"&gt;="&amp;$A161,monthly!$B:$B,"&lt;="&amp;$B161)&gt;0,"NA",AVERAGEIFS(monthly!C:C,monthly!$A:$A,"&gt;="&amp;$A161,monthly!$B:$B,"&lt;="&amp;$B161))</f>
        <v>70.300000000000011</v>
      </c>
      <c r="L161">
        <f>IF(COUNTIFS(monthly!D:D,"",monthly!$A:$A,"&gt;="&amp;$A161,monthly!$B:$B,"&lt;="&amp;$B161)&gt;0,"NA",AVERAGEIFS(monthly!D:D,monthly!$A:$A,"&gt;="&amp;$A161,monthly!$B:$B,"&lt;="&amp;$B161))</f>
        <v>0.91694999999999993</v>
      </c>
      <c r="M161">
        <f>IF(COUNTIFS(monthly!E:E,"",monthly!$A:$A,"&gt;="&amp;$A161,monthly!$B:$B,"&lt;="&amp;$B161)&gt;0,"NA",AVERAGEIFS(monthly!E:E,monthly!$A:$A,"&gt;="&amp;$A161,monthly!$B:$B,"&lt;="&amp;$B161))</f>
        <v>64.2945284734067</v>
      </c>
      <c r="N161">
        <f>IF(COUNTIFS(monthly!F:F,"",monthly!$A:$A,"&gt;="&amp;$A161,monthly!$B:$B,"&lt;="&amp;$B161)&gt;0,"NA",AVERAGEIFS(monthly!F:F,monthly!$A:$A,"&gt;="&amp;$A161,monthly!$B:$B,"&lt;="&amp;$B161))</f>
        <v>66.772739881019703</v>
      </c>
      <c r="O161">
        <f>IF(COUNTIFS(monthly!G:G,"",monthly!$A:$A,"&gt;="&amp;$A161,monthly!$B:$B,"&lt;="&amp;$B161)&gt;0,"NA",AVERAGEIFS(monthly!G:G,monthly!$A:$A,"&gt;="&amp;$A161,monthly!$B:$B,"&lt;="&amp;$B161))</f>
        <v>93.05</v>
      </c>
      <c r="P161">
        <f>IF(COUNTIFS(monthly!H:H,"",monthly!$A:$A,"&gt;="&amp;$A161,monthly!$B:$B,"&lt;="&amp;$B161)&gt;0,"NA",AVERAGEIFS(monthly!H:H,monthly!$A:$A,"&gt;="&amp;$A161,monthly!$B:$B,"&lt;="&amp;$B161))</f>
        <v>74.949999999999989</v>
      </c>
      <c r="Q161">
        <f>IF(COUNTIFS(monthly!I:I,"",monthly!$A:$A,"&gt;="&amp;$A161,monthly!$B:$B,"&lt;="&amp;$B161)&gt;0,"NA",AVERAGEIFS(monthly!I:I,monthly!$A:$A,"&gt;="&amp;$A161,monthly!$B:$B,"&lt;="&amp;$B161))</f>
        <v>75.099999999999994</v>
      </c>
      <c r="R161">
        <f>IF(COUNTIFS(monthly!J:J,"",monthly!$A:$A,"&gt;="&amp;$A161,monthly!$B:$B,"&lt;="&amp;$B161)&gt;0,"NA",AVERAGEIFS(monthly!J:J,monthly!$A:$A,"&gt;="&amp;$A161,monthly!$B:$B,"&lt;="&amp;$B161))</f>
        <v>9.1150000000000002</v>
      </c>
      <c r="S161">
        <f>IF(COUNTIFS(monthly!K:K,"",monthly!$A:$A,"&gt;="&amp;$A161,monthly!$B:$B,"&lt;="&amp;$B161)&gt;0,"NA",AVERAGEIFS(monthly!K:K,monthly!$A:$A,"&gt;="&amp;$A161,monthly!$B:$B,"&lt;="&amp;$B161))</f>
        <v>3.3449999999999998</v>
      </c>
      <c r="T161">
        <f>IF(COUNTIFS(monthly!L:L,"",monthly!$A:$A,"&gt;="&amp;$A161,monthly!$B:$B,"&lt;="&amp;$B161)&gt;0,"NA",AVERAGEIFS(monthly!L:L,monthly!$A:$A,"&gt;="&amp;$A161,monthly!$B:$B,"&lt;="&amp;$B161))</f>
        <v>0.11853225806451612</v>
      </c>
      <c r="U161">
        <f>IF(COUNTIFS(monthly!M:M,"",monthly!$A:$A,"&gt;="&amp;$A161,monthly!$B:$B,"&lt;="&amp;$B161)&gt;0,"NA",AVERAGEIFS(monthly!M:M,monthly!$A:$A,"&gt;="&amp;$A161,monthly!$B:$B,"&lt;="&amp;$B161))</f>
        <v>3.2264677419354837</v>
      </c>
      <c r="V161">
        <f>IF(COUNTIFS(monthly!N:N,"",monthly!$A:$A,"&gt;="&amp;$A161,monthly!$B:$B,"&lt;="&amp;$B161)&gt;0,"NA",AVERAGEIFS(monthly!N:N,monthly!$A:$A,"&gt;="&amp;$A161,monthly!$B:$B,"&lt;="&amp;$B161))</f>
        <v>4.7669047619047618</v>
      </c>
      <c r="W161">
        <f>IF(COUNTIFS(monthly!O:O,"",monthly!$A:$A,"&gt;="&amp;$A161,monthly!$B:$B,"&lt;="&amp;$B161)&gt;0,"NA",AVERAGEIFS(monthly!O:O,monthly!$A:$A,"&gt;="&amp;$A161,monthly!$B:$B,"&lt;="&amp;$B161))</f>
        <v>0.87610275689223049</v>
      </c>
      <c r="X161">
        <f>IF(COUNTIFS(monthly!P:P,"",monthly!$A:$A,"&gt;="&amp;$A161,monthly!$B:$B,"&lt;="&amp;$B161)&gt;0,"NA",AVERAGEIFS(monthly!P:P,monthly!$A:$A,"&gt;="&amp;$A161,monthly!$B:$B,"&lt;="&amp;$B161))</f>
        <v>3.8908020050125316</v>
      </c>
      <c r="Y161">
        <f>IF(COUNTIFS(monthly!Q:Q,"",monthly!$A:$A,"&gt;="&amp;$A161,monthly!$B:$B,"&lt;="&amp;$B161)&gt;0,"NA",AVERAGEIFS(monthly!Q:Q,monthly!$A:$A,"&gt;="&amp;$A161,monthly!$B:$B,"&lt;="&amp;$B161))</f>
        <v>5.4584523809523819</v>
      </c>
      <c r="Z161">
        <f>IF(COUNTIFS(monthly!R:R,"",monthly!$A:$A,"&gt;="&amp;$A161,monthly!$B:$B,"&lt;="&amp;$B161)&gt;0,"NA",AVERAGEIFS(monthly!R:R,monthly!$A:$A,"&gt;="&amp;$A161,monthly!$B:$B,"&lt;="&amp;$B161))</f>
        <v>3.3951253132832075</v>
      </c>
      <c r="AA161">
        <f>IF(COUNTIFS(monthly!S:S,"",monthly!$A:$A,"&gt;="&amp;$A161,monthly!$B:$B,"&lt;="&amp;$B161)&gt;0,"NA",AVERAGEIFS(monthly!S:S,monthly!$A:$A,"&gt;="&amp;$A161,monthly!$B:$B,"&lt;="&amp;$B161))</f>
        <v>2.0633270676691735</v>
      </c>
      <c r="AB161">
        <f>IF(COUNTIFS(monthly!T:T,"",monthly!$A:$A,"&gt;="&amp;$A161,monthly!$B:$B,"&lt;="&amp;$B161)&gt;0,"NA",AVERAGEIFS(monthly!T:T,monthly!$A:$A,"&gt;="&amp;$A161,monthly!$B:$B,"&lt;="&amp;$B161))</f>
        <v>24.020636363636367</v>
      </c>
      <c r="AC161">
        <f>IF(COUNTIFS(monthly!U:U,"",monthly!$A:$A,"&gt;="&amp;$A161,monthly!$B:$B,"&lt;="&amp;$B161)&gt;0,"NA",AVERAGEIFS(monthly!U:U,monthly!$A:$A,"&gt;="&amp;$A161,monthly!$B:$B,"&lt;="&amp;$B161))</f>
        <v>98.122502320261418</v>
      </c>
      <c r="AD161">
        <f>IF(COUNTIFS(monthly!V:V,"",monthly!$A:$A,"&gt;="&amp;$A161,monthly!$B:$B,"&lt;="&amp;$B161)&gt;0,"NA",AVERAGEIFS(monthly!V:V,monthly!$A:$A,"&gt;="&amp;$A161,monthly!$B:$B,"&lt;="&amp;$B161))</f>
        <v>88.954162868782902</v>
      </c>
      <c r="AE161">
        <f>IF(COUNTIFS(monthly!W:W,"",monthly!$A:$A,"&gt;="&amp;$A161,monthly!$B:$B,"&lt;="&amp;$B161)&gt;0,"NA",AVERAGEIFS(monthly!W:W,monthly!$A:$A,"&gt;="&amp;$A161,monthly!$B:$B,"&lt;="&amp;$B161))</f>
        <v>86.339080810546875</v>
      </c>
      <c r="AF161">
        <f>IF(COUNTIFS(monthly!X:X,"",monthly!$A:$A,"&gt;="&amp;$A161,monthly!$B:$B,"&lt;="&amp;$B161)&gt;0,"NA",AVERAGEIFS(monthly!X:X,monthly!$A:$A,"&gt;="&amp;$A161,monthly!$B:$B,"&lt;="&amp;$B161))</f>
        <v>81.272647857666016</v>
      </c>
      <c r="AG161">
        <f>IF(COUNTIFS(monthly!Y:Y,"",monthly!$A:$A,"&gt;="&amp;$A161,monthly!$B:$B,"&lt;="&amp;$B161)&gt;0,"NA",AVERAGEIFS(monthly!Y:Y,monthly!$A:$A,"&gt;="&amp;$A161,monthly!$B:$B,"&lt;="&amp;$B161))</f>
        <v>87.71746826171875</v>
      </c>
      <c r="AH161">
        <f>IF(COUNTIFS(monthly!Z:Z,"",monthly!$A:$A,"&gt;="&amp;$A161,monthly!$B:$B,"&lt;="&amp;$B161)&gt;0,"NA",AVERAGEIFS(monthly!Z:Z,monthly!$A:$A,"&gt;="&amp;$A161,monthly!$B:$B,"&lt;="&amp;$B161))</f>
        <v>5.9071449562907219E-2</v>
      </c>
    </row>
    <row r="162" spans="1:34" x14ac:dyDescent="0.2">
      <c r="A162" s="1">
        <v>40179</v>
      </c>
      <c r="B162" s="1">
        <v>40267</v>
      </c>
      <c r="C162">
        <f>IF(ISBLANK(VLOOKUP($A162,quarterly_data,MATCH(C$1,quarterly!$1:$1,FALSE),FALSE)),"NA",VLOOKUP($A162,quarterly_data,MATCH(C$1,quarterly!$1:$1,FALSE),FALSE))</f>
        <v>148.31149821764072</v>
      </c>
      <c r="D162">
        <f>IF(ISBLANK(VLOOKUP($A162,quarterly_data,MATCH(D$1,quarterly!$1:$1,FALSE),FALSE)),"NA",VLOOKUP($A162,quarterly_data,MATCH(D$1,quarterly!$1:$1,FALSE),FALSE))</f>
        <v>82.6</v>
      </c>
      <c r="E162">
        <f>IF(ISBLANK(VLOOKUP($A162,quarterly_data,MATCH(E$1,quarterly!$1:$1,FALSE),FALSE)),"NA",VLOOKUP($A162,quarterly_data,MATCH(E$1,quarterly!$1:$1,FALSE),FALSE))</f>
        <v>0.1020721</v>
      </c>
      <c r="F162">
        <f>IF(ISBLANK(VLOOKUP($A162,quarterly_data,MATCH(F$1,quarterly!$1:$1,FALSE),FALSE)),"NA",VLOOKUP($A162,quarterly_data,MATCH(F$1,quarterly!$1:$1,FALSE),FALSE))</f>
        <v>3.3306099999999998E-2</v>
      </c>
      <c r="G162">
        <f>IF(ISBLANK(VLOOKUP($A162,quarterly_data,MATCH(G$1,quarterly!$1:$1,FALSE),FALSE)),"NA",VLOOKUP($A162,quarterly_data,MATCH(G$1,quarterly!$1:$1,FALSE),FALSE))</f>
        <v>16582.71</v>
      </c>
      <c r="H162">
        <f>IF(ISBLANK(VLOOKUP($A162,quarterly_data,MATCH(H$1,quarterly!$1:$1,FALSE),FALSE)),"NA",VLOOKUP($A162,quarterly_data,MATCH(H$1,quarterly!$1:$1,FALSE),FALSE))</f>
        <v>475949</v>
      </c>
      <c r="I162">
        <f>IF(ISBLANK(VLOOKUP($A162,quarterly_data,MATCH(I$1,quarterly!$1:$1,FALSE),FALSE)),"NA",VLOOKUP($A162,quarterly_data,MATCH(I$1,quarterly!$1:$1,FALSE),FALSE))</f>
        <v>0.8</v>
      </c>
      <c r="J162">
        <f>IF(ISBLANK(VLOOKUP($A162,quarterly_data,MATCH(J$1,quarterly!$1:$1,FALSE),FALSE)),"NA",VLOOKUP($A162,quarterly_data,MATCH(J$1,quarterly!$1:$1,FALSE),FALSE))</f>
        <v>66.12</v>
      </c>
      <c r="K162">
        <f>IF(COUNTIFS(monthly!C:C,"",monthly!$A:$A,"&gt;="&amp;$A162,monthly!$B:$B,"&lt;="&amp;$B162)&gt;0,"NA",AVERAGEIFS(monthly!C:C,monthly!$A:$A,"&gt;="&amp;$A162,monthly!$B:$B,"&lt;="&amp;$B162))</f>
        <v>69.349999999999994</v>
      </c>
      <c r="L162">
        <f>IF(COUNTIFS(monthly!D:D,"",monthly!$A:$A,"&gt;="&amp;$A162,monthly!$B:$B,"&lt;="&amp;$B162)&gt;0,"NA",AVERAGEIFS(monthly!D:D,monthly!$A:$A,"&gt;="&amp;$A162,monthly!$B:$B,"&lt;="&amp;$B162))</f>
        <v>0.89040000000000008</v>
      </c>
      <c r="M162">
        <f>IF(COUNTIFS(monthly!E:E,"",monthly!$A:$A,"&gt;="&amp;$A162,monthly!$B:$B,"&lt;="&amp;$B162)&gt;0,"NA",AVERAGEIFS(monthly!E:E,monthly!$A:$A,"&gt;="&amp;$A162,monthly!$B:$B,"&lt;="&amp;$B162))</f>
        <v>70.467310127334997</v>
      </c>
      <c r="N162">
        <f>IF(COUNTIFS(monthly!F:F,"",monthly!$A:$A,"&gt;="&amp;$A162,monthly!$B:$B,"&lt;="&amp;$B162)&gt;0,"NA",AVERAGEIFS(monthly!F:F,monthly!$A:$A,"&gt;="&amp;$A162,monthly!$B:$B,"&lt;="&amp;$B162))</f>
        <v>83.032929708281145</v>
      </c>
      <c r="O162">
        <f>IF(COUNTIFS(monthly!G:G,"",monthly!$A:$A,"&gt;="&amp;$A162,monthly!$B:$B,"&lt;="&amp;$B162)&gt;0,"NA",AVERAGEIFS(monthly!G:G,monthly!$A:$A,"&gt;="&amp;$A162,monthly!$B:$B,"&lt;="&amp;$B162))</f>
        <v>126.6</v>
      </c>
      <c r="P162">
        <f>IF(COUNTIFS(monthly!H:H,"",monthly!$A:$A,"&gt;="&amp;$A162,monthly!$B:$B,"&lt;="&amp;$B162)&gt;0,"NA",AVERAGEIFS(monthly!H:H,monthly!$A:$A,"&gt;="&amp;$A162,monthly!$B:$B,"&lt;="&amp;$B162))</f>
        <v>95.6</v>
      </c>
      <c r="Q162">
        <f>IF(COUNTIFS(monthly!I:I,"",monthly!$A:$A,"&gt;="&amp;$A162,monthly!$B:$B,"&lt;="&amp;$B162)&gt;0,"NA",AVERAGEIFS(monthly!I:I,monthly!$A:$A,"&gt;="&amp;$A162,monthly!$B:$B,"&lt;="&amp;$B162))</f>
        <v>75.349999999999994</v>
      </c>
      <c r="R162">
        <f>IF(COUNTIFS(monthly!J:J,"",monthly!$A:$A,"&gt;="&amp;$A162,monthly!$B:$B,"&lt;="&amp;$B162)&gt;0,"NA",AVERAGEIFS(monthly!J:J,monthly!$A:$A,"&gt;="&amp;$A162,monthly!$B:$B,"&lt;="&amp;$B162))</f>
        <v>10.27</v>
      </c>
      <c r="S162">
        <f>IF(COUNTIFS(monthly!K:K,"",monthly!$A:$A,"&gt;="&amp;$A162,monthly!$B:$B,"&lt;="&amp;$B162)&gt;0,"NA",AVERAGEIFS(monthly!K:K,monthly!$A:$A,"&gt;="&amp;$A162,monthly!$B:$B,"&lt;="&amp;$B162))</f>
        <v>3.75</v>
      </c>
      <c r="T162">
        <f>IF(COUNTIFS(monthly!L:L,"",monthly!$A:$A,"&gt;="&amp;$A162,monthly!$B:$B,"&lt;="&amp;$B162)&gt;0,"NA",AVERAGEIFS(monthly!L:L,monthly!$A:$A,"&gt;="&amp;$A162,monthly!$B:$B,"&lt;="&amp;$B162))</f>
        <v>0.11821428571428574</v>
      </c>
      <c r="U162">
        <f>IF(COUNTIFS(monthly!M:M,"",monthly!$A:$A,"&gt;="&amp;$A162,monthly!$B:$B,"&lt;="&amp;$B162)&gt;0,"NA",AVERAGEIFS(monthly!M:M,monthly!$A:$A,"&gt;="&amp;$A162,monthly!$B:$B,"&lt;="&amp;$B162))</f>
        <v>3.6317857142857144</v>
      </c>
      <c r="V162">
        <f>IF(COUNTIFS(monthly!N:N,"",monthly!$A:$A,"&gt;="&amp;$A162,monthly!$B:$B,"&lt;="&amp;$B162)&gt;0,"NA",AVERAGEIFS(monthly!N:N,monthly!$A:$A,"&gt;="&amp;$A162,monthly!$B:$B,"&lt;="&amp;$B162))</f>
        <v>4.5600000000000005</v>
      </c>
      <c r="W162">
        <f>IF(COUNTIFS(monthly!O:O,"",monthly!$A:$A,"&gt;="&amp;$A162,monthly!$B:$B,"&lt;="&amp;$B162)&gt;0,"NA",AVERAGEIFS(monthly!O:O,monthly!$A:$A,"&gt;="&amp;$A162,monthly!$B:$B,"&lt;="&amp;$B162))</f>
        <v>0.89289473684210519</v>
      </c>
      <c r="X162">
        <f>IF(COUNTIFS(monthly!P:P,"",monthly!$A:$A,"&gt;="&amp;$A162,monthly!$B:$B,"&lt;="&amp;$B162)&gt;0,"NA",AVERAGEIFS(monthly!P:P,monthly!$A:$A,"&gt;="&amp;$A162,monthly!$B:$B,"&lt;="&amp;$B162))</f>
        <v>3.6671052631578949</v>
      </c>
      <c r="Y162">
        <f>IF(COUNTIFS(monthly!Q:Q,"",monthly!$A:$A,"&gt;="&amp;$A162,monthly!$B:$B,"&lt;="&amp;$B162)&gt;0,"NA",AVERAGEIFS(monthly!Q:Q,monthly!$A:$A,"&gt;="&amp;$A162,monthly!$B:$B,"&lt;="&amp;$B162))</f>
        <v>5.5175000000000001</v>
      </c>
      <c r="Z162">
        <f>IF(COUNTIFS(monthly!R:R,"",monthly!$A:$A,"&gt;="&amp;$A162,monthly!$B:$B,"&lt;="&amp;$B162)&gt;0,"NA",AVERAGEIFS(monthly!R:R,monthly!$A:$A,"&gt;="&amp;$A162,monthly!$B:$B,"&lt;="&amp;$B162))</f>
        <v>3.7121052631578948</v>
      </c>
      <c r="AA162">
        <f>IF(COUNTIFS(monthly!S:S,"",monthly!$A:$A,"&gt;="&amp;$A162,monthly!$B:$B,"&lt;="&amp;$B162)&gt;0,"NA",AVERAGEIFS(monthly!S:S,monthly!$A:$A,"&gt;="&amp;$A162,monthly!$B:$B,"&lt;="&amp;$B162))</f>
        <v>1.8053947368421053</v>
      </c>
      <c r="AB162">
        <f>IF(COUNTIFS(monthly!T:T,"",monthly!$A:$A,"&gt;="&amp;$A162,monthly!$B:$B,"&lt;="&amp;$B162)&gt;0,"NA",AVERAGEIFS(monthly!T:T,monthly!$A:$A,"&gt;="&amp;$A162,monthly!$B:$B,"&lt;="&amp;$B162))</f>
        <v>21.591578947368426</v>
      </c>
      <c r="AC162">
        <f>IF(COUNTIFS(monthly!U:U,"",monthly!$A:$A,"&gt;="&amp;$A162,monthly!$B:$B,"&lt;="&amp;$B162)&gt;0,"NA",AVERAGEIFS(monthly!U:U,monthly!$A:$A,"&gt;="&amp;$A162,monthly!$B:$B,"&lt;="&amp;$B162))</f>
        <v>115.29804791170005</v>
      </c>
      <c r="AD162">
        <f>IF(COUNTIFS(monthly!V:V,"",monthly!$A:$A,"&gt;="&amp;$A162,monthly!$B:$B,"&lt;="&amp;$B162)&gt;0,"NA",AVERAGEIFS(monthly!V:V,monthly!$A:$A,"&gt;="&amp;$A162,monthly!$B:$B,"&lt;="&amp;$B162))</f>
        <v>95.590764354469542</v>
      </c>
      <c r="AE162">
        <f>IF(COUNTIFS(monthly!W:W,"",monthly!$A:$A,"&gt;="&amp;$A162,monthly!$B:$B,"&lt;="&amp;$B162)&gt;0,"NA",AVERAGEIFS(monthly!W:W,monthly!$A:$A,"&gt;="&amp;$A162,monthly!$B:$B,"&lt;="&amp;$B162))</f>
        <v>86.153190612792969</v>
      </c>
      <c r="AF162">
        <f>IF(COUNTIFS(monthly!X:X,"",monthly!$A:$A,"&gt;="&amp;$A162,monthly!$B:$B,"&lt;="&amp;$B162)&gt;0,"NA",AVERAGEIFS(monthly!X:X,monthly!$A:$A,"&gt;="&amp;$A162,monthly!$B:$B,"&lt;="&amp;$B162))</f>
        <v>81.909633636474609</v>
      </c>
      <c r="AG162">
        <f>IF(COUNTIFS(monthly!Y:Y,"",monthly!$A:$A,"&gt;="&amp;$A162,monthly!$B:$B,"&lt;="&amp;$B162)&gt;0,"NA",AVERAGEIFS(monthly!Y:Y,monthly!$A:$A,"&gt;="&amp;$A162,monthly!$B:$B,"&lt;="&amp;$B162))</f>
        <v>90.56134033203125</v>
      </c>
      <c r="AH162">
        <f>IF(COUNTIFS(monthly!Z:Z,"",monthly!$A:$A,"&gt;="&amp;$A162,monthly!$B:$B,"&lt;="&amp;$B162)&gt;0,"NA",AVERAGEIFS(monthly!Z:Z,monthly!$A:$A,"&gt;="&amp;$A162,monthly!$B:$B,"&lt;="&amp;$B162))</f>
        <v>4.399995319545269E-2</v>
      </c>
    </row>
    <row r="163" spans="1:34" x14ac:dyDescent="0.2">
      <c r="A163" s="1">
        <v>40269</v>
      </c>
      <c r="B163" s="1">
        <v>40359</v>
      </c>
      <c r="C163">
        <f>IF(ISBLANK(VLOOKUP($A163,quarterly_data,MATCH(C$1,quarterly!$1:$1,FALSE),FALSE)),"NA",VLOOKUP($A163,quarterly_data,MATCH(C$1,quarterly!$1:$1,FALSE),FALSE))</f>
        <v>147.08931582555715</v>
      </c>
      <c r="D163">
        <f>IF(ISBLANK(VLOOKUP($A163,quarterly_data,MATCH(D$1,quarterly!$1:$1,FALSE),FALSE)),"NA",VLOOKUP($A163,quarterly_data,MATCH(D$1,quarterly!$1:$1,FALSE),FALSE))</f>
        <v>92.1</v>
      </c>
      <c r="E163">
        <f>IF(ISBLANK(VLOOKUP($A163,quarterly_data,MATCH(E$1,quarterly!$1:$1,FALSE),FALSE)),"NA",VLOOKUP($A163,quarterly_data,MATCH(E$1,quarterly!$1:$1,FALSE),FALSE))</f>
        <v>0.1058649</v>
      </c>
      <c r="F163">
        <f>IF(ISBLANK(VLOOKUP($A163,quarterly_data,MATCH(F$1,quarterly!$1:$1,FALSE),FALSE)),"NA",VLOOKUP($A163,quarterly_data,MATCH(F$1,quarterly!$1:$1,FALSE),FALSE))</f>
        <v>3.4579199999999997E-2</v>
      </c>
      <c r="G163">
        <f>IF(ISBLANK(VLOOKUP($A163,quarterly_data,MATCH(G$1,quarterly!$1:$1,FALSE),FALSE)),"NA",VLOOKUP($A163,quarterly_data,MATCH(G$1,quarterly!$1:$1,FALSE),FALSE))</f>
        <v>16743.162</v>
      </c>
      <c r="H163">
        <f>IF(ISBLANK(VLOOKUP($A163,quarterly_data,MATCH(H$1,quarterly!$1:$1,FALSE),FALSE)),"NA",VLOOKUP($A163,quarterly_data,MATCH(H$1,quarterly!$1:$1,FALSE),FALSE))</f>
        <v>479006</v>
      </c>
      <c r="I163">
        <f>IF(ISBLANK(VLOOKUP($A163,quarterly_data,MATCH(I$1,quarterly!$1:$1,FALSE),FALSE)),"NA",VLOOKUP($A163,quarterly_data,MATCH(I$1,quarterly!$1:$1,FALSE),FALSE))</f>
        <v>0.4</v>
      </c>
      <c r="J163">
        <f>IF(ISBLANK(VLOOKUP($A163,quarterly_data,MATCH(J$1,quarterly!$1:$1,FALSE),FALSE)),"NA",VLOOKUP($A163,quarterly_data,MATCH(J$1,quarterly!$1:$1,FALSE),FALSE))</f>
        <v>66.52</v>
      </c>
      <c r="K163">
        <f>IF(COUNTIFS(monthly!C:C,"",monthly!$A:$A,"&gt;="&amp;$A163,monthly!$B:$B,"&lt;="&amp;$B163)&gt;0,"NA",AVERAGEIFS(monthly!C:C,monthly!$A:$A,"&gt;="&amp;$A163,monthly!$B:$B,"&lt;="&amp;$B163))</f>
        <v>69.100000000000009</v>
      </c>
      <c r="L163">
        <f>IF(COUNTIFS(monthly!D:D,"",monthly!$A:$A,"&gt;="&amp;$A163,monthly!$B:$B,"&lt;="&amp;$B163)&gt;0,"NA",AVERAGEIFS(monthly!D:D,monthly!$A:$A,"&gt;="&amp;$A163,monthly!$B:$B,"&lt;="&amp;$B163))</f>
        <v>0.87709999999999999</v>
      </c>
      <c r="M163">
        <f>IF(COUNTIFS(monthly!E:E,"",monthly!$A:$A,"&gt;="&amp;$A163,monthly!$B:$B,"&lt;="&amp;$B163)&gt;0,"NA",AVERAGEIFS(monthly!E:E,monthly!$A:$A,"&gt;="&amp;$A163,monthly!$B:$B,"&lt;="&amp;$B163))</f>
        <v>88.346237867018729</v>
      </c>
      <c r="N163">
        <f>IF(COUNTIFS(monthly!F:F,"",monthly!$A:$A,"&gt;="&amp;$A163,monthly!$B:$B,"&lt;="&amp;$B163)&gt;0,"NA",AVERAGEIFS(monthly!F:F,monthly!$A:$A,"&gt;="&amp;$A163,monthly!$B:$B,"&lt;="&amp;$B163))</f>
        <v>97.230192531963709</v>
      </c>
      <c r="O163">
        <f>IF(COUNTIFS(monthly!G:G,"",monthly!$A:$A,"&gt;="&amp;$A163,monthly!$B:$B,"&lt;="&amp;$B163)&gt;0,"NA",AVERAGEIFS(monthly!G:G,monthly!$A:$A,"&gt;="&amp;$A163,monthly!$B:$B,"&lt;="&amp;$B163))</f>
        <v>159.16666666666666</v>
      </c>
      <c r="P163">
        <f>IF(COUNTIFS(monthly!H:H,"",monthly!$A:$A,"&gt;="&amp;$A163,monthly!$B:$B,"&lt;="&amp;$B163)&gt;0,"NA",AVERAGEIFS(monthly!H:H,monthly!$A:$A,"&gt;="&amp;$A163,monthly!$B:$B,"&lt;="&amp;$B163))</f>
        <v>99.5</v>
      </c>
      <c r="Q163">
        <f>IF(COUNTIFS(monthly!I:I,"",monthly!$A:$A,"&gt;="&amp;$A163,monthly!$B:$B,"&lt;="&amp;$B163)&gt;0,"NA",AVERAGEIFS(monthly!I:I,monthly!$A:$A,"&gt;="&amp;$A163,monthly!$B:$B,"&lt;="&amp;$B163))</f>
        <v>78.7</v>
      </c>
      <c r="R163">
        <f>IF(COUNTIFS(monthly!J:J,"",monthly!$A:$A,"&gt;="&amp;$A163,monthly!$B:$B,"&lt;="&amp;$B163)&gt;0,"NA",AVERAGEIFS(monthly!J:J,monthly!$A:$A,"&gt;="&amp;$A163,monthly!$B:$B,"&lt;="&amp;$B163))</f>
        <v>10.950000000000001</v>
      </c>
      <c r="S163">
        <f>IF(COUNTIFS(monthly!K:K,"",monthly!$A:$A,"&gt;="&amp;$A163,monthly!$B:$B,"&lt;="&amp;$B163)&gt;0,"NA",AVERAGEIFS(monthly!K:K,monthly!$A:$A,"&gt;="&amp;$A163,monthly!$B:$B,"&lt;="&amp;$B163))</f>
        <v>4.3993333333333338</v>
      </c>
      <c r="T163">
        <f>IF(COUNTIFS(monthly!L:L,"",monthly!$A:$A,"&gt;="&amp;$A163,monthly!$B:$B,"&lt;="&amp;$B163)&gt;0,"NA",AVERAGEIFS(monthly!L:L,monthly!$A:$A,"&gt;="&amp;$A163,monthly!$B:$B,"&lt;="&amp;$B163))</f>
        <v>0.19188172043010762</v>
      </c>
      <c r="U163">
        <f>IF(COUNTIFS(monthly!M:M,"",monthly!$A:$A,"&gt;="&amp;$A163,monthly!$B:$B,"&lt;="&amp;$B163)&gt;0,"NA",AVERAGEIFS(monthly!M:M,monthly!$A:$A,"&gt;="&amp;$A163,monthly!$B:$B,"&lt;="&amp;$B163))</f>
        <v>4.2074516129032249</v>
      </c>
      <c r="V163">
        <f>IF(COUNTIFS(monthly!N:N,"",monthly!$A:$A,"&gt;="&amp;$A163,monthly!$B:$B,"&lt;="&amp;$B163)&gt;0,"NA",AVERAGEIFS(monthly!N:N,monthly!$A:$A,"&gt;="&amp;$A163,monthly!$B:$B,"&lt;="&amp;$B163))</f>
        <v>4.7366666666666672</v>
      </c>
      <c r="W163">
        <f>IF(COUNTIFS(monthly!O:O,"",monthly!$A:$A,"&gt;="&amp;$A163,monthly!$B:$B,"&lt;="&amp;$B163)&gt;0,"NA",AVERAGEIFS(monthly!O:O,monthly!$A:$A,"&gt;="&amp;$A163,monthly!$B:$B,"&lt;="&amp;$B163))</f>
        <v>0.87183333333333346</v>
      </c>
      <c r="X163">
        <f>IF(COUNTIFS(monthly!P:P,"",monthly!$A:$A,"&gt;="&amp;$A163,monthly!$B:$B,"&lt;="&amp;$B163)&gt;0,"NA",AVERAGEIFS(monthly!P:P,monthly!$A:$A,"&gt;="&amp;$A163,monthly!$B:$B,"&lt;="&amp;$B163))</f>
        <v>3.8648333333333333</v>
      </c>
      <c r="Y163">
        <f>IF(COUNTIFS(monthly!Q:Q,"",monthly!$A:$A,"&gt;="&amp;$A163,monthly!$B:$B,"&lt;="&amp;$B163)&gt;0,"NA",AVERAGEIFS(monthly!Q:Q,monthly!$A:$A,"&gt;="&amp;$A163,monthly!$B:$B,"&lt;="&amp;$B163))</f>
        <v>5.5341666666666667</v>
      </c>
      <c r="Z163">
        <f>IF(COUNTIFS(monthly!R:R,"",monthly!$A:$A,"&gt;="&amp;$A163,monthly!$B:$B,"&lt;="&amp;$B163)&gt;0,"NA",AVERAGEIFS(monthly!R:R,monthly!$A:$A,"&gt;="&amp;$A163,monthly!$B:$B,"&lt;="&amp;$B163))</f>
        <v>3.4903030303030302</v>
      </c>
      <c r="AA163">
        <f>IF(COUNTIFS(monthly!S:S,"",monthly!$A:$A,"&gt;="&amp;$A163,monthly!$B:$B,"&lt;="&amp;$B163)&gt;0,"NA",AVERAGEIFS(monthly!S:S,monthly!$A:$A,"&gt;="&amp;$A163,monthly!$B:$B,"&lt;="&amp;$B163))</f>
        <v>2.0438636363636369</v>
      </c>
      <c r="AB163">
        <f>IF(COUNTIFS(monthly!T:T,"",monthly!$A:$A,"&gt;="&amp;$A163,monthly!$B:$B,"&lt;="&amp;$B163)&gt;0,"NA",AVERAGEIFS(monthly!T:T,monthly!$A:$A,"&gt;="&amp;$A163,monthly!$B:$B,"&lt;="&amp;$B163))</f>
        <v>26.423383116883116</v>
      </c>
      <c r="AC163">
        <f>IF(COUNTIFS(monthly!U:U,"",monthly!$A:$A,"&gt;="&amp;$A163,monthly!$B:$B,"&lt;="&amp;$B163)&gt;0,"NA",AVERAGEIFS(monthly!U:U,monthly!$A:$A,"&gt;="&amp;$A163,monthly!$B:$B,"&lt;="&amp;$B163))</f>
        <v>130.2199430447983</v>
      </c>
      <c r="AD163">
        <f>IF(COUNTIFS(monthly!V:V,"",monthly!$A:$A,"&gt;="&amp;$A163,monthly!$B:$B,"&lt;="&amp;$B163)&gt;0,"NA",AVERAGEIFS(monthly!V:V,monthly!$A:$A,"&gt;="&amp;$A163,monthly!$B:$B,"&lt;="&amp;$B163))</f>
        <v>198.66659654340469</v>
      </c>
      <c r="AE163">
        <f>IF(COUNTIFS(monthly!W:W,"",monthly!$A:$A,"&gt;="&amp;$A163,monthly!$B:$B,"&lt;="&amp;$B163)&gt;0,"NA",AVERAGEIFS(monthly!W:W,monthly!$A:$A,"&gt;="&amp;$A163,monthly!$B:$B,"&lt;="&amp;$B163))</f>
        <v>91.39132944742839</v>
      </c>
      <c r="AF163">
        <f>IF(COUNTIFS(monthly!X:X,"",monthly!$A:$A,"&gt;="&amp;$A163,monthly!$B:$B,"&lt;="&amp;$B163)&gt;0,"NA",AVERAGEIFS(monthly!X:X,monthly!$A:$A,"&gt;="&amp;$A163,monthly!$B:$B,"&lt;="&amp;$B163))</f>
        <v>96.747581481933594</v>
      </c>
      <c r="AG163">
        <f>IF(COUNTIFS(monthly!Y:Y,"",monthly!$A:$A,"&gt;="&amp;$A163,monthly!$B:$B,"&lt;="&amp;$B163)&gt;0,"NA",AVERAGEIFS(monthly!Y:Y,monthly!$A:$A,"&gt;="&amp;$A163,monthly!$B:$B,"&lt;="&amp;$B163))</f>
        <v>79.371472676595047</v>
      </c>
      <c r="AH163">
        <f>IF(COUNTIFS(monthly!Z:Z,"",monthly!$A:$A,"&gt;="&amp;$A163,monthly!$B:$B,"&lt;="&amp;$B163)&gt;0,"NA",AVERAGEIFS(monthly!Z:Z,monthly!$A:$A,"&gt;="&amp;$A163,monthly!$B:$B,"&lt;="&amp;$B163))</f>
        <v>6.4611036330461502E-2</v>
      </c>
    </row>
    <row r="164" spans="1:34" x14ac:dyDescent="0.2">
      <c r="A164" s="1">
        <v>40360</v>
      </c>
      <c r="B164" s="1">
        <v>40451</v>
      </c>
      <c r="C164">
        <f>IF(ISBLANK(VLOOKUP($A164,quarterly_data,MATCH(C$1,quarterly!$1:$1,FALSE),FALSE)),"NA",VLOOKUP($A164,quarterly_data,MATCH(C$1,quarterly!$1:$1,FALSE),FALSE))</f>
        <v>147.71053517759984</v>
      </c>
      <c r="D164">
        <f>IF(ISBLANK(VLOOKUP($A164,quarterly_data,MATCH(D$1,quarterly!$1:$1,FALSE),FALSE)),"NA",VLOOKUP($A164,quarterly_data,MATCH(D$1,quarterly!$1:$1,FALSE),FALSE))</f>
        <v>93.8</v>
      </c>
      <c r="E164">
        <f>IF(ISBLANK(VLOOKUP($A164,quarterly_data,MATCH(E$1,quarterly!$1:$1,FALSE),FALSE)),"NA",VLOOKUP($A164,quarterly_data,MATCH(E$1,quarterly!$1:$1,FALSE),FALSE))</f>
        <v>0.30769229999999997</v>
      </c>
      <c r="F164">
        <f>IF(ISBLANK(VLOOKUP($A164,quarterly_data,MATCH(F$1,quarterly!$1:$1,FALSE),FALSE)),"NA",VLOOKUP($A164,quarterly_data,MATCH(F$1,quarterly!$1:$1,FALSE),FALSE))</f>
        <v>7.5527399999999995E-2</v>
      </c>
      <c r="G164">
        <f>IF(ISBLANK(VLOOKUP($A164,quarterly_data,MATCH(G$1,quarterly!$1:$1,FALSE),FALSE)),"NA",VLOOKUP($A164,quarterly_data,MATCH(G$1,quarterly!$1:$1,FALSE),FALSE))</f>
        <v>16872.266</v>
      </c>
      <c r="H164">
        <f>IF(ISBLANK(VLOOKUP($A164,quarterly_data,MATCH(H$1,quarterly!$1:$1,FALSE),FALSE)),"NA",VLOOKUP($A164,quarterly_data,MATCH(H$1,quarterly!$1:$1,FALSE),FALSE))</f>
        <v>482198</v>
      </c>
      <c r="I164">
        <f>IF(ISBLANK(VLOOKUP($A164,quarterly_data,MATCH(I$1,quarterly!$1:$1,FALSE),FALSE)),"NA",VLOOKUP($A164,quarterly_data,MATCH(I$1,quarterly!$1:$1,FALSE),FALSE))</f>
        <v>0.6</v>
      </c>
      <c r="J164">
        <f>IF(ISBLANK(VLOOKUP($A164,quarterly_data,MATCH(J$1,quarterly!$1:$1,FALSE),FALSE)),"NA",VLOOKUP($A164,quarterly_data,MATCH(J$1,quarterly!$1:$1,FALSE),FALSE))</f>
        <v>67</v>
      </c>
      <c r="K164">
        <f>IF(COUNTIFS(monthly!C:C,"",monthly!$A:$A,"&gt;="&amp;$A164,monthly!$B:$B,"&lt;="&amp;$B164)&gt;0,"NA",AVERAGEIFS(monthly!C:C,monthly!$A:$A,"&gt;="&amp;$A164,monthly!$B:$B,"&lt;="&amp;$B164))</f>
        <v>70.433333333333337</v>
      </c>
      <c r="L164">
        <f>IF(COUNTIFS(monthly!D:D,"",monthly!$A:$A,"&gt;="&amp;$A164,monthly!$B:$B,"&lt;="&amp;$B164)&gt;0,"NA",AVERAGEIFS(monthly!D:D,monthly!$A:$A,"&gt;="&amp;$A164,monthly!$B:$B,"&lt;="&amp;$B164))</f>
        <v>0.91903333333333326</v>
      </c>
      <c r="M164">
        <f>IF(COUNTIFS(monthly!E:E,"",monthly!$A:$A,"&gt;="&amp;$A164,monthly!$B:$B,"&lt;="&amp;$B164)&gt;0,"NA",AVERAGEIFS(monthly!E:E,monthly!$A:$A,"&gt;="&amp;$A164,monthly!$B:$B,"&lt;="&amp;$B164))</f>
        <v>93.690694953828142</v>
      </c>
      <c r="N164">
        <f>IF(COUNTIFS(monthly!F:F,"",monthly!$A:$A,"&gt;="&amp;$A164,monthly!$B:$B,"&lt;="&amp;$B164)&gt;0,"NA",AVERAGEIFS(monthly!F:F,monthly!$A:$A,"&gt;="&amp;$A164,monthly!$B:$B,"&lt;="&amp;$B164))</f>
        <v>90.176542319600301</v>
      </c>
      <c r="O164">
        <f>IF(COUNTIFS(monthly!G:G,"",monthly!$A:$A,"&gt;="&amp;$A164,monthly!$B:$B,"&lt;="&amp;$B164)&gt;0,"NA",AVERAGEIFS(monthly!G:G,monthly!$A:$A,"&gt;="&amp;$A164,monthly!$B:$B,"&lt;="&amp;$B164))</f>
        <v>137.43333333333337</v>
      </c>
      <c r="P164">
        <f>IF(COUNTIFS(monthly!H:H,"",monthly!$A:$A,"&gt;="&amp;$A164,monthly!$B:$B,"&lt;="&amp;$B164)&gt;0,"NA",AVERAGEIFS(monthly!H:H,monthly!$A:$A,"&gt;="&amp;$A164,monthly!$B:$B,"&lt;="&amp;$B164))</f>
        <v>93.566666666666677</v>
      </c>
      <c r="Q164">
        <f>IF(COUNTIFS(monthly!I:I,"",monthly!$A:$A,"&gt;="&amp;$A164,monthly!$B:$B,"&lt;="&amp;$B164)&gt;0,"NA",AVERAGEIFS(monthly!I:I,monthly!$A:$A,"&gt;="&amp;$A164,monthly!$B:$B,"&lt;="&amp;$B164))</f>
        <v>76.399999999999991</v>
      </c>
      <c r="R164">
        <f>IF(COUNTIFS(monthly!J:J,"",monthly!$A:$A,"&gt;="&amp;$A164,monthly!$B:$B,"&lt;="&amp;$B164)&gt;0,"NA",AVERAGEIFS(monthly!J:J,monthly!$A:$A,"&gt;="&amp;$A164,monthly!$B:$B,"&lt;="&amp;$B164))</f>
        <v>11.216666666666667</v>
      </c>
      <c r="S164">
        <f>IF(COUNTIFS(monthly!K:K,"",monthly!$A:$A,"&gt;="&amp;$A164,monthly!$B:$B,"&lt;="&amp;$B164)&gt;0,"NA",AVERAGEIFS(monthly!K:K,monthly!$A:$A,"&gt;="&amp;$A164,monthly!$B:$B,"&lt;="&amp;$B164))</f>
        <v>4.5</v>
      </c>
      <c r="T164">
        <f>IF(COUNTIFS(monthly!L:L,"",monthly!$A:$A,"&gt;="&amp;$A164,monthly!$B:$B,"&lt;="&amp;$B164)&gt;0,"NA",AVERAGEIFS(monthly!L:L,monthly!$A:$A,"&gt;="&amp;$A164,monthly!$B:$B,"&lt;="&amp;$B164))</f>
        <v>0.18886738351254487</v>
      </c>
      <c r="U164">
        <f>IF(COUNTIFS(monthly!M:M,"",monthly!$A:$A,"&gt;="&amp;$A164,monthly!$B:$B,"&lt;="&amp;$B164)&gt;0,"NA",AVERAGEIFS(monthly!M:M,monthly!$A:$A,"&gt;="&amp;$A164,monthly!$B:$B,"&lt;="&amp;$B164))</f>
        <v>4.3111326164874555</v>
      </c>
      <c r="V164">
        <f>IF(COUNTIFS(monthly!N:N,"",monthly!$A:$A,"&gt;="&amp;$A164,monthly!$B:$B,"&lt;="&amp;$B164)&gt;0,"NA",AVERAGEIFS(monthly!N:N,monthly!$A:$A,"&gt;="&amp;$A164,monthly!$B:$B,"&lt;="&amp;$B164))</f>
        <v>4.5583333333333336</v>
      </c>
      <c r="W164">
        <f>IF(COUNTIFS(monthly!O:O,"",monthly!$A:$A,"&gt;="&amp;$A164,monthly!$B:$B,"&lt;="&amp;$B164)&gt;0,"NA",AVERAGEIFS(monthly!O:O,monthly!$A:$A,"&gt;="&amp;$A164,monthly!$B:$B,"&lt;="&amp;$B164))</f>
        <v>0.5390404040404041</v>
      </c>
      <c r="X164">
        <f>IF(COUNTIFS(monthly!P:P,"",monthly!$A:$A,"&gt;="&amp;$A164,monthly!$B:$B,"&lt;="&amp;$B164)&gt;0,"NA",AVERAGEIFS(monthly!P:P,monthly!$A:$A,"&gt;="&amp;$A164,monthly!$B:$B,"&lt;="&amp;$B164))</f>
        <v>4.0192929292929298</v>
      </c>
      <c r="Y164">
        <f>IF(COUNTIFS(monthly!Q:Q,"",monthly!$A:$A,"&gt;="&amp;$A164,monthly!$B:$B,"&lt;="&amp;$B164)&gt;0,"NA",AVERAGEIFS(monthly!Q:Q,monthly!$A:$A,"&gt;="&amp;$A164,monthly!$B:$B,"&lt;="&amp;$B164))</f>
        <v>5.0391666666666666</v>
      </c>
      <c r="Z164">
        <f>IF(COUNTIFS(monthly!R:R,"",monthly!$A:$A,"&gt;="&amp;$A164,monthly!$B:$B,"&lt;="&amp;$B164)&gt;0,"NA",AVERAGEIFS(monthly!R:R,monthly!$A:$A,"&gt;="&amp;$A164,monthly!$B:$B,"&lt;="&amp;$B164))</f>
        <v>2.7858946608946606</v>
      </c>
      <c r="AA164">
        <f>IF(COUNTIFS(monthly!S:S,"",monthly!$A:$A,"&gt;="&amp;$A164,monthly!$B:$B,"&lt;="&amp;$B164)&gt;0,"NA",AVERAGEIFS(monthly!S:S,monthly!$A:$A,"&gt;="&amp;$A164,monthly!$B:$B,"&lt;="&amp;$B164))</f>
        <v>2.2532720057720055</v>
      </c>
      <c r="AB164">
        <f>IF(COUNTIFS(monthly!T:T,"",monthly!$A:$A,"&gt;="&amp;$A164,monthly!$B:$B,"&lt;="&amp;$B164)&gt;0,"NA",AVERAGEIFS(monthly!T:T,monthly!$A:$A,"&gt;="&amp;$A164,monthly!$B:$B,"&lt;="&amp;$B164))</f>
        <v>24.276255411255409</v>
      </c>
      <c r="AC164">
        <f>IF(COUNTIFS(monthly!U:U,"",monthly!$A:$A,"&gt;="&amp;$A164,monthly!$B:$B,"&lt;="&amp;$B164)&gt;0,"NA",AVERAGEIFS(monthly!U:U,monthly!$A:$A,"&gt;="&amp;$A164,monthly!$B:$B,"&lt;="&amp;$B164))</f>
        <v>133.95020308149387</v>
      </c>
      <c r="AD164">
        <f>IF(COUNTIFS(monthly!V:V,"",monthly!$A:$A,"&gt;="&amp;$A164,monthly!$B:$B,"&lt;="&amp;$B164)&gt;0,"NA",AVERAGEIFS(monthly!V:V,monthly!$A:$A,"&gt;="&amp;$A164,monthly!$B:$B,"&lt;="&amp;$B164))</f>
        <v>181.88137467068432</v>
      </c>
      <c r="AE164">
        <f>IF(COUNTIFS(monthly!W:W,"",monthly!$A:$A,"&gt;="&amp;$A164,monthly!$B:$B,"&lt;="&amp;$B164)&gt;0,"NA",AVERAGEIFS(monthly!W:W,monthly!$A:$A,"&gt;="&amp;$A164,monthly!$B:$B,"&lt;="&amp;$B164))</f>
        <v>77.181264241536454</v>
      </c>
      <c r="AF164">
        <f>IF(COUNTIFS(monthly!X:X,"",monthly!$A:$A,"&gt;="&amp;$A164,monthly!$B:$B,"&lt;="&amp;$B164)&gt;0,"NA",AVERAGEIFS(monthly!X:X,monthly!$A:$A,"&gt;="&amp;$A164,monthly!$B:$B,"&lt;="&amp;$B164))</f>
        <v>72.028149922688797</v>
      </c>
      <c r="AG164">
        <f>IF(COUNTIFS(monthly!Y:Y,"",monthly!$A:$A,"&gt;="&amp;$A164,monthly!$B:$B,"&lt;="&amp;$B164)&gt;0,"NA",AVERAGEIFS(monthly!Y:Y,monthly!$A:$A,"&gt;="&amp;$A164,monthly!$B:$B,"&lt;="&amp;$B164))</f>
        <v>79.774920145670578</v>
      </c>
      <c r="AH164">
        <f>IF(COUNTIFS(monthly!Z:Z,"",monthly!$A:$A,"&gt;="&amp;$A164,monthly!$B:$B,"&lt;="&amp;$B164)&gt;0,"NA",AVERAGEIFS(monthly!Z:Z,monthly!$A:$A,"&gt;="&amp;$A164,monthly!$B:$B,"&lt;="&amp;$B164))</f>
        <v>6.9577641785144806E-2</v>
      </c>
    </row>
    <row r="165" spans="1:34" x14ac:dyDescent="0.2">
      <c r="A165" s="1">
        <v>40452</v>
      </c>
      <c r="B165" s="1">
        <v>40542</v>
      </c>
      <c r="C165">
        <f>IF(ISBLANK(VLOOKUP($A165,quarterly_data,MATCH(C$1,quarterly!$1:$1,FALSE),FALSE)),"NA",VLOOKUP($A165,quarterly_data,MATCH(C$1,quarterly!$1:$1,FALSE),FALSE))</f>
        <v>156.31402388389429</v>
      </c>
      <c r="D165">
        <f>IF(ISBLANK(VLOOKUP($A165,quarterly_data,MATCH(D$1,quarterly!$1:$1,FALSE),FALSE)),"NA",VLOOKUP($A165,quarterly_data,MATCH(D$1,quarterly!$1:$1,FALSE),FALSE))</f>
        <v>96.1</v>
      </c>
      <c r="E165">
        <f>IF(ISBLANK(VLOOKUP($A165,quarterly_data,MATCH(E$1,quarterly!$1:$1,FALSE),FALSE)),"NA",VLOOKUP($A165,quarterly_data,MATCH(E$1,quarterly!$1:$1,FALSE),FALSE))</f>
        <v>0.20343810000000001</v>
      </c>
      <c r="F165">
        <f>IF(ISBLANK(VLOOKUP($A165,quarterly_data,MATCH(F$1,quarterly!$1:$1,FALSE),FALSE)),"NA",VLOOKUP($A165,quarterly_data,MATCH(F$1,quarterly!$1:$1,FALSE),FALSE))</f>
        <v>7.4985700000000002E-2</v>
      </c>
      <c r="G165">
        <f>IF(ISBLANK(VLOOKUP($A165,quarterly_data,MATCH(G$1,quarterly!$1:$1,FALSE),FALSE)),"NA",VLOOKUP($A165,quarterly_data,MATCH(G$1,quarterly!$1:$1,FALSE),FALSE))</f>
        <v>16960.864000000001</v>
      </c>
      <c r="H165">
        <f>IF(ISBLANK(VLOOKUP($A165,quarterly_data,MATCH(H$1,quarterly!$1:$1,FALSE),FALSE)),"NA",VLOOKUP($A165,quarterly_data,MATCH(H$1,quarterly!$1:$1,FALSE),FALSE))</f>
        <v>486229</v>
      </c>
      <c r="I165">
        <f>IF(ISBLANK(VLOOKUP($A165,quarterly_data,MATCH(I$1,quarterly!$1:$1,FALSE),FALSE)),"NA",VLOOKUP($A165,quarterly_data,MATCH(I$1,quarterly!$1:$1,FALSE),FALSE))</f>
        <v>0.4</v>
      </c>
      <c r="J165">
        <f>IF(ISBLANK(VLOOKUP($A165,quarterly_data,MATCH(J$1,quarterly!$1:$1,FALSE),FALSE)),"NA",VLOOKUP($A165,quarterly_data,MATCH(J$1,quarterly!$1:$1,FALSE),FALSE))</f>
        <v>67.260000000000005</v>
      </c>
      <c r="K165">
        <f>IF(COUNTIFS(monthly!C:C,"",monthly!$A:$A,"&gt;="&amp;$A165,monthly!$B:$B,"&lt;="&amp;$B165)&gt;0,"NA",AVERAGEIFS(monthly!C:C,monthly!$A:$A,"&gt;="&amp;$A165,monthly!$B:$B,"&lt;="&amp;$B165))</f>
        <v>72.849999999999994</v>
      </c>
      <c r="L165">
        <f>IF(COUNTIFS(monthly!D:D,"",monthly!$A:$A,"&gt;="&amp;$A165,monthly!$B:$B,"&lt;="&amp;$B165)&gt;0,"NA",AVERAGEIFS(monthly!D:D,monthly!$A:$A,"&gt;="&amp;$A165,monthly!$B:$B,"&lt;="&amp;$B165))</f>
        <v>0.96894999999999998</v>
      </c>
      <c r="M165">
        <f>IF(COUNTIFS(monthly!E:E,"",monthly!$A:$A,"&gt;="&amp;$A165,monthly!$B:$B,"&lt;="&amp;$B165)&gt;0,"NA",AVERAGEIFS(monthly!E:E,monthly!$A:$A,"&gt;="&amp;$A165,monthly!$B:$B,"&lt;="&amp;$B165))</f>
        <v>92.766565610116146</v>
      </c>
      <c r="N165">
        <f>IF(COUNTIFS(monthly!F:F,"",monthly!$A:$A,"&gt;="&amp;$A165,monthly!$B:$B,"&lt;="&amp;$B165)&gt;0,"NA",AVERAGEIFS(monthly!F:F,monthly!$A:$A,"&gt;="&amp;$A165,monthly!$B:$B,"&lt;="&amp;$B165))</f>
        <v>96.212518100594352</v>
      </c>
      <c r="O165">
        <f>IF(COUNTIFS(monthly!G:G,"",monthly!$A:$A,"&gt;="&amp;$A165,monthly!$B:$B,"&lt;="&amp;$B165)&gt;0,"NA",AVERAGEIFS(monthly!G:G,monthly!$A:$A,"&gt;="&amp;$A165,monthly!$B:$B,"&lt;="&amp;$B165))</f>
        <v>152.30000000000001</v>
      </c>
      <c r="P165">
        <f>IF(COUNTIFS(monthly!H:H,"",monthly!$A:$A,"&gt;="&amp;$A165,monthly!$B:$B,"&lt;="&amp;$B165)&gt;0,"NA",AVERAGEIFS(monthly!H:H,monthly!$A:$A,"&gt;="&amp;$A165,monthly!$B:$B,"&lt;="&amp;$B165))</f>
        <v>102.35</v>
      </c>
      <c r="Q165">
        <f>IF(COUNTIFS(monthly!I:I,"",monthly!$A:$A,"&gt;="&amp;$A165,monthly!$B:$B,"&lt;="&amp;$B165)&gt;0,"NA",AVERAGEIFS(monthly!I:I,monthly!$A:$A,"&gt;="&amp;$A165,monthly!$B:$B,"&lt;="&amp;$B165))</f>
        <v>84.300000000000011</v>
      </c>
      <c r="R165">
        <f>IF(COUNTIFS(monthly!J:J,"",monthly!$A:$A,"&gt;="&amp;$A165,monthly!$B:$B,"&lt;="&amp;$B165)&gt;0,"NA",AVERAGEIFS(monthly!J:J,monthly!$A:$A,"&gt;="&amp;$A165,monthly!$B:$B,"&lt;="&amp;$B165))</f>
        <v>10.984999999999999</v>
      </c>
      <c r="S165">
        <f>IF(COUNTIFS(monthly!K:K,"",monthly!$A:$A,"&gt;="&amp;$A165,monthly!$B:$B,"&lt;="&amp;$B165)&gt;0,"NA",AVERAGEIFS(monthly!K:K,monthly!$A:$A,"&gt;="&amp;$A165,monthly!$B:$B,"&lt;="&amp;$B165))</f>
        <v>4.6139999999999999</v>
      </c>
      <c r="T165">
        <f>IF(COUNTIFS(monthly!L:L,"",monthly!$A:$A,"&gt;="&amp;$A165,monthly!$B:$B,"&lt;="&amp;$B165)&gt;0,"NA",AVERAGEIFS(monthly!L:L,monthly!$A:$A,"&gt;="&amp;$A165,monthly!$B:$B,"&lt;="&amp;$B165))</f>
        <v>0.19281182795698934</v>
      </c>
      <c r="U165">
        <f>IF(COUNTIFS(monthly!M:M,"",monthly!$A:$A,"&gt;="&amp;$A165,monthly!$B:$B,"&lt;="&amp;$B165)&gt;0,"NA",AVERAGEIFS(monthly!M:M,monthly!$A:$A,"&gt;="&amp;$A165,monthly!$B:$B,"&lt;="&amp;$B165))</f>
        <v>4.42118817204301</v>
      </c>
      <c r="V165">
        <f>IF(COUNTIFS(monthly!N:N,"",monthly!$A:$A,"&gt;="&amp;$A165,monthly!$B:$B,"&lt;="&amp;$B165)&gt;0,"NA",AVERAGEIFS(monthly!N:N,monthly!$A:$A,"&gt;="&amp;$A165,monthly!$B:$B,"&lt;="&amp;$B165))</f>
        <v>4.9525000000000006</v>
      </c>
      <c r="W165">
        <f>IF(COUNTIFS(monthly!O:O,"",monthly!$A:$A,"&gt;="&amp;$A165,monthly!$B:$B,"&lt;="&amp;$B165)&gt;0,"NA",AVERAGEIFS(monthly!O:O,monthly!$A:$A,"&gt;="&amp;$A165,monthly!$B:$B,"&lt;="&amp;$B165))</f>
        <v>0.41499999999999992</v>
      </c>
      <c r="X165">
        <f>IF(COUNTIFS(monthly!P:P,"",monthly!$A:$A,"&gt;="&amp;$A165,monthly!$B:$B,"&lt;="&amp;$B165)&gt;0,"NA",AVERAGEIFS(monthly!P:P,monthly!$A:$A,"&gt;="&amp;$A165,monthly!$B:$B,"&lt;="&amp;$B165))</f>
        <v>4.5374999999999996</v>
      </c>
      <c r="Y165">
        <f>IF(COUNTIFS(monthly!Q:Q,"",monthly!$A:$A,"&gt;="&amp;$A165,monthly!$B:$B,"&lt;="&amp;$B165)&gt;0,"NA",AVERAGEIFS(monthly!Q:Q,monthly!$A:$A,"&gt;="&amp;$A165,monthly!$B:$B,"&lt;="&amp;$B165))</f>
        <v>5.2312500000000002</v>
      </c>
      <c r="Z165">
        <f>IF(COUNTIFS(monthly!R:R,"",monthly!$A:$A,"&gt;="&amp;$A165,monthly!$B:$B,"&lt;="&amp;$B165)&gt;0,"NA",AVERAGEIFS(monthly!R:R,monthly!$A:$A,"&gt;="&amp;$A165,monthly!$B:$B,"&lt;="&amp;$B165))</f>
        <v>2.6515000000000004</v>
      </c>
      <c r="AA165">
        <f>IF(COUNTIFS(monthly!S:S,"",monthly!$A:$A,"&gt;="&amp;$A165,monthly!$B:$B,"&lt;="&amp;$B165)&gt;0,"NA",AVERAGEIFS(monthly!S:S,monthly!$A:$A,"&gt;="&amp;$A165,monthly!$B:$B,"&lt;="&amp;$B165))</f>
        <v>2.5797499999999998</v>
      </c>
      <c r="AB165">
        <f>IF(COUNTIFS(monthly!T:T,"",monthly!$A:$A,"&gt;="&amp;$A165,monthly!$B:$B,"&lt;="&amp;$B165)&gt;0,"NA",AVERAGEIFS(monthly!T:T,monthly!$A:$A,"&gt;="&amp;$A165,monthly!$B:$B,"&lt;="&amp;$B165))</f>
        <v>20.234523809523811</v>
      </c>
      <c r="AC165">
        <f>IF(COUNTIFS(monthly!U:U,"",monthly!$A:$A,"&gt;="&amp;$A165,monthly!$B:$B,"&lt;="&amp;$B165)&gt;0,"NA",AVERAGEIFS(monthly!U:U,monthly!$A:$A,"&gt;="&amp;$A165,monthly!$B:$B,"&lt;="&amp;$B165))</f>
        <v>128.06500699775108</v>
      </c>
      <c r="AD165">
        <f>IF(COUNTIFS(monthly!V:V,"",monthly!$A:$A,"&gt;="&amp;$A165,monthly!$B:$B,"&lt;="&amp;$B165)&gt;0,"NA",AVERAGEIFS(monthly!V:V,monthly!$A:$A,"&gt;="&amp;$A165,monthly!$B:$B,"&lt;="&amp;$B165))</f>
        <v>124.71081382503775</v>
      </c>
      <c r="AE165">
        <f>IF(COUNTIFS(monthly!W:W,"",monthly!$A:$A,"&gt;="&amp;$A165,monthly!$B:$B,"&lt;="&amp;$B165)&gt;0,"NA",AVERAGEIFS(monthly!W:W,monthly!$A:$A,"&gt;="&amp;$A165,monthly!$B:$B,"&lt;="&amp;$B165))</f>
        <v>80.348552703857422</v>
      </c>
      <c r="AF165">
        <f>IF(COUNTIFS(monthly!X:X,"",monthly!$A:$A,"&gt;="&amp;$A165,monthly!$B:$B,"&lt;="&amp;$B165)&gt;0,"NA",AVERAGEIFS(monthly!X:X,monthly!$A:$A,"&gt;="&amp;$A165,monthly!$B:$B,"&lt;="&amp;$B165))</f>
        <v>80.392663955688477</v>
      </c>
      <c r="AG165">
        <f>IF(COUNTIFS(monthly!Y:Y,"",monthly!$A:$A,"&gt;="&amp;$A165,monthly!$B:$B,"&lt;="&amp;$B165)&gt;0,"NA",AVERAGEIFS(monthly!Y:Y,monthly!$A:$A,"&gt;="&amp;$A165,monthly!$B:$B,"&lt;="&amp;$B165))</f>
        <v>79.717708587646484</v>
      </c>
      <c r="AH165">
        <f>IF(COUNTIFS(monthly!Z:Z,"",monthly!$A:$A,"&gt;="&amp;$A165,monthly!$B:$B,"&lt;="&amp;$B165)&gt;0,"NA",AVERAGEIFS(monthly!Z:Z,monthly!$A:$A,"&gt;="&amp;$A165,monthly!$B:$B,"&lt;="&amp;$B165))</f>
        <v>6.1655012890696526E-2</v>
      </c>
    </row>
    <row r="166" spans="1:34" x14ac:dyDescent="0.2">
      <c r="A166" s="1">
        <v>40544</v>
      </c>
      <c r="B166" s="1">
        <v>40632</v>
      </c>
      <c r="C166">
        <f>IF(ISBLANK(VLOOKUP($A166,quarterly_data,MATCH(C$1,quarterly!$1:$1,FALSE),FALSE)),"NA",VLOOKUP($A166,quarterly_data,MATCH(C$1,quarterly!$1:$1,FALSE),FALSE))</f>
        <v>158.2100837692094</v>
      </c>
      <c r="D166">
        <f>IF(ISBLANK(VLOOKUP($A166,quarterly_data,MATCH(D$1,quarterly!$1:$1,FALSE),FALSE)),"NA",VLOOKUP($A166,quarterly_data,MATCH(D$1,quarterly!$1:$1,FALSE),FALSE))</f>
        <v>101.7</v>
      </c>
      <c r="E166">
        <f>IF(ISBLANK(VLOOKUP($A166,quarterly_data,MATCH(E$1,quarterly!$1:$1,FALSE),FALSE)),"NA",VLOOKUP($A166,quarterly_data,MATCH(E$1,quarterly!$1:$1,FALSE),FALSE))</f>
        <v>0.2046036</v>
      </c>
      <c r="F166">
        <f>IF(ISBLANK(VLOOKUP($A166,quarterly_data,MATCH(F$1,quarterly!$1:$1,FALSE),FALSE)),"NA",VLOOKUP($A166,quarterly_data,MATCH(F$1,quarterly!$1:$1,FALSE),FALSE))</f>
        <v>7.1520899999999998E-2</v>
      </c>
      <c r="G166">
        <f>IF(ISBLANK(VLOOKUP($A166,quarterly_data,MATCH(G$1,quarterly!$1:$1,FALSE),FALSE)),"NA",VLOOKUP($A166,quarterly_data,MATCH(G$1,quarterly!$1:$1,FALSE),FALSE))</f>
        <v>16920.632000000001</v>
      </c>
      <c r="H166">
        <f>IF(ISBLANK(VLOOKUP($A166,quarterly_data,MATCH(H$1,quarterly!$1:$1,FALSE),FALSE)),"NA",VLOOKUP($A166,quarterly_data,MATCH(H$1,quarterly!$1:$1,FALSE),FALSE))</f>
        <v>484903</v>
      </c>
      <c r="I166">
        <f>IF(ISBLANK(VLOOKUP($A166,quarterly_data,MATCH(I$1,quarterly!$1:$1,FALSE),FALSE)),"NA",VLOOKUP($A166,quarterly_data,MATCH(I$1,quarterly!$1:$1,FALSE),FALSE))</f>
        <v>0.8</v>
      </c>
      <c r="J166">
        <f>IF(ISBLANK(VLOOKUP($A166,quarterly_data,MATCH(J$1,quarterly!$1:$1,FALSE),FALSE)),"NA",VLOOKUP($A166,quarterly_data,MATCH(J$1,quarterly!$1:$1,FALSE),FALSE))</f>
        <v>68.3</v>
      </c>
      <c r="K166">
        <f>IF(COUNTIFS(monthly!C:C,"",monthly!$A:$A,"&gt;="&amp;$A166,monthly!$B:$B,"&lt;="&amp;$B166)&gt;0,"NA",AVERAGEIFS(monthly!C:C,monthly!$A:$A,"&gt;="&amp;$A166,monthly!$B:$B,"&lt;="&amp;$B166))</f>
        <v>74.75</v>
      </c>
      <c r="L166">
        <f>IF(COUNTIFS(monthly!D:D,"",monthly!$A:$A,"&gt;="&amp;$A166,monthly!$B:$B,"&lt;="&amp;$B166)&gt;0,"NA",AVERAGEIFS(monthly!D:D,monthly!$A:$A,"&gt;="&amp;$A166,monthly!$B:$B,"&lt;="&amp;$B166))</f>
        <v>1.0043500000000001</v>
      </c>
      <c r="M166">
        <f>IF(COUNTIFS(monthly!E:E,"",monthly!$A:$A,"&gt;="&amp;$A166,monthly!$B:$B,"&lt;="&amp;$B166)&gt;0,"NA",AVERAGEIFS(monthly!E:E,monthly!$A:$A,"&gt;="&amp;$A166,monthly!$B:$B,"&lt;="&amp;$B166))</f>
        <v>104.19201490223401</v>
      </c>
      <c r="N166">
        <f>IF(COUNTIFS(monthly!F:F,"",monthly!$A:$A,"&gt;="&amp;$A166,monthly!$B:$B,"&lt;="&amp;$B166)&gt;0,"NA",AVERAGEIFS(monthly!F:F,monthly!$A:$A,"&gt;="&amp;$A166,monthly!$B:$B,"&lt;="&amp;$B166))</f>
        <v>119.408089741653</v>
      </c>
      <c r="O166">
        <f>IF(COUNTIFS(monthly!G:G,"",monthly!$A:$A,"&gt;="&amp;$A166,monthly!$B:$B,"&lt;="&amp;$B166)&gt;0,"NA",AVERAGEIFS(monthly!G:G,monthly!$A:$A,"&gt;="&amp;$A166,monthly!$B:$B,"&lt;="&amp;$B166))</f>
        <v>183.2</v>
      </c>
      <c r="P166">
        <f>IF(COUNTIFS(monthly!H:H,"",monthly!$A:$A,"&gt;="&amp;$A166,monthly!$B:$B,"&lt;="&amp;$B166)&gt;0,"NA",AVERAGEIFS(monthly!H:H,monthly!$A:$A,"&gt;="&amp;$A166,monthly!$B:$B,"&lt;="&amp;$B166))</f>
        <v>130.44999999999999</v>
      </c>
      <c r="Q166">
        <f>IF(COUNTIFS(monthly!I:I,"",monthly!$A:$A,"&gt;="&amp;$A166,monthly!$B:$B,"&lt;="&amp;$B166)&gt;0,"NA",AVERAGEIFS(monthly!I:I,monthly!$A:$A,"&gt;="&amp;$A166,monthly!$B:$B,"&lt;="&amp;$B166))</f>
        <v>100.15</v>
      </c>
      <c r="R166">
        <f>IF(COUNTIFS(monthly!J:J,"",monthly!$A:$A,"&gt;="&amp;$A166,monthly!$B:$B,"&lt;="&amp;$B166)&gt;0,"NA",AVERAGEIFS(monthly!J:J,monthly!$A:$A,"&gt;="&amp;$A166,monthly!$B:$B,"&lt;="&amp;$B166))</f>
        <v>11.734999999999999</v>
      </c>
      <c r="S166">
        <f>IF(COUNTIFS(monthly!K:K,"",monthly!$A:$A,"&gt;="&amp;$A166,monthly!$B:$B,"&lt;="&amp;$B166)&gt;0,"NA",AVERAGEIFS(monthly!K:K,monthly!$A:$A,"&gt;="&amp;$A166,monthly!$B:$B,"&lt;="&amp;$B166))</f>
        <v>4.75</v>
      </c>
      <c r="T166">
        <f>IF(COUNTIFS(monthly!L:L,"",monthly!$A:$A,"&gt;="&amp;$A166,monthly!$B:$B,"&lt;="&amp;$B166)&gt;0,"NA",AVERAGEIFS(monthly!L:L,monthly!$A:$A,"&gt;="&amp;$A166,monthly!$B:$B,"&lt;="&amp;$B166))</f>
        <v>0.1625864055299539</v>
      </c>
      <c r="U166">
        <f>IF(COUNTIFS(monthly!M:M,"",monthly!$A:$A,"&gt;="&amp;$A166,monthly!$B:$B,"&lt;="&amp;$B166)&gt;0,"NA",AVERAGEIFS(monthly!M:M,monthly!$A:$A,"&gt;="&amp;$A166,monthly!$B:$B,"&lt;="&amp;$B166))</f>
        <v>4.5874135944700463</v>
      </c>
      <c r="V166">
        <f>IF(COUNTIFS(monthly!N:N,"",monthly!$A:$A,"&gt;="&amp;$A166,monthly!$B:$B,"&lt;="&amp;$B166)&gt;0,"NA",AVERAGEIFS(monthly!N:N,monthly!$A:$A,"&gt;="&amp;$A166,monthly!$B:$B,"&lt;="&amp;$B166))</f>
        <v>5.01</v>
      </c>
      <c r="W166">
        <f>IF(COUNTIFS(monthly!O:O,"",monthly!$A:$A,"&gt;="&amp;$A166,monthly!$B:$B,"&lt;="&amp;$B166)&gt;0,"NA",AVERAGEIFS(monthly!O:O,monthly!$A:$A,"&gt;="&amp;$A166,monthly!$B:$B,"&lt;="&amp;$B166))</f>
        <v>0.69356578947368419</v>
      </c>
      <c r="X166">
        <f>IF(COUNTIFS(monthly!P:P,"",monthly!$A:$A,"&gt;="&amp;$A166,monthly!$B:$B,"&lt;="&amp;$B166)&gt;0,"NA",AVERAGEIFS(monthly!P:P,monthly!$A:$A,"&gt;="&amp;$A166,monthly!$B:$B,"&lt;="&amp;$B166))</f>
        <v>4.3164342105263156</v>
      </c>
      <c r="Y166">
        <f>IF(COUNTIFS(monthly!Q:Q,"",monthly!$A:$A,"&gt;="&amp;$A166,monthly!$B:$B,"&lt;="&amp;$B166)&gt;0,"NA",AVERAGEIFS(monthly!Q:Q,monthly!$A:$A,"&gt;="&amp;$A166,monthly!$B:$B,"&lt;="&amp;$B166))</f>
        <v>5.5650000000000004</v>
      </c>
      <c r="Z166">
        <f>IF(COUNTIFS(monthly!R:R,"",monthly!$A:$A,"&gt;="&amp;$A166,monthly!$B:$B,"&lt;="&amp;$B166)&gt;0,"NA",AVERAGEIFS(monthly!R:R,monthly!$A:$A,"&gt;="&amp;$A166,monthly!$B:$B,"&lt;="&amp;$B166))</f>
        <v>3.485157894736842</v>
      </c>
      <c r="AA166">
        <f>IF(COUNTIFS(monthly!S:S,"",monthly!$A:$A,"&gt;="&amp;$A166,monthly!$B:$B,"&lt;="&amp;$B166)&gt;0,"NA",AVERAGEIFS(monthly!S:S,monthly!$A:$A,"&gt;="&amp;$A166,monthly!$B:$B,"&lt;="&amp;$B166))</f>
        <v>2.0798421052631584</v>
      </c>
      <c r="AB166">
        <f>IF(COUNTIFS(monthly!T:T,"",monthly!$A:$A,"&gt;="&amp;$A166,monthly!$B:$B,"&lt;="&amp;$B166)&gt;0,"NA",AVERAGEIFS(monthly!T:T,monthly!$A:$A,"&gt;="&amp;$A166,monthly!$B:$B,"&lt;="&amp;$B166))</f>
        <v>17.37275</v>
      </c>
      <c r="AC166">
        <f>IF(COUNTIFS(monthly!U:U,"",monthly!$A:$A,"&gt;="&amp;$A166,monthly!$B:$B,"&lt;="&amp;$B166)&gt;0,"NA",AVERAGEIFS(monthly!U:U,monthly!$A:$A,"&gt;="&amp;$A166,monthly!$B:$B,"&lt;="&amp;$B166))</f>
        <v>104.80241003053392</v>
      </c>
      <c r="AD166">
        <f>IF(COUNTIFS(monthly!V:V,"",monthly!$A:$A,"&gt;="&amp;$A166,monthly!$B:$B,"&lt;="&amp;$B166)&gt;0,"NA",AVERAGEIFS(monthly!V:V,monthly!$A:$A,"&gt;="&amp;$A166,monthly!$B:$B,"&lt;="&amp;$B166))</f>
        <v>80.051047704229845</v>
      </c>
      <c r="AE166">
        <f>IF(COUNTIFS(monthly!W:W,"",monthly!$A:$A,"&gt;="&amp;$A166,monthly!$B:$B,"&lt;="&amp;$B166)&gt;0,"NA",AVERAGEIFS(monthly!W:W,monthly!$A:$A,"&gt;="&amp;$A166,monthly!$B:$B,"&lt;="&amp;$B166))</f>
        <v>84.718051910400391</v>
      </c>
      <c r="AF166">
        <f>IF(COUNTIFS(monthly!X:X,"",monthly!$A:$A,"&gt;="&amp;$A166,monthly!$B:$B,"&lt;="&amp;$B166)&gt;0,"NA",AVERAGEIFS(monthly!X:X,monthly!$A:$A,"&gt;="&amp;$A166,monthly!$B:$B,"&lt;="&amp;$B166))</f>
        <v>83.391452789306641</v>
      </c>
      <c r="AG166">
        <f>IF(COUNTIFS(monthly!Y:Y,"",monthly!$A:$A,"&gt;="&amp;$A166,monthly!$B:$B,"&lt;="&amp;$B166)&gt;0,"NA",AVERAGEIFS(monthly!Y:Y,monthly!$A:$A,"&gt;="&amp;$A166,monthly!$B:$B,"&lt;="&amp;$B166))</f>
        <v>82.146907806396484</v>
      </c>
      <c r="AH166">
        <f>IF(COUNTIFS(monthly!Z:Z,"",monthly!$A:$A,"&gt;="&amp;$A166,monthly!$B:$B,"&lt;="&amp;$B166)&gt;0,"NA",AVERAGEIFS(monthly!Z:Z,monthly!$A:$A,"&gt;="&amp;$A166,monthly!$B:$B,"&lt;="&amp;$B166))</f>
        <v>7.4759397655725479E-2</v>
      </c>
    </row>
    <row r="167" spans="1:34" x14ac:dyDescent="0.2">
      <c r="A167" s="1">
        <v>40634</v>
      </c>
      <c r="B167" s="1">
        <v>40724</v>
      </c>
      <c r="C167">
        <f>IF(ISBLANK(VLOOKUP($A167,quarterly_data,MATCH(C$1,quarterly!$1:$1,FALSE),FALSE)),"NA",VLOOKUP($A167,quarterly_data,MATCH(C$1,quarterly!$1:$1,FALSE),FALSE))</f>
        <v>164.23186250075753</v>
      </c>
      <c r="D167">
        <f>IF(ISBLANK(VLOOKUP($A167,quarterly_data,MATCH(D$1,quarterly!$1:$1,FALSE),FALSE)),"NA",VLOOKUP($A167,quarterly_data,MATCH(D$1,quarterly!$1:$1,FALSE),FALSE))</f>
        <v>104</v>
      </c>
      <c r="E167">
        <f>IF(ISBLANK(VLOOKUP($A167,quarterly_data,MATCH(E$1,quarterly!$1:$1,FALSE),FALSE)),"NA",VLOOKUP($A167,quarterly_data,MATCH(E$1,quarterly!$1:$1,FALSE),FALSE))</f>
        <v>0.1017397</v>
      </c>
      <c r="F167">
        <f>IF(ISBLANK(VLOOKUP($A167,quarterly_data,MATCH(F$1,quarterly!$1:$1,FALSE),FALSE)),"NA",VLOOKUP($A167,quarterly_data,MATCH(F$1,quarterly!$1:$1,FALSE),FALSE))</f>
        <v>4.7589600000000003E-2</v>
      </c>
      <c r="G167">
        <f>IF(ISBLANK(VLOOKUP($A167,quarterly_data,MATCH(G$1,quarterly!$1:$1,FALSE),FALSE)),"NA",VLOOKUP($A167,quarterly_data,MATCH(G$1,quarterly!$1:$1,FALSE),FALSE))</f>
        <v>17035.114000000001</v>
      </c>
      <c r="H167">
        <f>IF(ISBLANK(VLOOKUP($A167,quarterly_data,MATCH(H$1,quarterly!$1:$1,FALSE),FALSE)),"NA",VLOOKUP($A167,quarterly_data,MATCH(H$1,quarterly!$1:$1,FALSE),FALSE))</f>
        <v>490846</v>
      </c>
      <c r="I167">
        <f>IF(ISBLANK(VLOOKUP($A167,quarterly_data,MATCH(I$1,quarterly!$1:$1,FALSE),FALSE)),"NA",VLOOKUP($A167,quarterly_data,MATCH(I$1,quarterly!$1:$1,FALSE),FALSE))</f>
        <v>0.8</v>
      </c>
      <c r="J167">
        <f>IF(ISBLANK(VLOOKUP($A167,quarterly_data,MATCH(J$1,quarterly!$1:$1,FALSE),FALSE)),"NA",VLOOKUP($A167,quarterly_data,MATCH(J$1,quarterly!$1:$1,FALSE),FALSE))</f>
        <v>68.930000000000007</v>
      </c>
      <c r="K167">
        <f>IF(COUNTIFS(monthly!C:C,"",monthly!$A:$A,"&gt;="&amp;$A167,monthly!$B:$B,"&lt;="&amp;$B167)&gt;0,"NA",AVERAGEIFS(monthly!C:C,monthly!$A:$A,"&gt;="&amp;$A167,monthly!$B:$B,"&lt;="&amp;$B167))</f>
        <v>78.166666666666671</v>
      </c>
      <c r="L167">
        <f>IF(COUNTIFS(monthly!D:D,"",monthly!$A:$A,"&gt;="&amp;$A167,monthly!$B:$B,"&lt;="&amp;$B167)&gt;0,"NA",AVERAGEIFS(monthly!D:D,monthly!$A:$A,"&gt;="&amp;$A167,monthly!$B:$B,"&lt;="&amp;$B167))</f>
        <v>1.0782666666666667</v>
      </c>
      <c r="M167">
        <f>IF(COUNTIFS(monthly!E:E,"",monthly!$A:$A,"&gt;="&amp;$A167,monthly!$B:$B,"&lt;="&amp;$B167)&gt;0,"NA",AVERAGEIFS(monthly!E:E,monthly!$A:$A,"&gt;="&amp;$A167,monthly!$B:$B,"&lt;="&amp;$B167))</f>
        <v>114.37037664800134</v>
      </c>
      <c r="N167">
        <f>IF(COUNTIFS(monthly!F:F,"",monthly!$A:$A,"&gt;="&amp;$A167,monthly!$B:$B,"&lt;="&amp;$B167)&gt;0,"NA",AVERAGEIFS(monthly!F:F,monthly!$A:$A,"&gt;="&amp;$A167,monthly!$B:$B,"&lt;="&amp;$B167))</f>
        <v>115.27793527170434</v>
      </c>
      <c r="O167">
        <f>IF(COUNTIFS(monthly!G:G,"",monthly!$A:$A,"&gt;="&amp;$A167,monthly!$B:$B,"&lt;="&amp;$B167)&gt;0,"NA",AVERAGEIFS(monthly!G:G,monthly!$A:$A,"&gt;="&amp;$A167,monthly!$B:$B,"&lt;="&amp;$B167))</f>
        <v>175.76666666666665</v>
      </c>
      <c r="P167">
        <f>IF(COUNTIFS(monthly!H:H,"",monthly!$A:$A,"&gt;="&amp;$A167,monthly!$B:$B,"&lt;="&amp;$B167)&gt;0,"NA",AVERAGEIFS(monthly!H:H,monthly!$A:$A,"&gt;="&amp;$A167,monthly!$B:$B,"&lt;="&amp;$B167))</f>
        <v>120.56666666666666</v>
      </c>
      <c r="Q167">
        <f>IF(COUNTIFS(monthly!I:I,"",monthly!$A:$A,"&gt;="&amp;$A167,monthly!$B:$B,"&lt;="&amp;$B167)&gt;0,"NA",AVERAGEIFS(monthly!I:I,monthly!$A:$A,"&gt;="&amp;$A167,monthly!$B:$B,"&lt;="&amp;$B167))</f>
        <v>117.13333333333333</v>
      </c>
      <c r="R167">
        <f>IF(COUNTIFS(monthly!J:J,"",monthly!$A:$A,"&gt;="&amp;$A167,monthly!$B:$B,"&lt;="&amp;$B167)&gt;0,"NA",AVERAGEIFS(monthly!J:J,monthly!$A:$A,"&gt;="&amp;$A167,monthly!$B:$B,"&lt;="&amp;$B167))</f>
        <v>13.706666666666669</v>
      </c>
      <c r="S167">
        <f>IF(COUNTIFS(monthly!K:K,"",monthly!$A:$A,"&gt;="&amp;$A167,monthly!$B:$B,"&lt;="&amp;$B167)&gt;0,"NA",AVERAGEIFS(monthly!K:K,monthly!$A:$A,"&gt;="&amp;$A167,monthly!$B:$B,"&lt;="&amp;$B167))</f>
        <v>4.75</v>
      </c>
      <c r="T167">
        <f>IF(COUNTIFS(monthly!L:L,"",monthly!$A:$A,"&gt;="&amp;$A167,monthly!$B:$B,"&lt;="&amp;$B167)&gt;0,"NA",AVERAGEIFS(monthly!L:L,monthly!$A:$A,"&gt;="&amp;$A167,monthly!$B:$B,"&lt;="&amp;$B167))</f>
        <v>9.4623655913978519E-2</v>
      </c>
      <c r="U167">
        <f>IF(COUNTIFS(monthly!M:M,"",monthly!$A:$A,"&gt;="&amp;$A167,monthly!$B:$B,"&lt;="&amp;$B167)&gt;0,"NA",AVERAGEIFS(monthly!M:M,monthly!$A:$A,"&gt;="&amp;$A167,monthly!$B:$B,"&lt;="&amp;$B167))</f>
        <v>4.6553763440860223</v>
      </c>
      <c r="V167">
        <f>IF(COUNTIFS(monthly!N:N,"",monthly!$A:$A,"&gt;="&amp;$A167,monthly!$B:$B,"&lt;="&amp;$B167)&gt;0,"NA",AVERAGEIFS(monthly!N:N,monthly!$A:$A,"&gt;="&amp;$A167,monthly!$B:$B,"&lt;="&amp;$B167))</f>
        <v>4.8825000000000003</v>
      </c>
      <c r="W167">
        <f>IF(COUNTIFS(monthly!O:O,"",monthly!$A:$A,"&gt;="&amp;$A167,monthly!$B:$B,"&lt;="&amp;$B167)&gt;0,"NA",AVERAGEIFS(monthly!O:O,monthly!$A:$A,"&gt;="&amp;$A167,monthly!$B:$B,"&lt;="&amp;$B167))</f>
        <v>0.56673088023088025</v>
      </c>
      <c r="X167">
        <f>IF(COUNTIFS(monthly!P:P,"",monthly!$A:$A,"&gt;="&amp;$A167,monthly!$B:$B,"&lt;="&amp;$B167)&gt;0,"NA",AVERAGEIFS(monthly!P:P,monthly!$A:$A,"&gt;="&amp;$A167,monthly!$B:$B,"&lt;="&amp;$B167))</f>
        <v>4.3157691197691195</v>
      </c>
      <c r="Y167">
        <f>IF(COUNTIFS(monthly!Q:Q,"",monthly!$A:$A,"&gt;="&amp;$A167,monthly!$B:$B,"&lt;="&amp;$B167)&gt;0,"NA",AVERAGEIFS(monthly!Q:Q,monthly!$A:$A,"&gt;="&amp;$A167,monthly!$B:$B,"&lt;="&amp;$B167))</f>
        <v>5.3325000000000005</v>
      </c>
      <c r="Z167">
        <f>IF(COUNTIFS(monthly!R:R,"",monthly!$A:$A,"&gt;="&amp;$A167,monthly!$B:$B,"&lt;="&amp;$B167)&gt;0,"NA",AVERAGEIFS(monthly!R:R,monthly!$A:$A,"&gt;="&amp;$A167,monthly!$B:$B,"&lt;="&amp;$B167))</f>
        <v>3.2086147186147187</v>
      </c>
      <c r="AA167">
        <f>IF(COUNTIFS(monthly!S:S,"",monthly!$A:$A,"&gt;="&amp;$A167,monthly!$B:$B,"&lt;="&amp;$B167)&gt;0,"NA",AVERAGEIFS(monthly!S:S,monthly!$A:$A,"&gt;="&amp;$A167,monthly!$B:$B,"&lt;="&amp;$B167))</f>
        <v>2.1238852813852813</v>
      </c>
      <c r="AB167">
        <f>IF(COUNTIFS(monthly!T:T,"",monthly!$A:$A,"&gt;="&amp;$A167,monthly!$B:$B,"&lt;="&amp;$B167)&gt;0,"NA",AVERAGEIFS(monthly!T:T,monthly!$A:$A,"&gt;="&amp;$A167,monthly!$B:$B,"&lt;="&amp;$B167))</f>
        <v>17.436203463203466</v>
      </c>
      <c r="AC167">
        <f>IF(COUNTIFS(monthly!U:U,"",monthly!$A:$A,"&gt;="&amp;$A167,monthly!$B:$B,"&lt;="&amp;$B167)&gt;0,"NA",AVERAGEIFS(monthly!U:U,monthly!$A:$A,"&gt;="&amp;$A167,monthly!$B:$B,"&lt;="&amp;$B167))</f>
        <v>111.52901927770246</v>
      </c>
      <c r="AD167">
        <f>IF(COUNTIFS(monthly!V:V,"",monthly!$A:$A,"&gt;="&amp;$A167,monthly!$B:$B,"&lt;="&amp;$B167)&gt;0,"NA",AVERAGEIFS(monthly!V:V,monthly!$A:$A,"&gt;="&amp;$A167,monthly!$B:$B,"&lt;="&amp;$B167))</f>
        <v>111.39002082325003</v>
      </c>
      <c r="AE167">
        <f>IF(COUNTIFS(monthly!W:W,"",monthly!$A:$A,"&gt;="&amp;$A167,monthly!$B:$B,"&lt;="&amp;$B167)&gt;0,"NA",AVERAGEIFS(monthly!W:W,monthly!$A:$A,"&gt;="&amp;$A167,monthly!$B:$B,"&lt;="&amp;$B167))</f>
        <v>93.584843953450516</v>
      </c>
      <c r="AF167">
        <f>IF(COUNTIFS(monthly!X:X,"",monthly!$A:$A,"&gt;="&amp;$A167,monthly!$B:$B,"&lt;="&amp;$B167)&gt;0,"NA",AVERAGEIFS(monthly!X:X,monthly!$A:$A,"&gt;="&amp;$A167,monthly!$B:$B,"&lt;="&amp;$B167))</f>
        <v>79.940315246582031</v>
      </c>
      <c r="AG167">
        <f>IF(COUNTIFS(monthly!Y:Y,"",monthly!$A:$A,"&gt;="&amp;$A167,monthly!$B:$B,"&lt;="&amp;$B167)&gt;0,"NA",AVERAGEIFS(monthly!Y:Y,monthly!$A:$A,"&gt;="&amp;$A167,monthly!$B:$B,"&lt;="&amp;$B167))</f>
        <v>111.34786732991536</v>
      </c>
      <c r="AH167">
        <f>IF(COUNTIFS(monthly!Z:Z,"",monthly!$A:$A,"&gt;="&amp;$A167,monthly!$B:$B,"&lt;="&amp;$B167)&gt;0,"NA",AVERAGEIFS(monthly!Z:Z,monthly!$A:$A,"&gt;="&amp;$A167,monthly!$B:$B,"&lt;="&amp;$B167))</f>
        <v>3.8234902545809746E-2</v>
      </c>
    </row>
    <row r="168" spans="1:34" x14ac:dyDescent="0.2">
      <c r="A168" s="1">
        <v>40725</v>
      </c>
      <c r="B168" s="1">
        <v>40816</v>
      </c>
      <c r="C168">
        <f>IF(ISBLANK(VLOOKUP($A168,quarterly_data,MATCH(C$1,quarterly!$1:$1,FALSE),FALSE)),"NA",VLOOKUP($A168,quarterly_data,MATCH(C$1,quarterly!$1:$1,FALSE),FALSE))</f>
        <v>160.57363856638906</v>
      </c>
      <c r="D168">
        <f>IF(ISBLANK(VLOOKUP($A168,quarterly_data,MATCH(D$1,quarterly!$1:$1,FALSE),FALSE)),"NA",VLOOKUP($A168,quarterly_data,MATCH(D$1,quarterly!$1:$1,FALSE),FALSE))</f>
        <v>105.1</v>
      </c>
      <c r="E168">
        <f>IF(ISBLANK(VLOOKUP($A168,quarterly_data,MATCH(E$1,quarterly!$1:$1,FALSE),FALSE)),"NA",VLOOKUP($A168,quarterly_data,MATCH(E$1,quarterly!$1:$1,FALSE),FALSE))</f>
        <v>0.57268300000000005</v>
      </c>
      <c r="F168">
        <f>IF(ISBLANK(VLOOKUP($A168,quarterly_data,MATCH(F$1,quarterly!$1:$1,FALSE),FALSE)),"NA",VLOOKUP($A168,quarterly_data,MATCH(F$1,quarterly!$1:$1,FALSE),FALSE))</f>
        <v>0.1315307</v>
      </c>
      <c r="G168">
        <f>IF(ISBLANK(VLOOKUP($A168,quarterly_data,MATCH(G$1,quarterly!$1:$1,FALSE),FALSE)),"NA",VLOOKUP($A168,quarterly_data,MATCH(G$1,quarterly!$1:$1,FALSE),FALSE))</f>
        <v>17031.312999999998</v>
      </c>
      <c r="H168">
        <f>IF(ISBLANK(VLOOKUP($A168,quarterly_data,MATCH(H$1,quarterly!$1:$1,FALSE),FALSE)),"NA",VLOOKUP($A168,quarterly_data,MATCH(H$1,quarterly!$1:$1,FALSE),FALSE))</f>
        <v>497511</v>
      </c>
      <c r="I168">
        <f>IF(ISBLANK(VLOOKUP($A168,quarterly_data,MATCH(I$1,quarterly!$1:$1,FALSE),FALSE)),"NA",VLOOKUP($A168,quarterly_data,MATCH(I$1,quarterly!$1:$1,FALSE),FALSE))</f>
        <v>0.4</v>
      </c>
      <c r="J168">
        <f>IF(ISBLANK(VLOOKUP($A168,quarterly_data,MATCH(J$1,quarterly!$1:$1,FALSE),FALSE)),"NA",VLOOKUP($A168,quarterly_data,MATCH(J$1,quarterly!$1:$1,FALSE),FALSE))</f>
        <v>69.34</v>
      </c>
      <c r="K168">
        <f>IF(COUNTIFS(monthly!C:C,"",monthly!$A:$A,"&gt;="&amp;$A168,monthly!$B:$B,"&lt;="&amp;$B168)&gt;0,"NA",AVERAGEIFS(monthly!C:C,monthly!$A:$A,"&gt;="&amp;$A168,monthly!$B:$B,"&lt;="&amp;$B168))</f>
        <v>75.766666666666666</v>
      </c>
      <c r="L168">
        <f>IF(COUNTIFS(monthly!D:D,"",monthly!$A:$A,"&gt;="&amp;$A168,monthly!$B:$B,"&lt;="&amp;$B168)&gt;0,"NA",AVERAGEIFS(monthly!D:D,monthly!$A:$A,"&gt;="&amp;$A168,monthly!$B:$B,"&lt;="&amp;$B168))</f>
        <v>1.0475333333333332</v>
      </c>
      <c r="M168">
        <f>IF(COUNTIFS(monthly!E:E,"",monthly!$A:$A,"&gt;="&amp;$A168,monthly!$B:$B,"&lt;="&amp;$B168)&gt;0,"NA",AVERAGEIFS(monthly!E:E,monthly!$A:$A,"&gt;="&amp;$A168,monthly!$B:$B,"&lt;="&amp;$B168))</f>
        <v>114.99744720968732</v>
      </c>
      <c r="N168">
        <f>IF(COUNTIFS(monthly!F:F,"",monthly!$A:$A,"&gt;="&amp;$A168,monthly!$B:$B,"&lt;="&amp;$B168)&gt;0,"NA",AVERAGEIFS(monthly!F:F,monthly!$A:$A,"&gt;="&amp;$A168,monthly!$B:$B,"&lt;="&amp;$B168))</f>
        <v>114.32206698310165</v>
      </c>
      <c r="O168">
        <f>IF(COUNTIFS(monthly!G:G,"",monthly!$A:$A,"&gt;="&amp;$A168,monthly!$B:$B,"&lt;="&amp;$B168)&gt;0,"NA",AVERAGEIFS(monthly!G:G,monthly!$A:$A,"&gt;="&amp;$A168,monthly!$B:$B,"&lt;="&amp;$B168))</f>
        <v>175.9</v>
      </c>
      <c r="P168">
        <f>IF(COUNTIFS(monthly!H:H,"",monthly!$A:$A,"&gt;="&amp;$A168,monthly!$B:$B,"&lt;="&amp;$B168)&gt;0,"NA",AVERAGEIFS(monthly!H:H,monthly!$A:$A,"&gt;="&amp;$A168,monthly!$B:$B,"&lt;="&amp;$B168))</f>
        <v>121.33333333333333</v>
      </c>
      <c r="Q168">
        <f>IF(COUNTIFS(monthly!I:I,"",monthly!$A:$A,"&gt;="&amp;$A168,monthly!$B:$B,"&lt;="&amp;$B168)&gt;0,"NA",AVERAGEIFS(monthly!I:I,monthly!$A:$A,"&gt;="&amp;$A168,monthly!$B:$B,"&lt;="&amp;$B168))</f>
        <v>112.5</v>
      </c>
      <c r="R168">
        <f>IF(COUNTIFS(monthly!J:J,"",monthly!$A:$A,"&gt;="&amp;$A168,monthly!$B:$B,"&lt;="&amp;$B168)&gt;0,"NA",AVERAGEIFS(monthly!J:J,monthly!$A:$A,"&gt;="&amp;$A168,monthly!$B:$B,"&lt;="&amp;$B168))</f>
        <v>16.346666666666664</v>
      </c>
      <c r="S168">
        <f>IF(COUNTIFS(monthly!K:K,"",monthly!$A:$A,"&gt;="&amp;$A168,monthly!$B:$B,"&lt;="&amp;$B168)&gt;0,"NA",AVERAGEIFS(monthly!K:K,monthly!$A:$A,"&gt;="&amp;$A168,monthly!$B:$B,"&lt;="&amp;$B168))</f>
        <v>4.75</v>
      </c>
      <c r="T168">
        <f>IF(COUNTIFS(monthly!L:L,"",monthly!$A:$A,"&gt;="&amp;$A168,monthly!$B:$B,"&lt;="&amp;$B168)&gt;0,"NA",AVERAGEIFS(monthly!L:L,monthly!$A:$A,"&gt;="&amp;$A168,monthly!$B:$B,"&lt;="&amp;$B168))</f>
        <v>8.3591397849462387E-2</v>
      </c>
      <c r="U168">
        <f>IF(COUNTIFS(monthly!M:M,"",monthly!$A:$A,"&gt;="&amp;$A168,monthly!$B:$B,"&lt;="&amp;$B168)&gt;0,"NA",AVERAGEIFS(monthly!M:M,monthly!$A:$A,"&gt;="&amp;$A168,monthly!$B:$B,"&lt;="&amp;$B168))</f>
        <v>4.6664086021505371</v>
      </c>
      <c r="V168">
        <f>IF(COUNTIFS(monthly!N:N,"",monthly!$A:$A,"&gt;="&amp;$A168,monthly!$B:$B,"&lt;="&amp;$B168)&gt;0,"NA",AVERAGEIFS(monthly!N:N,monthly!$A:$A,"&gt;="&amp;$A168,monthly!$B:$B,"&lt;="&amp;$B168))</f>
        <v>3.9633333333333334</v>
      </c>
      <c r="W168">
        <f>IF(COUNTIFS(monthly!O:O,"",monthly!$A:$A,"&gt;="&amp;$A168,monthly!$B:$B,"&lt;="&amp;$B168)&gt;0,"NA",AVERAGEIFS(monthly!O:O,monthly!$A:$A,"&gt;="&amp;$A168,monthly!$B:$B,"&lt;="&amp;$B168))</f>
        <v>0.28278778467908905</v>
      </c>
      <c r="X168">
        <f>IF(COUNTIFS(monthly!P:P,"",monthly!$A:$A,"&gt;="&amp;$A168,monthly!$B:$B,"&lt;="&amp;$B168)&gt;0,"NA",AVERAGEIFS(monthly!P:P,monthly!$A:$A,"&gt;="&amp;$A168,monthly!$B:$B,"&lt;="&amp;$B168))</f>
        <v>3.6805455486542442</v>
      </c>
      <c r="Y168">
        <f>IF(COUNTIFS(monthly!Q:Q,"",monthly!$A:$A,"&gt;="&amp;$A168,monthly!$B:$B,"&lt;="&amp;$B168)&gt;0,"NA",AVERAGEIFS(monthly!Q:Q,monthly!$A:$A,"&gt;="&amp;$A168,monthly!$B:$B,"&lt;="&amp;$B168))</f>
        <v>4.5716666666666663</v>
      </c>
      <c r="Z168">
        <f>IF(COUNTIFS(monthly!R:R,"",monthly!$A:$A,"&gt;="&amp;$A168,monthly!$B:$B,"&lt;="&amp;$B168)&gt;0,"NA",AVERAGEIFS(monthly!R:R,monthly!$A:$A,"&gt;="&amp;$A168,monthly!$B:$B,"&lt;="&amp;$B168))</f>
        <v>2.4270938578329884</v>
      </c>
      <c r="AA168">
        <f>IF(COUNTIFS(monthly!S:S,"",monthly!$A:$A,"&gt;="&amp;$A168,monthly!$B:$B,"&lt;="&amp;$B168)&gt;0,"NA",AVERAGEIFS(monthly!S:S,monthly!$A:$A,"&gt;="&amp;$A168,monthly!$B:$B,"&lt;="&amp;$B168))</f>
        <v>2.1445728088336784</v>
      </c>
      <c r="AB168">
        <f>IF(COUNTIFS(monthly!T:T,"",monthly!$A:$A,"&gt;="&amp;$A168,monthly!$B:$B,"&lt;="&amp;$B168)&gt;0,"NA",AVERAGEIFS(monthly!T:T,monthly!$A:$A,"&gt;="&amp;$A168,monthly!$B:$B,"&lt;="&amp;$B168))</f>
        <v>30.262210144927536</v>
      </c>
      <c r="AC168">
        <f>IF(COUNTIFS(monthly!U:U,"",monthly!$A:$A,"&gt;="&amp;$A168,monthly!$B:$B,"&lt;="&amp;$B168)&gt;0,"NA",AVERAGEIFS(monthly!U:U,monthly!$A:$A,"&gt;="&amp;$A168,monthly!$B:$B,"&lt;="&amp;$B168))</f>
        <v>186.53910970418829</v>
      </c>
      <c r="AD168">
        <f>IF(COUNTIFS(monthly!V:V,"",monthly!$A:$A,"&gt;="&amp;$A168,monthly!$B:$B,"&lt;="&amp;$B168)&gt;0,"NA",AVERAGEIFS(monthly!V:V,monthly!$A:$A,"&gt;="&amp;$A168,monthly!$B:$B,"&lt;="&amp;$B168))</f>
        <v>255.67163155176331</v>
      </c>
      <c r="AE168">
        <f>IF(COUNTIFS(monthly!W:W,"",monthly!$A:$A,"&gt;="&amp;$A168,monthly!$B:$B,"&lt;="&amp;$B168)&gt;0,"NA",AVERAGEIFS(monthly!W:W,monthly!$A:$A,"&gt;="&amp;$A168,monthly!$B:$B,"&lt;="&amp;$B168))</f>
        <v>83.075592041015625</v>
      </c>
      <c r="AF168">
        <f>IF(COUNTIFS(monthly!X:X,"",monthly!$A:$A,"&gt;="&amp;$A168,monthly!$B:$B,"&lt;="&amp;$B168)&gt;0,"NA",AVERAGEIFS(monthly!X:X,monthly!$A:$A,"&gt;="&amp;$A168,monthly!$B:$B,"&lt;="&amp;$B168))</f>
        <v>64.376804351806641</v>
      </c>
      <c r="AG168">
        <f>IF(COUNTIFS(monthly!Y:Y,"",monthly!$A:$A,"&gt;="&amp;$A168,monthly!$B:$B,"&lt;="&amp;$B168)&gt;0,"NA",AVERAGEIFS(monthly!Y:Y,monthly!$A:$A,"&gt;="&amp;$A168,monthly!$B:$B,"&lt;="&amp;$B168))</f>
        <v>103.29275258382161</v>
      </c>
      <c r="AH168">
        <f>IF(COUNTIFS(monthly!Z:Z,"",monthly!$A:$A,"&gt;="&amp;$A168,monthly!$B:$B,"&lt;="&amp;$B168)&gt;0,"NA",AVERAGEIFS(monthly!Z:Z,monthly!$A:$A,"&gt;="&amp;$A168,monthly!$B:$B,"&lt;="&amp;$B168))</f>
        <v>5.2270340422789253E-2</v>
      </c>
    </row>
    <row r="169" spans="1:34" x14ac:dyDescent="0.2">
      <c r="A169" s="1">
        <v>40817</v>
      </c>
      <c r="B169" s="1">
        <v>40907</v>
      </c>
      <c r="C169">
        <f>IF(ISBLANK(VLOOKUP($A169,quarterly_data,MATCH(C$1,quarterly!$1:$1,FALSE),FALSE)),"NA",VLOOKUP($A169,quarterly_data,MATCH(C$1,quarterly!$1:$1,FALSE),FALSE))</f>
        <v>158.62646648054036</v>
      </c>
      <c r="D169">
        <f>IF(ISBLANK(VLOOKUP($A169,quarterly_data,MATCH(D$1,quarterly!$1:$1,FALSE),FALSE)),"NA",VLOOKUP($A169,quarterly_data,MATCH(D$1,quarterly!$1:$1,FALSE),FALSE))</f>
        <v>100.7</v>
      </c>
      <c r="E169">
        <f>IF(ISBLANK(VLOOKUP($A169,quarterly_data,MATCH(E$1,quarterly!$1:$1,FALSE),FALSE)),"NA",VLOOKUP($A169,quarterly_data,MATCH(E$1,quarterly!$1:$1,FALSE),FALSE))</f>
        <v>9.5565800000000006E-2</v>
      </c>
      <c r="F169">
        <f>IF(ISBLANK(VLOOKUP($A169,quarterly_data,MATCH(F$1,quarterly!$1:$1,FALSE),FALSE)),"NA",VLOOKUP($A169,quarterly_data,MATCH(F$1,quarterly!$1:$1,FALSE),FALSE))</f>
        <v>7.9772800000000005E-2</v>
      </c>
      <c r="G169">
        <f>IF(ISBLANK(VLOOKUP($A169,quarterly_data,MATCH(G$1,quarterly!$1:$1,FALSE),FALSE)),"NA",VLOOKUP($A169,quarterly_data,MATCH(G$1,quarterly!$1:$1,FALSE),FALSE))</f>
        <v>17222.582999999999</v>
      </c>
      <c r="H169">
        <f>IF(ISBLANK(VLOOKUP($A169,quarterly_data,MATCH(H$1,quarterly!$1:$1,FALSE),FALSE)),"NA",VLOOKUP($A169,quarterly_data,MATCH(H$1,quarterly!$1:$1,FALSE),FALSE))</f>
        <v>503039</v>
      </c>
      <c r="I169">
        <f>IF(ISBLANK(VLOOKUP($A169,quarterly_data,MATCH(I$1,quarterly!$1:$1,FALSE),FALSE)),"NA",VLOOKUP($A169,quarterly_data,MATCH(I$1,quarterly!$1:$1,FALSE),FALSE))</f>
        <v>0.6</v>
      </c>
      <c r="J169">
        <f>IF(ISBLANK(VLOOKUP($A169,quarterly_data,MATCH(J$1,quarterly!$1:$1,FALSE),FALSE)),"NA",VLOOKUP($A169,quarterly_data,MATCH(J$1,quarterly!$1:$1,FALSE),FALSE))</f>
        <v>69.34</v>
      </c>
      <c r="K169">
        <f>IF(COUNTIFS(monthly!C:C,"",monthly!$A:$A,"&gt;="&amp;$A169,monthly!$B:$B,"&lt;="&amp;$B169)&gt;0,"NA",AVERAGEIFS(monthly!C:C,monthly!$A:$A,"&gt;="&amp;$A169,monthly!$B:$B,"&lt;="&amp;$B169))</f>
        <v>75.766666666666666</v>
      </c>
      <c r="L169">
        <f>IF(COUNTIFS(monthly!D:D,"",monthly!$A:$A,"&gt;="&amp;$A169,monthly!$B:$B,"&lt;="&amp;$B169)&gt;0,"NA",AVERAGEIFS(monthly!D:D,monthly!$A:$A,"&gt;="&amp;$A169,monthly!$B:$B,"&lt;="&amp;$B169))</f>
        <v>1.0228666666666666</v>
      </c>
      <c r="M169">
        <f>IF(COUNTIFS(monthly!E:E,"",monthly!$A:$A,"&gt;="&amp;$A169,monthly!$B:$B,"&lt;="&amp;$B169)&gt;0,"NA",AVERAGEIFS(monthly!E:E,monthly!$A:$A,"&gt;="&amp;$A169,monthly!$B:$B,"&lt;="&amp;$B169))</f>
        <v>105.91299764213734</v>
      </c>
      <c r="N169">
        <f>IF(COUNTIFS(monthly!F:F,"",monthly!$A:$A,"&gt;="&amp;$A169,monthly!$B:$B,"&lt;="&amp;$B169)&gt;0,"NA",AVERAGEIFS(monthly!F:F,monthly!$A:$A,"&gt;="&amp;$A169,monthly!$B:$B,"&lt;="&amp;$B169))</f>
        <v>100.5311628828956</v>
      </c>
      <c r="O169">
        <f>IF(COUNTIFS(monthly!G:G,"",monthly!$A:$A,"&gt;="&amp;$A169,monthly!$B:$B,"&lt;="&amp;$B169)&gt;0,"NA",AVERAGEIFS(monthly!G:G,monthly!$A:$A,"&gt;="&amp;$A169,monthly!$B:$B,"&lt;="&amp;$B169))</f>
        <v>140.76666666666665</v>
      </c>
      <c r="P169">
        <f>IF(COUNTIFS(monthly!H:H,"",monthly!$A:$A,"&gt;="&amp;$A169,monthly!$B:$B,"&lt;="&amp;$B169)&gt;0,"NA",AVERAGEIFS(monthly!H:H,monthly!$A:$A,"&gt;="&amp;$A169,monthly!$B:$B,"&lt;="&amp;$B169))</f>
        <v>114.93333333333332</v>
      </c>
      <c r="Q169">
        <f>IF(COUNTIFS(monthly!I:I,"",monthly!$A:$A,"&gt;="&amp;$A169,monthly!$B:$B,"&lt;="&amp;$B169)&gt;0,"NA",AVERAGEIFS(monthly!I:I,monthly!$A:$A,"&gt;="&amp;$A169,monthly!$B:$B,"&lt;="&amp;$B169))</f>
        <v>109.3</v>
      </c>
      <c r="R169">
        <f>IF(COUNTIFS(monthly!J:J,"",monthly!$A:$A,"&gt;="&amp;$A169,monthly!$B:$B,"&lt;="&amp;$B169)&gt;0,"NA",AVERAGEIFS(monthly!J:J,monthly!$A:$A,"&gt;="&amp;$A169,monthly!$B:$B,"&lt;="&amp;$B169))</f>
        <v>16.580000000000002</v>
      </c>
      <c r="S169">
        <f>IF(COUNTIFS(monthly!K:K,"",monthly!$A:$A,"&gt;="&amp;$A169,monthly!$B:$B,"&lt;="&amp;$B169)&gt;0,"NA",AVERAGEIFS(monthly!K:K,monthly!$A:$A,"&gt;="&amp;$A169,monthly!$B:$B,"&lt;="&amp;$B169))</f>
        <v>4.5209999999999999</v>
      </c>
      <c r="T169">
        <f>IF(COUNTIFS(monthly!L:L,"",monthly!$A:$A,"&gt;="&amp;$A169,monthly!$B:$B,"&lt;="&amp;$B169)&gt;0,"NA",AVERAGEIFS(monthly!L:L,monthly!$A:$A,"&gt;="&amp;$A169,monthly!$B:$B,"&lt;="&amp;$B169))</f>
        <v>7.4419354838709706E-2</v>
      </c>
      <c r="U169">
        <f>IF(COUNTIFS(monthly!M:M,"",monthly!$A:$A,"&gt;="&amp;$A169,monthly!$B:$B,"&lt;="&amp;$B169)&gt;0,"NA",AVERAGEIFS(monthly!M:M,monthly!$A:$A,"&gt;="&amp;$A169,monthly!$B:$B,"&lt;="&amp;$B169))</f>
        <v>4.4465806451612897</v>
      </c>
      <c r="V169">
        <f>IF(COUNTIFS(monthly!N:N,"",monthly!$A:$A,"&gt;="&amp;$A169,monthly!$B:$B,"&lt;="&amp;$B169)&gt;0,"NA",AVERAGEIFS(monthly!N:N,monthly!$A:$A,"&gt;="&amp;$A169,monthly!$B:$B,"&lt;="&amp;$B169))</f>
        <v>3.4250000000000003</v>
      </c>
      <c r="W169">
        <f>IF(COUNTIFS(monthly!O:O,"",monthly!$A:$A,"&gt;="&amp;$A169,monthly!$B:$B,"&lt;="&amp;$B169)&gt;0,"NA",AVERAGEIFS(monthly!O:O,monthly!$A:$A,"&gt;="&amp;$A169,monthly!$B:$B,"&lt;="&amp;$B169))</f>
        <v>0.26371428571428573</v>
      </c>
      <c r="X169">
        <f>IF(COUNTIFS(monthly!P:P,"",monthly!$A:$A,"&gt;="&amp;$A169,monthly!$B:$B,"&lt;="&amp;$B169)&gt;0,"NA",AVERAGEIFS(monthly!P:P,monthly!$A:$A,"&gt;="&amp;$A169,monthly!$B:$B,"&lt;="&amp;$B169))</f>
        <v>3.1612857142857145</v>
      </c>
      <c r="Y169">
        <f>IF(COUNTIFS(monthly!Q:Q,"",monthly!$A:$A,"&gt;="&amp;$A169,monthly!$B:$B,"&lt;="&amp;$B169)&gt;0,"NA",AVERAGEIFS(monthly!Q:Q,monthly!$A:$A,"&gt;="&amp;$A169,monthly!$B:$B,"&lt;="&amp;$B169))</f>
        <v>4.0925000000000002</v>
      </c>
      <c r="Z169">
        <f>IF(COUNTIFS(monthly!R:R,"",monthly!$A:$A,"&gt;="&amp;$A169,monthly!$B:$B,"&lt;="&amp;$B169)&gt;0,"NA",AVERAGEIFS(monthly!R:R,monthly!$A:$A,"&gt;="&amp;$A169,monthly!$B:$B,"&lt;="&amp;$B169))</f>
        <v>2.0478650793650792</v>
      </c>
      <c r="AA169">
        <f>IF(COUNTIFS(monthly!S:S,"",monthly!$A:$A,"&gt;="&amp;$A169,monthly!$B:$B,"&lt;="&amp;$B169)&gt;0,"NA",AVERAGEIFS(monthly!S:S,monthly!$A:$A,"&gt;="&amp;$A169,monthly!$B:$B,"&lt;="&amp;$B169))</f>
        <v>2.044634920634921</v>
      </c>
      <c r="AB169">
        <f>IF(COUNTIFS(monthly!T:T,"",monthly!$A:$A,"&gt;="&amp;$A169,monthly!$B:$B,"&lt;="&amp;$B169)&gt;0,"NA",AVERAGEIFS(monthly!T:T,monthly!$A:$A,"&gt;="&amp;$A169,monthly!$B:$B,"&lt;="&amp;$B169))</f>
        <v>29.939523809523809</v>
      </c>
      <c r="AC169">
        <f>IF(COUNTIFS(monthly!U:U,"",monthly!$A:$A,"&gt;="&amp;$A169,monthly!$B:$B,"&lt;="&amp;$B169)&gt;0,"NA",AVERAGEIFS(monthly!U:U,monthly!$A:$A,"&gt;="&amp;$A169,monthly!$B:$B,"&lt;="&amp;$B169))</f>
        <v>177.46230636862776</v>
      </c>
      <c r="AD169">
        <f>IF(COUNTIFS(monthly!V:V,"",monthly!$A:$A,"&gt;="&amp;$A169,monthly!$B:$B,"&lt;="&amp;$B169)&gt;0,"NA",AVERAGEIFS(monthly!V:V,monthly!$A:$A,"&gt;="&amp;$A169,monthly!$B:$B,"&lt;="&amp;$B169))</f>
        <v>235.39156376748812</v>
      </c>
      <c r="AE169">
        <f>IF(COUNTIFS(monthly!W:W,"",monthly!$A:$A,"&gt;="&amp;$A169,monthly!$B:$B,"&lt;="&amp;$B169)&gt;0,"NA",AVERAGEIFS(monthly!W:W,monthly!$A:$A,"&gt;="&amp;$A169,monthly!$B:$B,"&lt;="&amp;$B169))</f>
        <v>81.612978617350265</v>
      </c>
      <c r="AF169">
        <f>IF(COUNTIFS(monthly!X:X,"",monthly!$A:$A,"&gt;="&amp;$A169,monthly!$B:$B,"&lt;="&amp;$B169)&gt;0,"NA",AVERAGEIFS(monthly!X:X,monthly!$A:$A,"&gt;="&amp;$A169,monthly!$B:$B,"&lt;="&amp;$B169))</f>
        <v>82.884572347005204</v>
      </c>
      <c r="AG169">
        <f>IF(COUNTIFS(monthly!Y:Y,"",monthly!$A:$A,"&gt;="&amp;$A169,monthly!$B:$B,"&lt;="&amp;$B169)&gt;0,"NA",AVERAGEIFS(monthly!Y:Y,monthly!$A:$A,"&gt;="&amp;$A169,monthly!$B:$B,"&lt;="&amp;$B169))</f>
        <v>79.976610819498703</v>
      </c>
      <c r="AH169">
        <f>IF(COUNTIFS(monthly!Z:Z,"",monthly!$A:$A,"&gt;="&amp;$A169,monthly!$B:$B,"&lt;="&amp;$B169)&gt;0,"NA",AVERAGEIFS(monthly!Z:Z,monthly!$A:$A,"&gt;="&amp;$A169,monthly!$B:$B,"&lt;="&amp;$B169))</f>
        <v>6.6988866776227951E-2</v>
      </c>
    </row>
    <row r="170" spans="1:34" x14ac:dyDescent="0.2">
      <c r="A170" s="1">
        <v>40909</v>
      </c>
      <c r="B170" s="1">
        <v>40998</v>
      </c>
      <c r="C170">
        <f>IF(ISBLANK(VLOOKUP($A170,quarterly_data,MATCH(C$1,quarterly!$1:$1,FALSE),FALSE)),"NA",VLOOKUP($A170,quarterly_data,MATCH(C$1,quarterly!$1:$1,FALSE),FALSE))</f>
        <v>164.85779905597261</v>
      </c>
      <c r="D170">
        <f>IF(ISBLANK(VLOOKUP($A170,quarterly_data,MATCH(D$1,quarterly!$1:$1,FALSE),FALSE)),"NA",VLOOKUP($A170,quarterly_data,MATCH(D$1,quarterly!$1:$1,FALSE),FALSE))</f>
        <v>95.7</v>
      </c>
      <c r="E170">
        <f>IF(ISBLANK(VLOOKUP($A170,quarterly_data,MATCH(E$1,quarterly!$1:$1,FALSE),FALSE)),"NA",VLOOKUP($A170,quarterly_data,MATCH(E$1,quarterly!$1:$1,FALSE),FALSE))</f>
        <v>9.6478499999999995E-2</v>
      </c>
      <c r="F170">
        <f>IF(ISBLANK(VLOOKUP($A170,quarterly_data,MATCH(F$1,quarterly!$1:$1,FALSE),FALSE)),"NA",VLOOKUP($A170,quarterly_data,MATCH(F$1,quarterly!$1:$1,FALSE),FALSE))</f>
        <v>4.7941699999999997E-2</v>
      </c>
      <c r="G170">
        <f>IF(ISBLANK(VLOOKUP($A170,quarterly_data,MATCH(G$1,quarterly!$1:$1,FALSE),FALSE)),"NA",VLOOKUP($A170,quarterly_data,MATCH(G$1,quarterly!$1:$1,FALSE),FALSE))</f>
        <v>17367.009999999998</v>
      </c>
      <c r="H170">
        <f>IF(ISBLANK(VLOOKUP($A170,quarterly_data,MATCH(H$1,quarterly!$1:$1,FALSE),FALSE)),"NA",VLOOKUP($A170,quarterly_data,MATCH(H$1,quarterly!$1:$1,FALSE),FALSE))</f>
        <v>508399</v>
      </c>
      <c r="I170">
        <f>IF(ISBLANK(VLOOKUP($A170,quarterly_data,MATCH(I$1,quarterly!$1:$1,FALSE),FALSE)),"NA",VLOOKUP($A170,quarterly_data,MATCH(I$1,quarterly!$1:$1,FALSE),FALSE))</f>
        <v>0.4</v>
      </c>
      <c r="J170">
        <f>IF(ISBLANK(VLOOKUP($A170,quarterly_data,MATCH(J$1,quarterly!$1:$1,FALSE),FALSE)),"NA",VLOOKUP($A170,quarterly_data,MATCH(J$1,quarterly!$1:$1,FALSE),FALSE))</f>
        <v>69.38</v>
      </c>
      <c r="K170">
        <f>IF(COUNTIFS(monthly!C:C,"",monthly!$A:$A,"&gt;="&amp;$A170,monthly!$B:$B,"&lt;="&amp;$B170)&gt;0,"NA",AVERAGEIFS(monthly!C:C,monthly!$A:$A,"&gt;="&amp;$A170,monthly!$B:$B,"&lt;="&amp;$B170))</f>
        <v>78.000000000000014</v>
      </c>
      <c r="L170">
        <f>IF(COUNTIFS(monthly!D:D,"",monthly!$A:$A,"&gt;="&amp;$A170,monthly!$B:$B,"&lt;="&amp;$B170)&gt;0,"NA",AVERAGEIFS(monthly!D:D,monthly!$A:$A,"&gt;="&amp;$A170,monthly!$B:$B,"&lt;="&amp;$B170))</f>
        <v>1.0618333333333332</v>
      </c>
      <c r="M170">
        <f>IF(COUNTIFS(monthly!E:E,"",monthly!$A:$A,"&gt;="&amp;$A170,monthly!$B:$B,"&lt;="&amp;$B170)&gt;0,"NA",AVERAGEIFS(monthly!E:E,monthly!$A:$A,"&gt;="&amp;$A170,monthly!$B:$B,"&lt;="&amp;$B170))</f>
        <v>103.77564145838168</v>
      </c>
      <c r="N170">
        <f>IF(COUNTIFS(monthly!F:F,"",monthly!$A:$A,"&gt;="&amp;$A170,monthly!$B:$B,"&lt;="&amp;$B170)&gt;0,"NA",AVERAGEIFS(monthly!F:F,monthly!$A:$A,"&gt;="&amp;$A170,monthly!$B:$B,"&lt;="&amp;$B170))</f>
        <v>102.07603914144867</v>
      </c>
      <c r="O170">
        <f>IF(COUNTIFS(monthly!G:G,"",monthly!$A:$A,"&gt;="&amp;$A170,monthly!$B:$B,"&lt;="&amp;$B170)&gt;0,"NA",AVERAGEIFS(monthly!G:G,monthly!$A:$A,"&gt;="&amp;$A170,monthly!$B:$B,"&lt;="&amp;$B170))</f>
        <v>141.80000000000001</v>
      </c>
      <c r="P170">
        <f>IF(COUNTIFS(monthly!H:H,"",monthly!$A:$A,"&gt;="&amp;$A170,monthly!$B:$B,"&lt;="&amp;$B170)&gt;0,"NA",AVERAGEIFS(monthly!H:H,monthly!$A:$A,"&gt;="&amp;$A170,monthly!$B:$B,"&lt;="&amp;$B170))</f>
        <v>113.66666666666667</v>
      </c>
      <c r="Q170">
        <f>IF(COUNTIFS(monthly!I:I,"",monthly!$A:$A,"&gt;="&amp;$A170,monthly!$B:$B,"&lt;="&amp;$B170)&gt;0,"NA",AVERAGEIFS(monthly!I:I,monthly!$A:$A,"&gt;="&amp;$A170,monthly!$B:$B,"&lt;="&amp;$B170))</f>
        <v>118.60000000000001</v>
      </c>
      <c r="R170">
        <f>IF(COUNTIFS(monthly!J:J,"",monthly!$A:$A,"&gt;="&amp;$A170,monthly!$B:$B,"&lt;="&amp;$B170)&gt;0,"NA",AVERAGEIFS(monthly!J:J,monthly!$A:$A,"&gt;="&amp;$A170,monthly!$B:$B,"&lt;="&amp;$B170))</f>
        <v>16.36</v>
      </c>
      <c r="S170">
        <f>IF(COUNTIFS(monthly!K:K,"",monthly!$A:$A,"&gt;="&amp;$A170,monthly!$B:$B,"&lt;="&amp;$B170)&gt;0,"NA",AVERAGEIFS(monthly!K:K,monthly!$A:$A,"&gt;="&amp;$A170,monthly!$B:$B,"&lt;="&amp;$B170))</f>
        <v>4.25</v>
      </c>
      <c r="T170">
        <f>IF(COUNTIFS(monthly!L:L,"",monthly!$A:$A,"&gt;="&amp;$A170,monthly!$B:$B,"&lt;="&amp;$B170)&gt;0,"NA",AVERAGEIFS(monthly!L:L,monthly!$A:$A,"&gt;="&amp;$A170,monthly!$B:$B,"&lt;="&amp;$B170))</f>
        <v>0.10416759362254358</v>
      </c>
      <c r="U170">
        <f>IF(COUNTIFS(monthly!M:M,"",monthly!$A:$A,"&gt;="&amp;$A170,monthly!$B:$B,"&lt;="&amp;$B170)&gt;0,"NA",AVERAGEIFS(monthly!M:M,monthly!$A:$A,"&gt;="&amp;$A170,monthly!$B:$B,"&lt;="&amp;$B170))</f>
        <v>4.1458324063774565</v>
      </c>
      <c r="V170">
        <f>IF(COUNTIFS(monthly!N:N,"",monthly!$A:$A,"&gt;="&amp;$A170,monthly!$B:$B,"&lt;="&amp;$B170)&gt;0,"NA",AVERAGEIFS(monthly!N:N,monthly!$A:$A,"&gt;="&amp;$A170,monthly!$B:$B,"&lt;="&amp;$B170))</f>
        <v>3.4833333333333329</v>
      </c>
      <c r="W170">
        <f>IF(COUNTIFS(monthly!O:O,"",monthly!$A:$A,"&gt;="&amp;$A170,monthly!$B:$B,"&lt;="&amp;$B170)&gt;0,"NA",AVERAGEIFS(monthly!O:O,monthly!$A:$A,"&gt;="&amp;$A170,monthly!$B:$B,"&lt;="&amp;$B170))</f>
        <v>0.28768181818181821</v>
      </c>
      <c r="X170">
        <f>IF(COUNTIFS(monthly!P:P,"",monthly!$A:$A,"&gt;="&amp;$A170,monthly!$B:$B,"&lt;="&amp;$B170)&gt;0,"NA",AVERAGEIFS(monthly!P:P,monthly!$A:$A,"&gt;="&amp;$A170,monthly!$B:$B,"&lt;="&amp;$B170))</f>
        <v>3.1956515151515155</v>
      </c>
      <c r="Y170">
        <f>IF(COUNTIFS(monthly!Q:Q,"",monthly!$A:$A,"&gt;="&amp;$A170,monthly!$B:$B,"&lt;="&amp;$B170)&gt;0,"NA",AVERAGEIFS(monthly!Q:Q,monthly!$A:$A,"&gt;="&amp;$A170,monthly!$B:$B,"&lt;="&amp;$B170))</f>
        <v>3.9716666666666671</v>
      </c>
      <c r="Z170">
        <f>IF(COUNTIFS(monthly!R:R,"",monthly!$A:$A,"&gt;="&amp;$A170,monthly!$B:$B,"&lt;="&amp;$B170)&gt;0,"NA",AVERAGEIFS(monthly!R:R,monthly!$A:$A,"&gt;="&amp;$A170,monthly!$B:$B,"&lt;="&amp;$B170))</f>
        <v>2.0355757575757569</v>
      </c>
      <c r="AA170">
        <f>IF(COUNTIFS(monthly!S:S,"",monthly!$A:$A,"&gt;="&amp;$A170,monthly!$B:$B,"&lt;="&amp;$B170)&gt;0,"NA",AVERAGEIFS(monthly!S:S,monthly!$A:$A,"&gt;="&amp;$A170,monthly!$B:$B,"&lt;="&amp;$B170))</f>
        <v>1.9360909090909095</v>
      </c>
      <c r="AB170">
        <f>IF(COUNTIFS(monthly!T:T,"",monthly!$A:$A,"&gt;="&amp;$A170,monthly!$B:$B,"&lt;="&amp;$B170)&gt;0,"NA",AVERAGEIFS(monthly!T:T,monthly!$A:$A,"&gt;="&amp;$A170,monthly!$B:$B,"&lt;="&amp;$B170))</f>
        <v>18.271924242424245</v>
      </c>
      <c r="AC170">
        <f>IF(COUNTIFS(monthly!U:U,"",monthly!$A:$A,"&gt;="&amp;$A170,monthly!$B:$B,"&lt;="&amp;$B170)&gt;0,"NA",AVERAGEIFS(monthly!U:U,monthly!$A:$A,"&gt;="&amp;$A170,monthly!$B:$B,"&lt;="&amp;$B170))</f>
        <v>141.44996560516972</v>
      </c>
      <c r="AD170">
        <f>IF(COUNTIFS(monthly!V:V,"",monthly!$A:$A,"&gt;="&amp;$A170,monthly!$B:$B,"&lt;="&amp;$B170)&gt;0,"NA",AVERAGEIFS(monthly!V:V,monthly!$A:$A,"&gt;="&amp;$A170,monthly!$B:$B,"&lt;="&amp;$B170))</f>
        <v>167.26565881347304</v>
      </c>
      <c r="AE170">
        <f>IF(COUNTIFS(monthly!W:W,"",monthly!$A:$A,"&gt;="&amp;$A170,monthly!$B:$B,"&lt;="&amp;$B170)&gt;0,"NA",AVERAGEIFS(monthly!W:W,monthly!$A:$A,"&gt;="&amp;$A170,monthly!$B:$B,"&lt;="&amp;$B170))</f>
        <v>86.946924845377609</v>
      </c>
      <c r="AF170">
        <f>IF(COUNTIFS(monthly!X:X,"",monthly!$A:$A,"&gt;="&amp;$A170,monthly!$B:$B,"&lt;="&amp;$B170)&gt;0,"NA",AVERAGEIFS(monthly!X:X,monthly!$A:$A,"&gt;="&amp;$A170,monthly!$B:$B,"&lt;="&amp;$B170))</f>
        <v>95.224525451660156</v>
      </c>
      <c r="AG170">
        <f>IF(COUNTIFS(monthly!Y:Y,"",monthly!$A:$A,"&gt;="&amp;$A170,monthly!$B:$B,"&lt;="&amp;$B170)&gt;0,"NA",AVERAGEIFS(monthly!Y:Y,monthly!$A:$A,"&gt;="&amp;$A170,monthly!$B:$B,"&lt;="&amp;$B170))</f>
        <v>75.508426666259766</v>
      </c>
      <c r="AH170">
        <f>IF(COUNTIFS(monthly!Z:Z,"",monthly!$A:$A,"&gt;="&amp;$A170,monthly!$B:$B,"&lt;="&amp;$B170)&gt;0,"NA",AVERAGEIFS(monthly!Z:Z,monthly!$A:$A,"&gt;="&amp;$A170,monthly!$B:$B,"&lt;="&amp;$B170))</f>
        <v>6.4499807854493454E-2</v>
      </c>
    </row>
    <row r="171" spans="1:34" x14ac:dyDescent="0.2">
      <c r="A171" s="1">
        <v>41000</v>
      </c>
      <c r="B171" s="1">
        <v>41090</v>
      </c>
      <c r="C171">
        <f>IF(ISBLANK(VLOOKUP($A171,quarterly_data,MATCH(C$1,quarterly!$1:$1,FALSE),FALSE)),"NA",VLOOKUP($A171,quarterly_data,MATCH(C$1,quarterly!$1:$1,FALSE),FALSE))</f>
        <v>159.85396332410525</v>
      </c>
      <c r="D171">
        <f>IF(ISBLANK(VLOOKUP($A171,quarterly_data,MATCH(D$1,quarterly!$1:$1,FALSE),FALSE)),"NA",VLOOKUP($A171,quarterly_data,MATCH(D$1,quarterly!$1:$1,FALSE),FALSE))</f>
        <v>94.8</v>
      </c>
      <c r="E171">
        <f>IF(ISBLANK(VLOOKUP($A171,quarterly_data,MATCH(E$1,quarterly!$1:$1,FALSE),FALSE)),"NA",VLOOKUP($A171,quarterly_data,MATCH(E$1,quarterly!$1:$1,FALSE),FALSE))</f>
        <v>0.27300029999999997</v>
      </c>
      <c r="F171">
        <f>IF(ISBLANK(VLOOKUP($A171,quarterly_data,MATCH(F$1,quarterly!$1:$1,FALSE),FALSE)),"NA",VLOOKUP($A171,quarterly_data,MATCH(F$1,quarterly!$1:$1,FALSE),FALSE))</f>
        <v>6.7433400000000004E-2</v>
      </c>
      <c r="G171">
        <f>IF(ISBLANK(VLOOKUP($A171,quarterly_data,MATCH(G$1,quarterly!$1:$1,FALSE),FALSE)),"NA",VLOOKUP($A171,quarterly_data,MATCH(G$1,quarterly!$1:$1,FALSE),FALSE))</f>
        <v>17444.525000000001</v>
      </c>
      <c r="H171">
        <f>IF(ISBLANK(VLOOKUP($A171,quarterly_data,MATCH(H$1,quarterly!$1:$1,FALSE),FALSE)),"NA",VLOOKUP($A171,quarterly_data,MATCH(H$1,quarterly!$1:$1,FALSE),FALSE))</f>
        <v>512069</v>
      </c>
      <c r="I171">
        <f>IF(ISBLANK(VLOOKUP($A171,quarterly_data,MATCH(I$1,quarterly!$1:$1,FALSE),FALSE)),"NA",VLOOKUP($A171,quarterly_data,MATCH(I$1,quarterly!$1:$1,FALSE),FALSE))</f>
        <v>0.5</v>
      </c>
      <c r="J171">
        <f>IF(ISBLANK(VLOOKUP($A171,quarterly_data,MATCH(J$1,quarterly!$1:$1,FALSE),FALSE)),"NA",VLOOKUP($A171,quarterly_data,MATCH(J$1,quarterly!$1:$1,FALSE),FALSE))</f>
        <v>69.739999999999995</v>
      </c>
      <c r="K171">
        <f>IF(COUNTIFS(monthly!C:C,"",monthly!$A:$A,"&gt;="&amp;$A171,monthly!$B:$B,"&lt;="&amp;$B171)&gt;0,"NA",AVERAGEIFS(monthly!C:C,monthly!$A:$A,"&gt;="&amp;$A171,monthly!$B:$B,"&lt;="&amp;$B171))</f>
        <v>75.7</v>
      </c>
      <c r="L171">
        <f>IF(COUNTIFS(monthly!D:D,"",monthly!$A:$A,"&gt;="&amp;$A171,monthly!$B:$B,"&lt;="&amp;$B171)&gt;0,"NA",AVERAGEIFS(monthly!D:D,monthly!$A:$A,"&gt;="&amp;$A171,monthly!$B:$B,"&lt;="&amp;$B171))</f>
        <v>1.0123666666666666</v>
      </c>
      <c r="M171">
        <f>IF(COUNTIFS(monthly!E:E,"",monthly!$A:$A,"&gt;="&amp;$A171,monthly!$B:$B,"&lt;="&amp;$B171)&gt;0,"NA",AVERAGEIFS(monthly!E:E,monthly!$A:$A,"&gt;="&amp;$A171,monthly!$B:$B,"&lt;="&amp;$B171))</f>
        <v>100.92780006187117</v>
      </c>
      <c r="N171">
        <f>IF(COUNTIFS(monthly!F:F,"",monthly!$A:$A,"&gt;="&amp;$A171,monthly!$B:$B,"&lt;="&amp;$B171)&gt;0,"NA",AVERAGEIFS(monthly!F:F,monthly!$A:$A,"&gt;="&amp;$A171,monthly!$B:$B,"&lt;="&amp;$B171))</f>
        <v>99.50486304524344</v>
      </c>
      <c r="O171">
        <f>IF(COUNTIFS(monthly!G:G,"",monthly!$A:$A,"&gt;="&amp;$A171,monthly!$B:$B,"&lt;="&amp;$B171)&gt;0,"NA",AVERAGEIFS(monthly!G:G,monthly!$A:$A,"&gt;="&amp;$A171,monthly!$B:$B,"&lt;="&amp;$B171))</f>
        <v>139.63333333333333</v>
      </c>
      <c r="P171">
        <f>IF(COUNTIFS(monthly!H:H,"",monthly!$A:$A,"&gt;="&amp;$A171,monthly!$B:$B,"&lt;="&amp;$B171)&gt;0,"NA",AVERAGEIFS(monthly!H:H,monthly!$A:$A,"&gt;="&amp;$A171,monthly!$B:$B,"&lt;="&amp;$B171))</f>
        <v>95.533333333333317</v>
      </c>
      <c r="Q171">
        <f>IF(COUNTIFS(monthly!I:I,"",monthly!$A:$A,"&gt;="&amp;$A171,monthly!$B:$B,"&lt;="&amp;$B171)&gt;0,"NA",AVERAGEIFS(monthly!I:I,monthly!$A:$A,"&gt;="&amp;$A171,monthly!$B:$B,"&lt;="&amp;$B171))</f>
        <v>108.86666666666667</v>
      </c>
      <c r="R171">
        <f>IF(COUNTIFS(monthly!J:J,"",monthly!$A:$A,"&gt;="&amp;$A171,monthly!$B:$B,"&lt;="&amp;$B171)&gt;0,"NA",AVERAGEIFS(monthly!J:J,monthly!$A:$A,"&gt;="&amp;$A171,monthly!$B:$B,"&lt;="&amp;$B171))</f>
        <v>17.056666666666668</v>
      </c>
      <c r="S171">
        <f>IF(COUNTIFS(monthly!K:K,"",monthly!$A:$A,"&gt;="&amp;$A171,monthly!$B:$B,"&lt;="&amp;$B171)&gt;0,"NA",AVERAGEIFS(monthly!K:K,monthly!$A:$A,"&gt;="&amp;$A171,monthly!$B:$B,"&lt;="&amp;$B171))</f>
        <v>3.8536666666666668</v>
      </c>
      <c r="T171">
        <f>IF(COUNTIFS(monthly!L:L,"",monthly!$A:$A,"&gt;="&amp;$A171,monthly!$B:$B,"&lt;="&amp;$B171)&gt;0,"NA",AVERAGEIFS(monthly!L:L,monthly!$A:$A,"&gt;="&amp;$A171,monthly!$B:$B,"&lt;="&amp;$B171))</f>
        <v>0.1522688172043011</v>
      </c>
      <c r="U171">
        <f>IF(COUNTIFS(monthly!M:M,"",monthly!$A:$A,"&gt;="&amp;$A171,monthly!$B:$B,"&lt;="&amp;$B171)&gt;0,"NA",AVERAGEIFS(monthly!M:M,monthly!$A:$A,"&gt;="&amp;$A171,monthly!$B:$B,"&lt;="&amp;$B171))</f>
        <v>3.7013978494623658</v>
      </c>
      <c r="V171">
        <f>IF(COUNTIFS(monthly!N:N,"",monthly!$A:$A,"&gt;="&amp;$A171,monthly!$B:$B,"&lt;="&amp;$B171)&gt;0,"NA",AVERAGEIFS(monthly!N:N,monthly!$A:$A,"&gt;="&amp;$A171,monthly!$B:$B,"&lt;="&amp;$B171))</f>
        <v>2.750833333333333</v>
      </c>
      <c r="W171">
        <f>IF(COUNTIFS(monthly!O:O,"",monthly!$A:$A,"&gt;="&amp;$A171,monthly!$B:$B,"&lt;="&amp;$B171)&gt;0,"NA",AVERAGEIFS(monthly!O:O,monthly!$A:$A,"&gt;="&amp;$A171,monthly!$B:$B,"&lt;="&amp;$B171))</f>
        <v>0.28960317460317453</v>
      </c>
      <c r="X171">
        <f>IF(COUNTIFS(monthly!P:P,"",monthly!$A:$A,"&gt;="&amp;$A171,monthly!$B:$B,"&lt;="&amp;$B171)&gt;0,"NA",AVERAGEIFS(monthly!P:P,monthly!$A:$A,"&gt;="&amp;$A171,monthly!$B:$B,"&lt;="&amp;$B171))</f>
        <v>2.4612301587301588</v>
      </c>
      <c r="Y171">
        <f>IF(COUNTIFS(monthly!Q:Q,"",monthly!$A:$A,"&gt;="&amp;$A171,monthly!$B:$B,"&lt;="&amp;$B171)&gt;0,"NA",AVERAGEIFS(monthly!Q:Q,monthly!$A:$A,"&gt;="&amp;$A171,monthly!$B:$B,"&lt;="&amp;$B171))</f>
        <v>3.3766666666666665</v>
      </c>
      <c r="Z171">
        <f>IF(COUNTIFS(monthly!R:R,"",monthly!$A:$A,"&gt;="&amp;$A171,monthly!$B:$B,"&lt;="&amp;$B171)&gt;0,"NA",AVERAGEIFS(monthly!R:R,monthly!$A:$A,"&gt;="&amp;$A171,monthly!$B:$B,"&lt;="&amp;$B171))</f>
        <v>1.8261399711399713</v>
      </c>
      <c r="AA171">
        <f>IF(COUNTIFS(monthly!S:S,"",monthly!$A:$A,"&gt;="&amp;$A171,monthly!$B:$B,"&lt;="&amp;$B171)&gt;0,"NA",AVERAGEIFS(monthly!S:S,monthly!$A:$A,"&gt;="&amp;$A171,monthly!$B:$B,"&lt;="&amp;$B171))</f>
        <v>1.5505266955266954</v>
      </c>
      <c r="AB171">
        <f>IF(COUNTIFS(monthly!T:T,"",monthly!$A:$A,"&gt;="&amp;$A171,monthly!$B:$B,"&lt;="&amp;$B171)&gt;0,"NA",AVERAGEIFS(monthly!T:T,monthly!$A:$A,"&gt;="&amp;$A171,monthly!$B:$B,"&lt;="&amp;$B171))</f>
        <v>19.985256854256857</v>
      </c>
      <c r="AC171">
        <f>IF(COUNTIFS(monthly!U:U,"",monthly!$A:$A,"&gt;="&amp;$A171,monthly!$B:$B,"&lt;="&amp;$B171)&gt;0,"NA",AVERAGEIFS(monthly!U:U,monthly!$A:$A,"&gt;="&amp;$A171,monthly!$B:$B,"&lt;="&amp;$B171))</f>
        <v>155.84561555839232</v>
      </c>
      <c r="AD171">
        <f>IF(COUNTIFS(monthly!V:V,"",monthly!$A:$A,"&gt;="&amp;$A171,monthly!$B:$B,"&lt;="&amp;$B171)&gt;0,"NA",AVERAGEIFS(monthly!V:V,monthly!$A:$A,"&gt;="&amp;$A171,monthly!$B:$B,"&lt;="&amp;$B171))</f>
        <v>202.78117582830782</v>
      </c>
      <c r="AE171">
        <f>IF(COUNTIFS(monthly!W:W,"",monthly!$A:$A,"&gt;="&amp;$A171,monthly!$B:$B,"&lt;="&amp;$B171)&gt;0,"NA",AVERAGEIFS(monthly!W:W,monthly!$A:$A,"&gt;="&amp;$A171,monthly!$B:$B,"&lt;="&amp;$B171))</f>
        <v>84.003425598144531</v>
      </c>
      <c r="AF171">
        <f>IF(COUNTIFS(monthly!X:X,"",monthly!$A:$A,"&gt;="&amp;$A171,monthly!$B:$B,"&lt;="&amp;$B171)&gt;0,"NA",AVERAGEIFS(monthly!X:X,monthly!$A:$A,"&gt;="&amp;$A171,monthly!$B:$B,"&lt;="&amp;$B171))</f>
        <v>84.262611389160156</v>
      </c>
      <c r="AG171">
        <f>IF(COUNTIFS(monthly!Y:Y,"",monthly!$A:$A,"&gt;="&amp;$A171,monthly!$B:$B,"&lt;="&amp;$B171)&gt;0,"NA",AVERAGEIFS(monthly!Y:Y,monthly!$A:$A,"&gt;="&amp;$A171,monthly!$B:$B,"&lt;="&amp;$B171))</f>
        <v>79.434216817220047</v>
      </c>
      <c r="AH171">
        <f>IF(COUNTIFS(monthly!Z:Z,"",monthly!$A:$A,"&gt;="&amp;$A171,monthly!$B:$B,"&lt;="&amp;$B171)&gt;0,"NA",AVERAGEIFS(monthly!Z:Z,monthly!$A:$A,"&gt;="&amp;$A171,monthly!$B:$B,"&lt;="&amp;$B171))</f>
        <v>7.077031210064888E-2</v>
      </c>
    </row>
    <row r="172" spans="1:34" x14ac:dyDescent="0.2">
      <c r="A172" s="1">
        <v>41091</v>
      </c>
      <c r="B172" s="1">
        <v>41182</v>
      </c>
      <c r="C172">
        <f>IF(ISBLANK(VLOOKUP($A172,quarterly_data,MATCH(C$1,quarterly!$1:$1,FALSE),FALSE)),"NA",VLOOKUP($A172,quarterly_data,MATCH(C$1,quarterly!$1:$1,FALSE),FALSE))</f>
        <v>164.90456220897414</v>
      </c>
      <c r="D172">
        <f>IF(ISBLANK(VLOOKUP($A172,quarterly_data,MATCH(D$1,quarterly!$1:$1,FALSE),FALSE)),"NA",VLOOKUP($A172,quarterly_data,MATCH(D$1,quarterly!$1:$1,FALSE),FALSE))</f>
        <v>90.5</v>
      </c>
      <c r="E172">
        <f>IF(ISBLANK(VLOOKUP($A172,quarterly_data,MATCH(E$1,quarterly!$1:$1,FALSE),FALSE)),"NA",VLOOKUP($A172,quarterly_data,MATCH(E$1,quarterly!$1:$1,FALSE),FALSE))</f>
        <v>7.9497600000000002E-2</v>
      </c>
      <c r="F172">
        <f>IF(ISBLANK(VLOOKUP($A172,quarterly_data,MATCH(F$1,quarterly!$1:$1,FALSE),FALSE)),"NA",VLOOKUP($A172,quarterly_data,MATCH(F$1,quarterly!$1:$1,FALSE),FALSE))</f>
        <v>4.6415499999999998E-2</v>
      </c>
      <c r="G172">
        <f>IF(ISBLANK(VLOOKUP($A172,quarterly_data,MATCH(G$1,quarterly!$1:$1,FALSE),FALSE)),"NA",VLOOKUP($A172,quarterly_data,MATCH(G$1,quarterly!$1:$1,FALSE),FALSE))</f>
        <v>17469.650000000001</v>
      </c>
      <c r="H172">
        <f>IF(ISBLANK(VLOOKUP($A172,quarterly_data,MATCH(H$1,quarterly!$1:$1,FALSE),FALSE)),"NA",VLOOKUP($A172,quarterly_data,MATCH(H$1,quarterly!$1:$1,FALSE),FALSE))</f>
        <v>515083</v>
      </c>
      <c r="I172">
        <f>IF(ISBLANK(VLOOKUP($A172,quarterly_data,MATCH(I$1,quarterly!$1:$1,FALSE),FALSE)),"NA",VLOOKUP($A172,quarterly_data,MATCH(I$1,quarterly!$1:$1,FALSE),FALSE))</f>
        <v>0.7</v>
      </c>
      <c r="J172">
        <f>IF(ISBLANK(VLOOKUP($A172,quarterly_data,MATCH(J$1,quarterly!$1:$1,FALSE),FALSE)),"NA",VLOOKUP($A172,quarterly_data,MATCH(J$1,quarterly!$1:$1,FALSE),FALSE))</f>
        <v>70.69</v>
      </c>
      <c r="K172">
        <f>IF(COUNTIFS(monthly!C:C,"",monthly!$A:$A,"&gt;="&amp;$A172,monthly!$B:$B,"&lt;="&amp;$B172)&gt;0,"NA",AVERAGEIFS(monthly!C:C,monthly!$A:$A,"&gt;="&amp;$A172,monthly!$B:$B,"&lt;="&amp;$B172))</f>
        <v>77.600000000000009</v>
      </c>
      <c r="L172">
        <f>IF(COUNTIFS(monthly!D:D,"",monthly!$A:$A,"&gt;="&amp;$A172,monthly!$B:$B,"&lt;="&amp;$B172)&gt;0,"NA",AVERAGEIFS(monthly!D:D,monthly!$A:$A,"&gt;="&amp;$A172,monthly!$B:$B,"&lt;="&amp;$B172))</f>
        <v>1.0430333333333335</v>
      </c>
      <c r="M172">
        <f>IF(COUNTIFS(monthly!E:E,"",monthly!$A:$A,"&gt;="&amp;$A172,monthly!$B:$B,"&lt;="&amp;$B172)&gt;0,"NA",AVERAGEIFS(monthly!E:E,monthly!$A:$A,"&gt;="&amp;$A172,monthly!$B:$B,"&lt;="&amp;$B172))</f>
        <v>95.25649354305466</v>
      </c>
      <c r="N172">
        <f>IF(COUNTIFS(monthly!F:F,"",monthly!$A:$A,"&gt;="&amp;$A172,monthly!$B:$B,"&lt;="&amp;$B172)&gt;0,"NA",AVERAGEIFS(monthly!F:F,monthly!$A:$A,"&gt;="&amp;$A172,monthly!$B:$B,"&lt;="&amp;$B172))</f>
        <v>90.410091444938828</v>
      </c>
      <c r="O172">
        <f>IF(COUNTIFS(monthly!G:G,"",monthly!$A:$A,"&gt;="&amp;$A172,monthly!$B:$B,"&lt;="&amp;$B172)&gt;0,"NA",AVERAGEIFS(monthly!G:G,monthly!$A:$A,"&gt;="&amp;$A172,monthly!$B:$B,"&lt;="&amp;$B172))</f>
        <v>111.63333333333333</v>
      </c>
      <c r="P172">
        <f>IF(COUNTIFS(monthly!H:H,"",monthly!$A:$A,"&gt;="&amp;$A172,monthly!$B:$B,"&lt;="&amp;$B172)&gt;0,"NA",AVERAGEIFS(monthly!H:H,monthly!$A:$A,"&gt;="&amp;$A172,monthly!$B:$B,"&lt;="&amp;$B172))</f>
        <v>89.399999999999991</v>
      </c>
      <c r="Q172">
        <f>IF(COUNTIFS(monthly!I:I,"",monthly!$A:$A,"&gt;="&amp;$A172,monthly!$B:$B,"&lt;="&amp;$B172)&gt;0,"NA",AVERAGEIFS(monthly!I:I,monthly!$A:$A,"&gt;="&amp;$A172,monthly!$B:$B,"&lt;="&amp;$B172))</f>
        <v>109.93333333333332</v>
      </c>
      <c r="R172">
        <f>IF(COUNTIFS(monthly!J:J,"",monthly!$A:$A,"&gt;="&amp;$A172,monthly!$B:$B,"&lt;="&amp;$B172)&gt;0,"NA",AVERAGEIFS(monthly!J:J,monthly!$A:$A,"&gt;="&amp;$A172,monthly!$B:$B,"&lt;="&amp;$B172))</f>
        <v>17.559999999999999</v>
      </c>
      <c r="S172">
        <f>IF(COUNTIFS(monthly!K:K,"",monthly!$A:$A,"&gt;="&amp;$A172,monthly!$B:$B,"&lt;="&amp;$B172)&gt;0,"NA",AVERAGEIFS(monthly!K:K,monthly!$A:$A,"&gt;="&amp;$A172,monthly!$B:$B,"&lt;="&amp;$B172))</f>
        <v>3.5</v>
      </c>
      <c r="T172">
        <f>IF(COUNTIFS(monthly!L:L,"",monthly!$A:$A,"&gt;="&amp;$A172,monthly!$B:$B,"&lt;="&amp;$B172)&gt;0,"NA",AVERAGEIFS(monthly!L:L,monthly!$A:$A,"&gt;="&amp;$A172,monthly!$B:$B,"&lt;="&amp;$B172))</f>
        <v>0.14434767025089601</v>
      </c>
      <c r="U172">
        <f>IF(COUNTIFS(monthly!M:M,"",monthly!$A:$A,"&gt;="&amp;$A172,monthly!$B:$B,"&lt;="&amp;$B172)&gt;0,"NA",AVERAGEIFS(monthly!M:M,monthly!$A:$A,"&gt;="&amp;$A172,monthly!$B:$B,"&lt;="&amp;$B172))</f>
        <v>3.3556523297491037</v>
      </c>
      <c r="V172">
        <f>IF(COUNTIFS(monthly!N:N,"",monthly!$A:$A,"&gt;="&amp;$A172,monthly!$B:$B,"&lt;="&amp;$B172)&gt;0,"NA",AVERAGEIFS(monthly!N:N,monthly!$A:$A,"&gt;="&amp;$A172,monthly!$B:$B,"&lt;="&amp;$B172))</f>
        <v>2.6616666666666666</v>
      </c>
      <c r="W172">
        <f>IF(COUNTIFS(monthly!O:O,"",monthly!$A:$A,"&gt;="&amp;$A172,monthly!$B:$B,"&lt;="&amp;$B172)&gt;0,"NA",AVERAGEIFS(monthly!O:O,monthly!$A:$A,"&gt;="&amp;$A172,monthly!$B:$B,"&lt;="&amp;$B172))</f>
        <v>0.25735134938796267</v>
      </c>
      <c r="X172">
        <f>IF(COUNTIFS(monthly!P:P,"",monthly!$A:$A,"&gt;="&amp;$A172,monthly!$B:$B,"&lt;="&amp;$B172)&gt;0,"NA",AVERAGEIFS(monthly!P:P,monthly!$A:$A,"&gt;="&amp;$A172,monthly!$B:$B,"&lt;="&amp;$B172))</f>
        <v>2.4043153172787037</v>
      </c>
      <c r="Y172">
        <f>IF(COUNTIFS(monthly!Q:Q,"",monthly!$A:$A,"&gt;="&amp;$A172,monthly!$B:$B,"&lt;="&amp;$B172)&gt;0,"NA",AVERAGEIFS(monthly!Q:Q,monthly!$A:$A,"&gt;="&amp;$A172,monthly!$B:$B,"&lt;="&amp;$B172))</f>
        <v>3.0558333333333336</v>
      </c>
      <c r="Z172">
        <f>IF(COUNTIFS(monthly!R:R,"",monthly!$A:$A,"&gt;="&amp;$A172,monthly!$B:$B,"&lt;="&amp;$B172)&gt;0,"NA",AVERAGEIFS(monthly!R:R,monthly!$A:$A,"&gt;="&amp;$A172,monthly!$B:$B,"&lt;="&amp;$B172))</f>
        <v>1.642695143656242</v>
      </c>
      <c r="AA172">
        <f>IF(COUNTIFS(monthly!S:S,"",monthly!$A:$A,"&gt;="&amp;$A172,monthly!$B:$B,"&lt;="&amp;$B172)&gt;0,"NA",AVERAGEIFS(monthly!S:S,monthly!$A:$A,"&gt;="&amp;$A172,monthly!$B:$B,"&lt;="&amp;$B172))</f>
        <v>1.4131381896770916</v>
      </c>
      <c r="AB172">
        <f>IF(COUNTIFS(monthly!T:T,"",monthly!$A:$A,"&gt;="&amp;$A172,monthly!$B:$B,"&lt;="&amp;$B172)&gt;0,"NA",AVERAGEIFS(monthly!T:T,monthly!$A:$A,"&gt;="&amp;$A172,monthly!$B:$B,"&lt;="&amp;$B172))</f>
        <v>16.179846718244889</v>
      </c>
      <c r="AC172">
        <f>IF(COUNTIFS(monthly!U:U,"",monthly!$A:$A,"&gt;="&amp;$A172,monthly!$B:$B,"&lt;="&amp;$B172)&gt;0,"NA",AVERAGEIFS(monthly!U:U,monthly!$A:$A,"&gt;="&amp;$A172,monthly!$B:$B,"&lt;="&amp;$B172))</f>
        <v>139.21928234878519</v>
      </c>
      <c r="AD172">
        <f>IF(COUNTIFS(monthly!V:V,"",monthly!$A:$A,"&gt;="&amp;$A172,monthly!$B:$B,"&lt;="&amp;$B172)&gt;0,"NA",AVERAGEIFS(monthly!V:V,monthly!$A:$A,"&gt;="&amp;$A172,monthly!$B:$B,"&lt;="&amp;$B172))</f>
        <v>133.31701359103823</v>
      </c>
      <c r="AE172">
        <f>IF(COUNTIFS(monthly!W:W,"",monthly!$A:$A,"&gt;="&amp;$A172,monthly!$B:$B,"&lt;="&amp;$B172)&gt;0,"NA",AVERAGEIFS(monthly!W:W,monthly!$A:$A,"&gt;="&amp;$A172,monthly!$B:$B,"&lt;="&amp;$B172))</f>
        <v>75.655629475911454</v>
      </c>
      <c r="AF172">
        <f>IF(COUNTIFS(monthly!X:X,"",monthly!$A:$A,"&gt;="&amp;$A172,monthly!$B:$B,"&lt;="&amp;$B172)&gt;0,"NA",AVERAGEIFS(monthly!X:X,monthly!$A:$A,"&gt;="&amp;$A172,monthly!$B:$B,"&lt;="&amp;$B172))</f>
        <v>72.909416198730469</v>
      </c>
      <c r="AG172">
        <f>IF(COUNTIFS(monthly!Y:Y,"",monthly!$A:$A,"&gt;="&amp;$A172,monthly!$B:$B,"&lt;="&amp;$B172)&gt;0,"NA",AVERAGEIFS(monthly!Y:Y,monthly!$A:$A,"&gt;="&amp;$A172,monthly!$B:$B,"&lt;="&amp;$B172))</f>
        <v>78.327893575032547</v>
      </c>
      <c r="AH172">
        <f>IF(COUNTIFS(monthly!Z:Z,"",monthly!$A:$A,"&gt;="&amp;$A172,monthly!$B:$B,"&lt;="&amp;$B172)&gt;0,"NA",AVERAGEIFS(monthly!Z:Z,monthly!$A:$A,"&gt;="&amp;$A172,monthly!$B:$B,"&lt;="&amp;$B172))</f>
        <v>5.59669037659963E-2</v>
      </c>
    </row>
    <row r="173" spans="1:34" x14ac:dyDescent="0.2">
      <c r="A173" s="1">
        <v>41183</v>
      </c>
      <c r="B173" s="1">
        <v>41273</v>
      </c>
      <c r="C173">
        <f>IF(ISBLANK(VLOOKUP($A173,quarterly_data,MATCH(C$1,quarterly!$1:$1,FALSE),FALSE)),"NA",VLOOKUP($A173,quarterly_data,MATCH(C$1,quarterly!$1:$1,FALSE),FALSE))</f>
        <v>163.24195724244117</v>
      </c>
      <c r="D173">
        <f>IF(ISBLANK(VLOOKUP($A173,quarterly_data,MATCH(D$1,quarterly!$1:$1,FALSE),FALSE)),"NA",VLOOKUP($A173,quarterly_data,MATCH(D$1,quarterly!$1:$1,FALSE),FALSE))</f>
        <v>89.2</v>
      </c>
      <c r="E173">
        <f>IF(ISBLANK(VLOOKUP($A173,quarterly_data,MATCH(E$1,quarterly!$1:$1,FALSE),FALSE)),"NA",VLOOKUP($A173,quarterly_data,MATCH(E$1,quarterly!$1:$1,FALSE),FALSE))</f>
        <v>8.0651700000000007E-2</v>
      </c>
      <c r="F173">
        <f>IF(ISBLANK(VLOOKUP($A173,quarterly_data,MATCH(F$1,quarterly!$1:$1,FALSE),FALSE)),"NA",VLOOKUP($A173,quarterly_data,MATCH(F$1,quarterly!$1:$1,FALSE),FALSE))</f>
        <v>3.3180099999999997E-2</v>
      </c>
      <c r="G173">
        <f>IF(ISBLANK(VLOOKUP($A173,quarterly_data,MATCH(G$1,quarterly!$1:$1,FALSE),FALSE)),"NA",VLOOKUP($A173,quarterly_data,MATCH(G$1,quarterly!$1:$1,FALSE),FALSE))</f>
        <v>17489.851999999999</v>
      </c>
      <c r="H173">
        <f>IF(ISBLANK(VLOOKUP($A173,quarterly_data,MATCH(H$1,quarterly!$1:$1,FALSE),FALSE)),"NA",VLOOKUP($A173,quarterly_data,MATCH(H$1,quarterly!$1:$1,FALSE),FALSE))</f>
        <v>517341</v>
      </c>
      <c r="I173">
        <f>IF(ISBLANK(VLOOKUP($A173,quarterly_data,MATCH(I$1,quarterly!$1:$1,FALSE),FALSE)),"NA",VLOOKUP($A173,quarterly_data,MATCH(I$1,quarterly!$1:$1,FALSE),FALSE))</f>
        <v>0.5</v>
      </c>
      <c r="J173">
        <f>IF(ISBLANK(VLOOKUP($A173,quarterly_data,MATCH(J$1,quarterly!$1:$1,FALSE),FALSE)),"NA",VLOOKUP($A173,quarterly_data,MATCH(J$1,quarterly!$1:$1,FALSE),FALSE))</f>
        <v>70.87</v>
      </c>
      <c r="K173">
        <f>IF(COUNTIFS(monthly!C:C,"",monthly!$A:$A,"&gt;="&amp;$A173,monthly!$B:$B,"&lt;="&amp;$B173)&gt;0,"NA",AVERAGEIFS(monthly!C:C,monthly!$A:$A,"&gt;="&amp;$A173,monthly!$B:$B,"&lt;="&amp;$B173))</f>
        <v>76.849999999999994</v>
      </c>
      <c r="L173">
        <f>IF(COUNTIFS(monthly!D:D,"",monthly!$A:$A,"&gt;="&amp;$A173,monthly!$B:$B,"&lt;="&amp;$B173)&gt;0,"NA",AVERAGEIFS(monthly!D:D,monthly!$A:$A,"&gt;="&amp;$A173,monthly!$B:$B,"&lt;="&amp;$B173))</f>
        <v>1.0404499999999999</v>
      </c>
      <c r="M173">
        <f>IF(COUNTIFS(monthly!E:E,"",monthly!$A:$A,"&gt;="&amp;$A173,monthly!$B:$B,"&lt;="&amp;$B173)&gt;0,"NA",AVERAGEIFS(monthly!E:E,monthly!$A:$A,"&gt;="&amp;$A173,monthly!$B:$B,"&lt;="&amp;$B173))</f>
        <v>87.884223703240309</v>
      </c>
      <c r="N173">
        <f>IF(COUNTIFS(monthly!F:F,"",monthly!$A:$A,"&gt;="&amp;$A173,monthly!$B:$B,"&lt;="&amp;$B173)&gt;0,"NA",AVERAGEIFS(monthly!F:F,monthly!$A:$A,"&gt;="&amp;$A173,monthly!$B:$B,"&lt;="&amp;$B173))</f>
        <v>87.255146603661146</v>
      </c>
      <c r="O173">
        <f>IF(COUNTIFS(monthly!G:G,"",monthly!$A:$A,"&gt;="&amp;$A173,monthly!$B:$B,"&lt;="&amp;$B173)&gt;0,"NA",AVERAGEIFS(monthly!G:G,monthly!$A:$A,"&gt;="&amp;$A173,monthly!$B:$B,"&lt;="&amp;$B173))</f>
        <v>117.2</v>
      </c>
      <c r="P173">
        <f>IF(COUNTIFS(monthly!H:H,"",monthly!$A:$A,"&gt;="&amp;$A173,monthly!$B:$B,"&lt;="&amp;$B173)&gt;0,"NA",AVERAGEIFS(monthly!H:H,monthly!$A:$A,"&gt;="&amp;$A173,monthly!$B:$B,"&lt;="&amp;$B173))</f>
        <v>83.9</v>
      </c>
      <c r="Q173">
        <f>IF(COUNTIFS(monthly!I:I,"",monthly!$A:$A,"&gt;="&amp;$A173,monthly!$B:$B,"&lt;="&amp;$B173)&gt;0,"NA",AVERAGEIFS(monthly!I:I,monthly!$A:$A,"&gt;="&amp;$A173,monthly!$B:$B,"&lt;="&amp;$B173))</f>
        <v>110.85</v>
      </c>
      <c r="R173">
        <f>IF(COUNTIFS(monthly!J:J,"",monthly!$A:$A,"&gt;="&amp;$A173,monthly!$B:$B,"&lt;="&amp;$B173)&gt;0,"NA",AVERAGEIFS(monthly!J:J,monthly!$A:$A,"&gt;="&amp;$A173,monthly!$B:$B,"&lt;="&amp;$B173))</f>
        <v>15.15</v>
      </c>
      <c r="S173">
        <f>IF(COUNTIFS(monthly!K:K,"",monthly!$A:$A,"&gt;="&amp;$A173,monthly!$B:$B,"&lt;="&amp;$B173)&gt;0,"NA",AVERAGEIFS(monthly!K:K,monthly!$A:$A,"&gt;="&amp;$A173,monthly!$B:$B,"&lt;="&amp;$B173))</f>
        <v>3.2614999999999998</v>
      </c>
      <c r="T173">
        <f>IF(COUNTIFS(monthly!L:L,"",monthly!$A:$A,"&gt;="&amp;$A173,monthly!$B:$B,"&lt;="&amp;$B173)&gt;0,"NA",AVERAGEIFS(monthly!L:L,monthly!$A:$A,"&gt;="&amp;$A173,monthly!$B:$B,"&lt;="&amp;$B173))</f>
        <v>0.15952688172043014</v>
      </c>
      <c r="U173">
        <f>IF(COUNTIFS(monthly!M:M,"",monthly!$A:$A,"&gt;="&amp;$A173,monthly!$B:$B,"&lt;="&amp;$B173)&gt;0,"NA",AVERAGEIFS(monthly!M:M,monthly!$A:$A,"&gt;="&amp;$A173,monthly!$B:$B,"&lt;="&amp;$B173))</f>
        <v>3.1019731182795702</v>
      </c>
      <c r="V173">
        <f>IF(COUNTIFS(monthly!N:N,"",monthly!$A:$A,"&gt;="&amp;$A173,monthly!$B:$B,"&lt;="&amp;$B173)&gt;0,"NA",AVERAGEIFS(monthly!N:N,monthly!$A:$A,"&gt;="&amp;$A173,monthly!$B:$B,"&lt;="&amp;$B173))</f>
        <v>2.5887500000000001</v>
      </c>
      <c r="W173">
        <f>IF(COUNTIFS(monthly!O:O,"",monthly!$A:$A,"&gt;="&amp;$A173,monthly!$B:$B,"&lt;="&amp;$B173)&gt;0,"NA",AVERAGEIFS(monthly!O:O,monthly!$A:$A,"&gt;="&amp;$A173,monthly!$B:$B,"&lt;="&amp;$B173))</f>
        <v>0.27257142857142852</v>
      </c>
      <c r="X173">
        <f>IF(COUNTIFS(monthly!P:P,"",monthly!$A:$A,"&gt;="&amp;$A173,monthly!$B:$B,"&lt;="&amp;$B173)&gt;0,"NA",AVERAGEIFS(monthly!P:P,monthly!$A:$A,"&gt;="&amp;$A173,monthly!$B:$B,"&lt;="&amp;$B173))</f>
        <v>2.3161785714285719</v>
      </c>
      <c r="Y173">
        <f>IF(COUNTIFS(monthly!Q:Q,"",monthly!$A:$A,"&gt;="&amp;$A173,monthly!$B:$B,"&lt;="&amp;$B173)&gt;0,"NA",AVERAGEIFS(monthly!Q:Q,monthly!$A:$A,"&gt;="&amp;$A173,monthly!$B:$B,"&lt;="&amp;$B173))</f>
        <v>3.0549999999999997</v>
      </c>
      <c r="Z173">
        <f>IF(COUNTIFS(monthly!R:R,"",monthly!$A:$A,"&gt;="&amp;$A173,monthly!$B:$B,"&lt;="&amp;$B173)&gt;0,"NA",AVERAGEIFS(monthly!R:R,monthly!$A:$A,"&gt;="&amp;$A173,monthly!$B:$B,"&lt;="&amp;$B173))</f>
        <v>1.7000952380952379</v>
      </c>
      <c r="AA173">
        <f>IF(COUNTIFS(monthly!S:S,"",monthly!$A:$A,"&gt;="&amp;$A173,monthly!$B:$B,"&lt;="&amp;$B173)&gt;0,"NA",AVERAGEIFS(monthly!S:S,monthly!$A:$A,"&gt;="&amp;$A173,monthly!$B:$B,"&lt;="&amp;$B173))</f>
        <v>1.3549047619047621</v>
      </c>
      <c r="AB173">
        <f>IF(COUNTIFS(monthly!T:T,"",monthly!$A:$A,"&gt;="&amp;$A173,monthly!$B:$B,"&lt;="&amp;$B173)&gt;0,"NA",AVERAGEIFS(monthly!T:T,monthly!$A:$A,"&gt;="&amp;$A173,monthly!$B:$B,"&lt;="&amp;$B173))</f>
        <v>16.489047619047621</v>
      </c>
      <c r="AC173">
        <f>IF(COUNTIFS(monthly!U:U,"",monthly!$A:$A,"&gt;="&amp;$A173,monthly!$B:$B,"&lt;="&amp;$B173)&gt;0,"NA",AVERAGEIFS(monthly!U:U,monthly!$A:$A,"&gt;="&amp;$A173,monthly!$B:$B,"&lt;="&amp;$B173))</f>
        <v>156.48005812973136</v>
      </c>
      <c r="AD173">
        <f>IF(COUNTIFS(monthly!V:V,"",monthly!$A:$A,"&gt;="&amp;$A173,monthly!$B:$B,"&lt;="&amp;$B173)&gt;0,"NA",AVERAGEIFS(monthly!V:V,monthly!$A:$A,"&gt;="&amp;$A173,monthly!$B:$B,"&lt;="&amp;$B173))</f>
        <v>147.32550630152423</v>
      </c>
      <c r="AE173">
        <f>IF(COUNTIFS(monthly!W:W,"",monthly!$A:$A,"&gt;="&amp;$A173,monthly!$B:$B,"&lt;="&amp;$B173)&gt;0,"NA",AVERAGEIFS(monthly!W:W,monthly!$A:$A,"&gt;="&amp;$A173,monthly!$B:$B,"&lt;="&amp;$B173))</f>
        <v>81.526653289794922</v>
      </c>
      <c r="AF173">
        <f>IF(COUNTIFS(monthly!X:X,"",monthly!$A:$A,"&gt;="&amp;$A173,monthly!$B:$B,"&lt;="&amp;$B173)&gt;0,"NA",AVERAGEIFS(monthly!X:X,monthly!$A:$A,"&gt;="&amp;$A173,monthly!$B:$B,"&lt;="&amp;$B173))</f>
        <v>74.932235717773438</v>
      </c>
      <c r="AG173">
        <f>IF(COUNTIFS(monthly!Y:Y,"",monthly!$A:$A,"&gt;="&amp;$A173,monthly!$B:$B,"&lt;="&amp;$B173)&gt;0,"NA",AVERAGEIFS(monthly!Y:Y,monthly!$A:$A,"&gt;="&amp;$A173,monthly!$B:$B,"&lt;="&amp;$B173))</f>
        <v>88.539657592773438</v>
      </c>
      <c r="AH173">
        <f>IF(COUNTIFS(monthly!Z:Z,"",monthly!$A:$A,"&gt;="&amp;$A173,monthly!$B:$B,"&lt;="&amp;$B173)&gt;0,"NA",AVERAGEIFS(monthly!Z:Z,monthly!$A:$A,"&gt;="&amp;$A173,monthly!$B:$B,"&lt;="&amp;$B173))</f>
        <v>6.3336797058582306E-2</v>
      </c>
    </row>
    <row r="174" spans="1:34" x14ac:dyDescent="0.2">
      <c r="A174" s="1">
        <v>41275</v>
      </c>
      <c r="B174" s="1">
        <v>41363</v>
      </c>
      <c r="C174">
        <f>IF(ISBLANK(VLOOKUP($A174,quarterly_data,MATCH(C$1,quarterly!$1:$1,FALSE),FALSE)),"NA",VLOOKUP($A174,quarterly_data,MATCH(C$1,quarterly!$1:$1,FALSE),FALSE))</f>
        <v>166.06450921775561</v>
      </c>
      <c r="D174">
        <f>IF(ISBLANK(VLOOKUP($A174,quarterly_data,MATCH(D$1,quarterly!$1:$1,FALSE),FALSE)),"NA",VLOOKUP($A174,quarterly_data,MATCH(D$1,quarterly!$1:$1,FALSE),FALSE))</f>
        <v>90</v>
      </c>
      <c r="E174">
        <f>IF(ISBLANK(VLOOKUP($A174,quarterly_data,MATCH(E$1,quarterly!$1:$1,FALSE),FALSE)),"NA",VLOOKUP($A174,quarterly_data,MATCH(E$1,quarterly!$1:$1,FALSE),FALSE))</f>
        <v>6.5406500000000006E-2</v>
      </c>
      <c r="F174">
        <f>IF(ISBLANK(VLOOKUP($A174,quarterly_data,MATCH(F$1,quarterly!$1:$1,FALSE),FALSE)),"NA",VLOOKUP($A174,quarterly_data,MATCH(F$1,quarterly!$1:$1,FALSE),FALSE))</f>
        <v>2.3796399999999999E-2</v>
      </c>
      <c r="G174">
        <f>IF(ISBLANK(VLOOKUP($A174,quarterly_data,MATCH(G$1,quarterly!$1:$1,FALSE),FALSE)),"NA",VLOOKUP($A174,quarterly_data,MATCH(G$1,quarterly!$1:$1,FALSE),FALSE))</f>
        <v>17662.400000000001</v>
      </c>
      <c r="H174">
        <f>IF(ISBLANK(VLOOKUP($A174,quarterly_data,MATCH(H$1,quarterly!$1:$1,FALSE),FALSE)),"NA",VLOOKUP($A174,quarterly_data,MATCH(H$1,quarterly!$1:$1,FALSE),FALSE))</f>
        <v>520159</v>
      </c>
      <c r="I174">
        <f>IF(ISBLANK(VLOOKUP($A174,quarterly_data,MATCH(I$1,quarterly!$1:$1,FALSE),FALSE)),"NA",VLOOKUP($A174,quarterly_data,MATCH(I$1,quarterly!$1:$1,FALSE),FALSE))</f>
        <v>0.5</v>
      </c>
      <c r="J174">
        <f>IF(ISBLANK(VLOOKUP($A174,quarterly_data,MATCH(J$1,quarterly!$1:$1,FALSE),FALSE)),"NA",VLOOKUP($A174,quarterly_data,MATCH(J$1,quarterly!$1:$1,FALSE),FALSE))</f>
        <v>71.11</v>
      </c>
      <c r="K174">
        <f>IF(COUNTIFS(monthly!C:C,"",monthly!$A:$A,"&gt;="&amp;$A174,monthly!$B:$B,"&lt;="&amp;$B174)&gt;0,"NA",AVERAGEIFS(monthly!C:C,monthly!$A:$A,"&gt;="&amp;$A174,monthly!$B:$B,"&lt;="&amp;$B174))</f>
        <v>78.066666666666677</v>
      </c>
      <c r="L174">
        <f>IF(COUNTIFS(monthly!D:D,"",monthly!$A:$A,"&gt;="&amp;$A174,monthly!$B:$B,"&lt;="&amp;$B174)&gt;0,"NA",AVERAGEIFS(monthly!D:D,monthly!$A:$A,"&gt;="&amp;$A174,monthly!$B:$B,"&lt;="&amp;$B174))</f>
        <v>1.0365000000000002</v>
      </c>
      <c r="M174">
        <f>IF(COUNTIFS(monthly!E:E,"",monthly!$A:$A,"&gt;="&amp;$A174,monthly!$B:$B,"&lt;="&amp;$B174)&gt;0,"NA",AVERAGEIFS(monthly!E:E,monthly!$A:$A,"&gt;="&amp;$A174,monthly!$B:$B,"&lt;="&amp;$B174))</f>
        <v>95.624589523616763</v>
      </c>
      <c r="N174">
        <f>IF(COUNTIFS(monthly!F:F,"",monthly!$A:$A,"&gt;="&amp;$A174,monthly!$B:$B,"&lt;="&amp;$B174)&gt;0,"NA",AVERAGEIFS(monthly!F:F,monthly!$A:$A,"&gt;="&amp;$A174,monthly!$B:$B,"&lt;="&amp;$B174))</f>
        <v>98.805042745127025</v>
      </c>
      <c r="O174">
        <f>IF(COUNTIFS(monthly!G:G,"",monthly!$A:$A,"&gt;="&amp;$A174,monthly!$B:$B,"&lt;="&amp;$B174)&gt;0,"NA",AVERAGEIFS(monthly!G:G,monthly!$A:$A,"&gt;="&amp;$A174,monthly!$B:$B,"&lt;="&amp;$B174))</f>
        <v>148.33333333333334</v>
      </c>
      <c r="P174">
        <f>IF(COUNTIFS(monthly!H:H,"",monthly!$A:$A,"&gt;="&amp;$A174,monthly!$B:$B,"&lt;="&amp;$B174)&gt;0,"NA",AVERAGEIFS(monthly!H:H,monthly!$A:$A,"&gt;="&amp;$A174,monthly!$B:$B,"&lt;="&amp;$B174))</f>
        <v>92.899999999999991</v>
      </c>
      <c r="Q174">
        <f>IF(COUNTIFS(monthly!I:I,"",monthly!$A:$A,"&gt;="&amp;$A174,monthly!$B:$B,"&lt;="&amp;$B174)&gt;0,"NA",AVERAGEIFS(monthly!I:I,monthly!$A:$A,"&gt;="&amp;$A174,monthly!$B:$B,"&lt;="&amp;$B174))</f>
        <v>112.89999999999999</v>
      </c>
      <c r="R174">
        <f>IF(COUNTIFS(monthly!J:J,"",monthly!$A:$A,"&gt;="&amp;$A174,monthly!$B:$B,"&lt;="&amp;$B174)&gt;0,"NA",AVERAGEIFS(monthly!J:J,monthly!$A:$A,"&gt;="&amp;$A174,monthly!$B:$B,"&lt;="&amp;$B174))</f>
        <v>16.209999999999997</v>
      </c>
      <c r="S174">
        <f>IF(COUNTIFS(monthly!K:K,"",monthly!$A:$A,"&gt;="&amp;$A174,monthly!$B:$B,"&lt;="&amp;$B174)&gt;0,"NA",AVERAGEIFS(monthly!K:K,monthly!$A:$A,"&gt;="&amp;$A174,monthly!$B:$B,"&lt;="&amp;$B174))</f>
        <v>3</v>
      </c>
      <c r="T174">
        <f>IF(COUNTIFS(monthly!L:L,"",monthly!$A:$A,"&gt;="&amp;$A174,monthly!$B:$B,"&lt;="&amp;$B174)&gt;0,"NA",AVERAGEIFS(monthly!L:L,monthly!$A:$A,"&gt;="&amp;$A174,monthly!$B:$B,"&lt;="&amp;$B174))</f>
        <v>0.14370967741935489</v>
      </c>
      <c r="U174">
        <f>IF(COUNTIFS(monthly!M:M,"",monthly!$A:$A,"&gt;="&amp;$A174,monthly!$B:$B,"&lt;="&amp;$B174)&gt;0,"NA",AVERAGEIFS(monthly!M:M,monthly!$A:$A,"&gt;="&amp;$A174,monthly!$B:$B,"&lt;="&amp;$B174))</f>
        <v>2.8562903225806457</v>
      </c>
      <c r="V174">
        <f>IF(COUNTIFS(monthly!N:N,"",monthly!$A:$A,"&gt;="&amp;$A174,monthly!$B:$B,"&lt;="&amp;$B174)&gt;0,"NA",AVERAGEIFS(monthly!N:N,monthly!$A:$A,"&gt;="&amp;$A174,monthly!$B:$B,"&lt;="&amp;$B174))</f>
        <v>2.7983333333333333</v>
      </c>
      <c r="W174">
        <f>IF(COUNTIFS(monthly!O:O,"",monthly!$A:$A,"&gt;="&amp;$A174,monthly!$B:$B,"&lt;="&amp;$B174)&gt;0,"NA",AVERAGEIFS(monthly!O:O,monthly!$A:$A,"&gt;="&amp;$A174,monthly!$B:$B,"&lt;="&amp;$B174))</f>
        <v>0.26286883876357559</v>
      </c>
      <c r="X174">
        <f>IF(COUNTIFS(monthly!P:P,"",monthly!$A:$A,"&gt;="&amp;$A174,monthly!$B:$B,"&lt;="&amp;$B174)&gt;0,"NA",AVERAGEIFS(monthly!P:P,monthly!$A:$A,"&gt;="&amp;$A174,monthly!$B:$B,"&lt;="&amp;$B174))</f>
        <v>2.5354644945697578</v>
      </c>
      <c r="Y174">
        <f>IF(COUNTIFS(monthly!Q:Q,"",monthly!$A:$A,"&gt;="&amp;$A174,monthly!$B:$B,"&lt;="&amp;$B174)&gt;0,"NA",AVERAGEIFS(monthly!Q:Q,monthly!$A:$A,"&gt;="&amp;$A174,monthly!$B:$B,"&lt;="&amp;$B174))</f>
        <v>3.4691666666666663</v>
      </c>
      <c r="Z174">
        <f>IF(COUNTIFS(monthly!R:R,"",monthly!$A:$A,"&gt;="&amp;$A174,monthly!$B:$B,"&lt;="&amp;$B174)&gt;0,"NA",AVERAGEIFS(monthly!R:R,monthly!$A:$A,"&gt;="&amp;$A174,monthly!$B:$B,"&lt;="&amp;$B174))</f>
        <v>1.9521574770258983</v>
      </c>
      <c r="AA174">
        <f>IF(COUNTIFS(monthly!S:S,"",monthly!$A:$A,"&gt;="&amp;$A174,monthly!$B:$B,"&lt;="&amp;$B174)&gt;0,"NA",AVERAGEIFS(monthly!S:S,monthly!$A:$A,"&gt;="&amp;$A174,monthly!$B:$B,"&lt;="&amp;$B174))</f>
        <v>1.5170091896407687</v>
      </c>
      <c r="AB174">
        <f>IF(COUNTIFS(monthly!T:T,"",monthly!$A:$A,"&gt;="&amp;$A174,monthly!$B:$B,"&lt;="&amp;$B174)&gt;0,"NA",AVERAGEIFS(monthly!T:T,monthly!$A:$A,"&gt;="&amp;$A174,monthly!$B:$B,"&lt;="&amp;$B174))</f>
        <v>13.536456558061822</v>
      </c>
      <c r="AC174">
        <f>IF(COUNTIFS(monthly!U:U,"",monthly!$A:$A,"&gt;="&amp;$A174,monthly!$B:$B,"&lt;="&amp;$B174)&gt;0,"NA",AVERAGEIFS(monthly!U:U,monthly!$A:$A,"&gt;="&amp;$A174,monthly!$B:$B,"&lt;="&amp;$B174))</f>
        <v>143.05882104622134</v>
      </c>
      <c r="AD174">
        <f>IF(COUNTIFS(monthly!V:V,"",monthly!$A:$A,"&gt;="&amp;$A174,monthly!$B:$B,"&lt;="&amp;$B174)&gt;0,"NA",AVERAGEIFS(monthly!V:V,monthly!$A:$A,"&gt;="&amp;$A174,monthly!$B:$B,"&lt;="&amp;$B174))</f>
        <v>96.955526699647933</v>
      </c>
      <c r="AE174">
        <f>IF(COUNTIFS(monthly!W:W,"",monthly!$A:$A,"&gt;="&amp;$A174,monthly!$B:$B,"&lt;="&amp;$B174)&gt;0,"NA",AVERAGEIFS(monthly!W:W,monthly!$A:$A,"&gt;="&amp;$A174,monthly!$B:$B,"&lt;="&amp;$B174))</f>
        <v>82.714848836263016</v>
      </c>
      <c r="AF174">
        <f>IF(COUNTIFS(monthly!X:X,"",monthly!$A:$A,"&gt;="&amp;$A174,monthly!$B:$B,"&lt;="&amp;$B174)&gt;0,"NA",AVERAGEIFS(monthly!X:X,monthly!$A:$A,"&gt;="&amp;$A174,monthly!$B:$B,"&lt;="&amp;$B174))</f>
        <v>81.212320963541671</v>
      </c>
      <c r="AG174">
        <f>IF(COUNTIFS(monthly!Y:Y,"",monthly!$A:$A,"&gt;="&amp;$A174,monthly!$B:$B,"&lt;="&amp;$B174)&gt;0,"NA",AVERAGEIFS(monthly!Y:Y,monthly!$A:$A,"&gt;="&amp;$A174,monthly!$B:$B,"&lt;="&amp;$B174))</f>
        <v>88.001434326171875</v>
      </c>
      <c r="AH174">
        <f>IF(COUNTIFS(monthly!Z:Z,"",monthly!$A:$A,"&gt;="&amp;$A174,monthly!$B:$B,"&lt;="&amp;$B174)&gt;0,"NA",AVERAGEIFS(monthly!Z:Z,monthly!$A:$A,"&gt;="&amp;$A174,monthly!$B:$B,"&lt;="&amp;$B174))</f>
        <v>5.3181326637665428E-2</v>
      </c>
    </row>
    <row r="175" spans="1:34" x14ac:dyDescent="0.2">
      <c r="A175" s="1">
        <v>41365</v>
      </c>
      <c r="B175" s="1">
        <v>41455</v>
      </c>
      <c r="C175">
        <f>IF(ISBLANK(VLOOKUP($A175,quarterly_data,MATCH(C$1,quarterly!$1:$1,FALSE),FALSE)),"NA",VLOOKUP($A175,quarterly_data,MATCH(C$1,quarterly!$1:$1,FALSE),FALSE))</f>
        <v>161.40990038241117</v>
      </c>
      <c r="D175">
        <f>IF(ISBLANK(VLOOKUP($A175,quarterly_data,MATCH(D$1,quarterly!$1:$1,FALSE),FALSE)),"NA",VLOOKUP($A175,quarterly_data,MATCH(D$1,quarterly!$1:$1,FALSE),FALSE))</f>
        <v>89.8</v>
      </c>
      <c r="E175">
        <f>IF(ISBLANK(VLOOKUP($A175,quarterly_data,MATCH(E$1,quarterly!$1:$1,FALSE),FALSE)),"NA",VLOOKUP($A175,quarterly_data,MATCH(E$1,quarterly!$1:$1,FALSE),FALSE))</f>
        <v>7.3975399999999997E-2</v>
      </c>
      <c r="F175">
        <f>IF(ISBLANK(VLOOKUP($A175,quarterly_data,MATCH(F$1,quarterly!$1:$1,FALSE),FALSE)),"NA",VLOOKUP($A175,quarterly_data,MATCH(F$1,quarterly!$1:$1,FALSE),FALSE))</f>
        <v>2.40241E-2</v>
      </c>
      <c r="G175">
        <f>IF(ISBLANK(VLOOKUP($A175,quarterly_data,MATCH(G$1,quarterly!$1:$1,FALSE),FALSE)),"NA",VLOOKUP($A175,quarterly_data,MATCH(G$1,quarterly!$1:$1,FALSE),FALSE))</f>
        <v>17709.670999999998</v>
      </c>
      <c r="H175">
        <f>IF(ISBLANK(VLOOKUP($A175,quarterly_data,MATCH(H$1,quarterly!$1:$1,FALSE),FALSE)),"NA",VLOOKUP($A175,quarterly_data,MATCH(H$1,quarterly!$1:$1,FALSE),FALSE))</f>
        <v>522083</v>
      </c>
      <c r="I175">
        <f>IF(ISBLANK(VLOOKUP($A175,quarterly_data,MATCH(I$1,quarterly!$1:$1,FALSE),FALSE)),"NA",VLOOKUP($A175,quarterly_data,MATCH(I$1,quarterly!$1:$1,FALSE),FALSE))</f>
        <v>0.6</v>
      </c>
      <c r="J175">
        <f>IF(ISBLANK(VLOOKUP($A175,quarterly_data,MATCH(J$1,quarterly!$1:$1,FALSE),FALSE)),"NA",VLOOKUP($A175,quarterly_data,MATCH(J$1,quarterly!$1:$1,FALSE),FALSE))</f>
        <v>71.38</v>
      </c>
      <c r="K175">
        <f>IF(COUNTIFS(monthly!C:C,"",monthly!$A:$A,"&gt;="&amp;$A175,monthly!$B:$B,"&lt;="&amp;$B175)&gt;0,"NA",AVERAGEIFS(monthly!C:C,monthly!$A:$A,"&gt;="&amp;$A175,monthly!$B:$B,"&lt;="&amp;$B175))</f>
        <v>74.600000000000009</v>
      </c>
      <c r="L175">
        <f>IF(COUNTIFS(monthly!D:D,"",monthly!$A:$A,"&gt;="&amp;$A175,monthly!$B:$B,"&lt;="&amp;$B175)&gt;0,"NA",AVERAGEIFS(monthly!D:D,monthly!$A:$A,"&gt;="&amp;$A175,monthly!$B:$B,"&lt;="&amp;$B175))</f>
        <v>0.97639999999999993</v>
      </c>
      <c r="M175">
        <f>IF(COUNTIFS(monthly!E:E,"",monthly!$A:$A,"&gt;="&amp;$A175,monthly!$B:$B,"&lt;="&amp;$B175)&gt;0,"NA",AVERAGEIFS(monthly!E:E,monthly!$A:$A,"&gt;="&amp;$A175,monthly!$B:$B,"&lt;="&amp;$B175))</f>
        <v>91.704575588439454</v>
      </c>
      <c r="N175">
        <f>IF(COUNTIFS(monthly!F:F,"",monthly!$A:$A,"&gt;="&amp;$A175,monthly!$B:$B,"&lt;="&amp;$B175)&gt;0,"NA",AVERAGEIFS(monthly!F:F,monthly!$A:$A,"&gt;="&amp;$A175,monthly!$B:$B,"&lt;="&amp;$B175))</f>
        <v>89.222214717163737</v>
      </c>
      <c r="O175">
        <f>IF(COUNTIFS(monthly!G:G,"",monthly!$A:$A,"&gt;="&amp;$A175,monthly!$B:$B,"&lt;="&amp;$B175)&gt;0,"NA",AVERAGEIFS(monthly!G:G,monthly!$A:$A,"&gt;="&amp;$A175,monthly!$B:$B,"&lt;="&amp;$B175))</f>
        <v>125.39999999999999</v>
      </c>
      <c r="P175">
        <f>IF(COUNTIFS(monthly!H:H,"",monthly!$A:$A,"&gt;="&amp;$A175,monthly!$B:$B,"&lt;="&amp;$B175)&gt;0,"NA",AVERAGEIFS(monthly!H:H,monthly!$A:$A,"&gt;="&amp;$A175,monthly!$B:$B,"&lt;="&amp;$B175))</f>
        <v>86.100000000000009</v>
      </c>
      <c r="Q175">
        <f>IF(COUNTIFS(monthly!I:I,"",monthly!$A:$A,"&gt;="&amp;$A175,monthly!$B:$B,"&lt;="&amp;$B175)&gt;0,"NA",AVERAGEIFS(monthly!I:I,monthly!$A:$A,"&gt;="&amp;$A175,monthly!$B:$B,"&lt;="&amp;$B175))</f>
        <v>103</v>
      </c>
      <c r="R175">
        <f>IF(COUNTIFS(monthly!J:J,"",monthly!$A:$A,"&gt;="&amp;$A175,monthly!$B:$B,"&lt;="&amp;$B175)&gt;0,"NA",AVERAGEIFS(monthly!J:J,monthly!$A:$A,"&gt;="&amp;$A175,monthly!$B:$B,"&lt;="&amp;$B175))</f>
        <v>16.343333333333334</v>
      </c>
      <c r="S175">
        <f>IF(COUNTIFS(monthly!K:K,"",monthly!$A:$A,"&gt;="&amp;$A175,monthly!$B:$B,"&lt;="&amp;$B175)&gt;0,"NA",AVERAGEIFS(monthly!K:K,monthly!$A:$A,"&gt;="&amp;$A175,monthly!$B:$B,"&lt;="&amp;$B175))</f>
        <v>2.85</v>
      </c>
      <c r="T175">
        <f>IF(COUNTIFS(monthly!L:L,"",monthly!$A:$A,"&gt;="&amp;$A175,monthly!$B:$B,"&lt;="&amp;$B175)&gt;0,"NA",AVERAGEIFS(monthly!L:L,monthly!$A:$A,"&gt;="&amp;$A175,monthly!$B:$B,"&lt;="&amp;$B175))</f>
        <v>0.11589964157706091</v>
      </c>
      <c r="U175">
        <f>IF(COUNTIFS(monthly!M:M,"",monthly!$A:$A,"&gt;="&amp;$A175,monthly!$B:$B,"&lt;="&amp;$B175)&gt;0,"NA",AVERAGEIFS(monthly!M:M,monthly!$A:$A,"&gt;="&amp;$A175,monthly!$B:$B,"&lt;="&amp;$B175))</f>
        <v>2.7341003584229391</v>
      </c>
      <c r="V175">
        <f>IF(COUNTIFS(monthly!N:N,"",monthly!$A:$A,"&gt;="&amp;$A175,monthly!$B:$B,"&lt;="&amp;$B175)&gt;0,"NA",AVERAGEIFS(monthly!N:N,monthly!$A:$A,"&gt;="&amp;$A175,monthly!$B:$B,"&lt;="&amp;$B175))</f>
        <v>2.6789473684210527</v>
      </c>
      <c r="W175">
        <f>IF(COUNTIFS(monthly!O:O,"",monthly!$A:$A,"&gt;="&amp;$A175,monthly!$B:$B,"&lt;="&amp;$B175)&gt;0,"NA",AVERAGEIFS(monthly!O:O,monthly!$A:$A,"&gt;="&amp;$A175,monthly!$B:$B,"&lt;="&amp;$B175))</f>
        <v>0.27207575757575758</v>
      </c>
      <c r="X175">
        <f>IF(COUNTIFS(monthly!P:P,"",monthly!$A:$A,"&gt;="&amp;$A175,monthly!$B:$B,"&lt;="&amp;$B175)&gt;0,"NA",AVERAGEIFS(monthly!P:P,monthly!$A:$A,"&gt;="&amp;$A175,monthly!$B:$B,"&lt;="&amp;$B175))</f>
        <v>2.406871610845295</v>
      </c>
      <c r="Y175">
        <f>IF(COUNTIFS(monthly!Q:Q,"",monthly!$A:$A,"&gt;="&amp;$A175,monthly!$B:$B,"&lt;="&amp;$B175)&gt;0,"NA",AVERAGEIFS(monthly!Q:Q,monthly!$A:$A,"&gt;="&amp;$A175,monthly!$B:$B,"&lt;="&amp;$B175))</f>
        <v>3.3746666666666667</v>
      </c>
      <c r="Z175">
        <f>IF(COUNTIFS(monthly!R:R,"",monthly!$A:$A,"&gt;="&amp;$A175,monthly!$B:$B,"&lt;="&amp;$B175)&gt;0,"NA",AVERAGEIFS(monthly!R:R,monthly!$A:$A,"&gt;="&amp;$A175,monthly!$B:$B,"&lt;="&amp;$B175))</f>
        <v>1.9957575757575761</v>
      </c>
      <c r="AA175">
        <f>IF(COUNTIFS(monthly!S:S,"",monthly!$A:$A,"&gt;="&amp;$A175,monthly!$B:$B,"&lt;="&amp;$B175)&gt;0,"NA",AVERAGEIFS(monthly!S:S,monthly!$A:$A,"&gt;="&amp;$A175,monthly!$B:$B,"&lt;="&amp;$B175))</f>
        <v>1.3789090909090909</v>
      </c>
      <c r="AB175">
        <f>IF(COUNTIFS(monthly!T:T,"",monthly!$A:$A,"&gt;="&amp;$A175,monthly!$B:$B,"&lt;="&amp;$B175)&gt;0,"NA",AVERAGEIFS(monthly!T:T,monthly!$A:$A,"&gt;="&amp;$A175,monthly!$B:$B,"&lt;="&amp;$B175))</f>
        <v>14.910803030303029</v>
      </c>
      <c r="AC175">
        <f>IF(COUNTIFS(monthly!U:U,"",monthly!$A:$A,"&gt;="&amp;$A175,monthly!$B:$B,"&lt;="&amp;$B175)&gt;0,"NA",AVERAGEIFS(monthly!U:U,monthly!$A:$A,"&gt;="&amp;$A175,monthly!$B:$B,"&lt;="&amp;$B175))</f>
        <v>122.1702321603758</v>
      </c>
      <c r="AD175">
        <f>IF(COUNTIFS(monthly!V:V,"",monthly!$A:$A,"&gt;="&amp;$A175,monthly!$B:$B,"&lt;="&amp;$B175)&gt;0,"NA",AVERAGEIFS(monthly!V:V,monthly!$A:$A,"&gt;="&amp;$A175,monthly!$B:$B,"&lt;="&amp;$B175))</f>
        <v>128.71886319062619</v>
      </c>
      <c r="AE175">
        <f>IF(COUNTIFS(monthly!W:W,"",monthly!$A:$A,"&gt;="&amp;$A175,monthly!$B:$B,"&lt;="&amp;$B175)&gt;0,"NA",AVERAGEIFS(monthly!W:W,monthly!$A:$A,"&gt;="&amp;$A175,monthly!$B:$B,"&lt;="&amp;$B175))</f>
        <v>87.266064961751297</v>
      </c>
      <c r="AF175">
        <f>IF(COUNTIFS(monthly!X:X,"",monthly!$A:$A,"&gt;="&amp;$A175,monthly!$B:$B,"&lt;="&amp;$B175)&gt;0,"NA",AVERAGEIFS(monthly!X:X,monthly!$A:$A,"&gt;="&amp;$A175,monthly!$B:$B,"&lt;="&amp;$B175))</f>
        <v>84.557685852050781</v>
      </c>
      <c r="AG175">
        <f>IF(COUNTIFS(monthly!Y:Y,"",monthly!$A:$A,"&gt;="&amp;$A175,monthly!$B:$B,"&lt;="&amp;$B175)&gt;0,"NA",AVERAGEIFS(monthly!Y:Y,monthly!$A:$A,"&gt;="&amp;$A175,monthly!$B:$B,"&lt;="&amp;$B175))</f>
        <v>90.778182983398438</v>
      </c>
      <c r="AH175">
        <f>IF(COUNTIFS(monthly!Z:Z,"",monthly!$A:$A,"&gt;="&amp;$A175,monthly!$B:$B,"&lt;="&amp;$B175)&gt;0,"NA",AVERAGEIFS(monthly!Z:Z,monthly!$A:$A,"&gt;="&amp;$A175,monthly!$B:$B,"&lt;="&amp;$B175))</f>
        <v>6.0976834346850715E-2</v>
      </c>
    </row>
    <row r="176" spans="1:34" x14ac:dyDescent="0.2">
      <c r="A176" s="1">
        <v>41456</v>
      </c>
      <c r="B176" s="1">
        <v>41547</v>
      </c>
      <c r="C176">
        <f>IF(ISBLANK(VLOOKUP($A176,quarterly_data,MATCH(C$1,quarterly!$1:$1,FALSE),FALSE)),"NA",VLOOKUP($A176,quarterly_data,MATCH(C$1,quarterly!$1:$1,FALSE),FALSE))</f>
        <v>150.74308366232992</v>
      </c>
      <c r="D176">
        <f>IF(ISBLANK(VLOOKUP($A176,quarterly_data,MATCH(D$1,quarterly!$1:$1,FALSE),FALSE)),"NA",VLOOKUP($A176,quarterly_data,MATCH(D$1,quarterly!$1:$1,FALSE),FALSE))</f>
        <v>88</v>
      </c>
      <c r="E176">
        <f>IF(ISBLANK(VLOOKUP($A176,quarterly_data,MATCH(E$1,quarterly!$1:$1,FALSE),FALSE)),"NA",VLOOKUP($A176,quarterly_data,MATCH(E$1,quarterly!$1:$1,FALSE),FALSE))</f>
        <v>0</v>
      </c>
      <c r="F176">
        <f>IF(ISBLANK(VLOOKUP($A176,quarterly_data,MATCH(F$1,quarterly!$1:$1,FALSE),FALSE)),"NA",VLOOKUP($A176,quarterly_data,MATCH(F$1,quarterly!$1:$1,FALSE),FALSE))</f>
        <v>9.5777999999999992E-3</v>
      </c>
      <c r="G176">
        <f>IF(ISBLANK(VLOOKUP($A176,quarterly_data,MATCH(G$1,quarterly!$1:$1,FALSE),FALSE)),"NA",VLOOKUP($A176,quarterly_data,MATCH(G$1,quarterly!$1:$1,FALSE),FALSE))</f>
        <v>17860.45</v>
      </c>
      <c r="H176">
        <f>IF(ISBLANK(VLOOKUP($A176,quarterly_data,MATCH(H$1,quarterly!$1:$1,FALSE),FALSE)),"NA",VLOOKUP($A176,quarterly_data,MATCH(H$1,quarterly!$1:$1,FALSE),FALSE))</f>
        <v>526314</v>
      </c>
      <c r="I176">
        <f>IF(ISBLANK(VLOOKUP($A176,quarterly_data,MATCH(I$1,quarterly!$1:$1,FALSE),FALSE)),"NA",VLOOKUP($A176,quarterly_data,MATCH(I$1,quarterly!$1:$1,FALSE),FALSE))</f>
        <v>0.7</v>
      </c>
      <c r="J176">
        <f>IF(ISBLANK(VLOOKUP($A176,quarterly_data,MATCH(J$1,quarterly!$1:$1,FALSE),FALSE)),"NA",VLOOKUP($A176,quarterly_data,MATCH(J$1,quarterly!$1:$1,FALSE),FALSE))</f>
        <v>72.25</v>
      </c>
      <c r="K176">
        <f>IF(COUNTIFS(monthly!C:C,"",monthly!$A:$A,"&gt;="&amp;$A176,monthly!$B:$B,"&lt;="&amp;$B176)&gt;0,"NA",AVERAGEIFS(monthly!C:C,monthly!$A:$A,"&gt;="&amp;$A176,monthly!$B:$B,"&lt;="&amp;$B176))</f>
        <v>69.933333333333337</v>
      </c>
      <c r="L176">
        <f>IF(COUNTIFS(monthly!D:D,"",monthly!$A:$A,"&gt;="&amp;$A176,monthly!$B:$B,"&lt;="&amp;$B176)&gt;0,"NA",AVERAGEIFS(monthly!D:D,monthly!$A:$A,"&gt;="&amp;$A176,monthly!$B:$B,"&lt;="&amp;$B176))</f>
        <v>0.90976666666666661</v>
      </c>
      <c r="M176">
        <f>IF(COUNTIFS(monthly!E:E,"",monthly!$A:$A,"&gt;="&amp;$A176,monthly!$B:$B,"&lt;="&amp;$B176)&gt;0,"NA",AVERAGEIFS(monthly!E:E,monthly!$A:$A,"&gt;="&amp;$A176,monthly!$B:$B,"&lt;="&amp;$B176))</f>
        <v>87.446667542012264</v>
      </c>
      <c r="N176">
        <f>IF(COUNTIFS(monthly!F:F,"",monthly!$A:$A,"&gt;="&amp;$A176,monthly!$B:$B,"&lt;="&amp;$B176)&gt;0,"NA",AVERAGEIFS(monthly!F:F,monthly!$A:$A,"&gt;="&amp;$A176,monthly!$B:$B,"&lt;="&amp;$B176))</f>
        <v>88.285844455364895</v>
      </c>
      <c r="O176">
        <f>IF(COUNTIFS(monthly!G:G,"",monthly!$A:$A,"&gt;="&amp;$A176,monthly!$B:$B,"&lt;="&amp;$B176)&gt;0,"NA",AVERAGEIFS(monthly!G:G,monthly!$A:$A,"&gt;="&amp;$A176,monthly!$B:$B,"&lt;="&amp;$B176))</f>
        <v>132.83333333333334</v>
      </c>
      <c r="P176">
        <f>IF(COUNTIFS(monthly!H:H,"",monthly!$A:$A,"&gt;="&amp;$A176,monthly!$B:$B,"&lt;="&amp;$B176)&gt;0,"NA",AVERAGEIFS(monthly!H:H,monthly!$A:$A,"&gt;="&amp;$A176,monthly!$B:$B,"&lt;="&amp;$B176))</f>
        <v>77.3</v>
      </c>
      <c r="Q176">
        <f>IF(COUNTIFS(monthly!I:I,"",monthly!$A:$A,"&gt;="&amp;$A176,monthly!$B:$B,"&lt;="&amp;$B176)&gt;0,"NA",AVERAGEIFS(monthly!I:I,monthly!$A:$A,"&gt;="&amp;$A176,monthly!$B:$B,"&lt;="&amp;$B176))</f>
        <v>110.09999999999998</v>
      </c>
      <c r="R176">
        <f>IF(COUNTIFS(monthly!J:J,"",monthly!$A:$A,"&gt;="&amp;$A176,monthly!$B:$B,"&lt;="&amp;$B176)&gt;0,"NA",AVERAGEIFS(monthly!J:J,monthly!$A:$A,"&gt;="&amp;$A176,monthly!$B:$B,"&lt;="&amp;$B176))</f>
        <v>15.576666666666668</v>
      </c>
      <c r="S176">
        <f>IF(COUNTIFS(monthly!K:K,"",monthly!$A:$A,"&gt;="&amp;$A176,monthly!$B:$B,"&lt;="&amp;$B176)&gt;0,"NA",AVERAGEIFS(monthly!K:K,monthly!$A:$A,"&gt;="&amp;$A176,monthly!$B:$B,"&lt;="&amp;$B176))</f>
        <v>2.6</v>
      </c>
      <c r="T176">
        <f>IF(COUNTIFS(monthly!L:L,"",monthly!$A:$A,"&gt;="&amp;$A176,monthly!$B:$B,"&lt;="&amp;$B176)&gt;0,"NA",AVERAGEIFS(monthly!L:L,monthly!$A:$A,"&gt;="&amp;$A176,monthly!$B:$B,"&lt;="&amp;$B176))</f>
        <v>8.5161290322580643E-2</v>
      </c>
      <c r="U176">
        <f>IF(COUNTIFS(monthly!M:M,"",monthly!$A:$A,"&gt;="&amp;$A176,monthly!$B:$B,"&lt;="&amp;$B176)&gt;0,"NA",AVERAGEIFS(monthly!M:M,monthly!$A:$A,"&gt;="&amp;$A176,monthly!$B:$B,"&lt;="&amp;$B176))</f>
        <v>2.5148387096774192</v>
      </c>
      <c r="V176">
        <f>IF(COUNTIFS(monthly!N:N,"",monthly!$A:$A,"&gt;="&amp;$A176,monthly!$B:$B,"&lt;="&amp;$B176)&gt;0,"NA",AVERAGEIFS(monthly!N:N,monthly!$A:$A,"&gt;="&amp;$A176,monthly!$B:$B,"&lt;="&amp;$B176))</f>
        <v>2.6155031055900619</v>
      </c>
      <c r="W176">
        <f>IF(COUNTIFS(monthly!O:O,"",monthly!$A:$A,"&gt;="&amp;$A176,monthly!$B:$B,"&lt;="&amp;$B176)&gt;0,"NA",AVERAGEIFS(monthly!O:O,monthly!$A:$A,"&gt;="&amp;$A176,monthly!$B:$B,"&lt;="&amp;$B176))</f>
        <v>0.36709090909090908</v>
      </c>
      <c r="X176">
        <f>IF(COUNTIFS(monthly!P:P,"",monthly!$A:$A,"&gt;="&amp;$A176,monthly!$B:$B,"&lt;="&amp;$B176)&gt;0,"NA",AVERAGEIFS(monthly!P:P,monthly!$A:$A,"&gt;="&amp;$A176,monthly!$B:$B,"&lt;="&amp;$B176))</f>
        <v>2.248412196499153</v>
      </c>
      <c r="Y176">
        <f>IF(COUNTIFS(monthly!Q:Q,"",monthly!$A:$A,"&gt;="&amp;$A176,monthly!$B:$B,"&lt;="&amp;$B176)&gt;0,"NA",AVERAGEIFS(monthly!Q:Q,monthly!$A:$A,"&gt;="&amp;$A176,monthly!$B:$B,"&lt;="&amp;$B176))</f>
        <v>3.8996666666666671</v>
      </c>
      <c r="Z176">
        <f>IF(COUNTIFS(monthly!R:R,"",monthly!$A:$A,"&gt;="&amp;$A176,monthly!$B:$B,"&lt;="&amp;$B176)&gt;0,"NA",AVERAGEIFS(monthly!R:R,monthly!$A:$A,"&gt;="&amp;$A176,monthly!$B:$B,"&lt;="&amp;$B176))</f>
        <v>2.7096818181818185</v>
      </c>
      <c r="AA176">
        <f>IF(COUNTIFS(monthly!S:S,"",monthly!$A:$A,"&gt;="&amp;$A176,monthly!$B:$B,"&lt;="&amp;$B176)&gt;0,"NA",AVERAGEIFS(monthly!S:S,monthly!$A:$A,"&gt;="&amp;$A176,monthly!$B:$B,"&lt;="&amp;$B176))</f>
        <v>1.1899848484848485</v>
      </c>
      <c r="AB176">
        <f>IF(COUNTIFS(monthly!T:T,"",monthly!$A:$A,"&gt;="&amp;$A176,monthly!$B:$B,"&lt;="&amp;$B176)&gt;0,"NA",AVERAGEIFS(monthly!T:T,monthly!$A:$A,"&gt;="&amp;$A176,monthly!$B:$B,"&lt;="&amp;$B176))</f>
        <v>14.292181818181817</v>
      </c>
      <c r="AC176">
        <f>IF(COUNTIFS(monthly!U:U,"",monthly!$A:$A,"&gt;="&amp;$A176,monthly!$B:$B,"&lt;="&amp;$B176)&gt;0,"NA",AVERAGEIFS(monthly!U:U,monthly!$A:$A,"&gt;="&amp;$A176,monthly!$B:$B,"&lt;="&amp;$B176))</f>
        <v>120.95441067921531</v>
      </c>
      <c r="AD176">
        <f>IF(COUNTIFS(monthly!V:V,"",monthly!$A:$A,"&gt;="&amp;$A176,monthly!$B:$B,"&lt;="&amp;$B176)&gt;0,"NA",AVERAGEIFS(monthly!V:V,monthly!$A:$A,"&gt;="&amp;$A176,monthly!$B:$B,"&lt;="&amp;$B176))</f>
        <v>165.77413058100851</v>
      </c>
      <c r="AE176">
        <f>IF(COUNTIFS(monthly!W:W,"",monthly!$A:$A,"&gt;="&amp;$A176,monthly!$B:$B,"&lt;="&amp;$B176)&gt;0,"NA",AVERAGEIFS(monthly!W:W,monthly!$A:$A,"&gt;="&amp;$A176,monthly!$B:$B,"&lt;="&amp;$B176))</f>
        <v>88.463963826497391</v>
      </c>
      <c r="AF176">
        <f>IF(COUNTIFS(monthly!X:X,"",monthly!$A:$A,"&gt;="&amp;$A176,monthly!$B:$B,"&lt;="&amp;$B176)&gt;0,"NA",AVERAGEIFS(monthly!X:X,monthly!$A:$A,"&gt;="&amp;$A176,monthly!$B:$B,"&lt;="&amp;$B176))</f>
        <v>84.226999918619796</v>
      </c>
      <c r="AG176">
        <f>IF(COUNTIFS(monthly!Y:Y,"",monthly!$A:$A,"&gt;="&amp;$A176,monthly!$B:$B,"&lt;="&amp;$B176)&gt;0,"NA",AVERAGEIFS(monthly!Y:Y,monthly!$A:$A,"&gt;="&amp;$A176,monthly!$B:$B,"&lt;="&amp;$B176))</f>
        <v>93.272814432779953</v>
      </c>
      <c r="AH176">
        <f>IF(COUNTIFS(monthly!Z:Z,"",monthly!$A:$A,"&gt;="&amp;$A176,monthly!$B:$B,"&lt;="&amp;$B176)&gt;0,"NA",AVERAGEIFS(monthly!Z:Z,monthly!$A:$A,"&gt;="&amp;$A176,monthly!$B:$B,"&lt;="&amp;$B176))</f>
        <v>5.910679822166761E-2</v>
      </c>
    </row>
    <row r="177" spans="1:34" x14ac:dyDescent="0.2">
      <c r="A177" s="1">
        <v>41548</v>
      </c>
      <c r="B177" s="1">
        <v>41639</v>
      </c>
      <c r="C177">
        <f>IF(ISBLANK(VLOOKUP($A177,quarterly_data,MATCH(C$1,quarterly!$1:$1,FALSE),FALSE)),"NA",VLOOKUP($A177,quarterly_data,MATCH(C$1,quarterly!$1:$1,FALSE),FALSE))</f>
        <v>152.06464541678235</v>
      </c>
      <c r="D177">
        <f>IF(ISBLANK(VLOOKUP($A177,quarterly_data,MATCH(D$1,quarterly!$1:$1,FALSE),FALSE)),"NA",VLOOKUP($A177,quarterly_data,MATCH(D$1,quarterly!$1:$1,FALSE),FALSE))</f>
        <v>88.7</v>
      </c>
      <c r="E177">
        <f>IF(ISBLANK(VLOOKUP($A177,quarterly_data,MATCH(E$1,quarterly!$1:$1,FALSE),FALSE)),"NA",VLOOKUP($A177,quarterly_data,MATCH(E$1,quarterly!$1:$1,FALSE),FALSE))</f>
        <v>0</v>
      </c>
      <c r="F177">
        <f>IF(ISBLANK(VLOOKUP($A177,quarterly_data,MATCH(F$1,quarterly!$1:$1,FALSE),FALSE)),"NA",VLOOKUP($A177,quarterly_data,MATCH(F$1,quarterly!$1:$1,FALSE),FALSE))</f>
        <v>2.4658000000000002E-3</v>
      </c>
      <c r="G177">
        <f>IF(ISBLANK(VLOOKUP($A177,quarterly_data,MATCH(G$1,quarterly!$1:$1,FALSE),FALSE)),"NA",VLOOKUP($A177,quarterly_data,MATCH(G$1,quarterly!$1:$1,FALSE),FALSE))</f>
        <v>18016.147000000001</v>
      </c>
      <c r="H177">
        <f>IF(ISBLANK(VLOOKUP($A177,quarterly_data,MATCH(H$1,quarterly!$1:$1,FALSE),FALSE)),"NA",VLOOKUP($A177,quarterly_data,MATCH(H$1,quarterly!$1:$1,FALSE),FALSE))</f>
        <v>530419</v>
      </c>
      <c r="I177">
        <f>IF(ISBLANK(VLOOKUP($A177,quarterly_data,MATCH(I$1,quarterly!$1:$1,FALSE),FALSE)),"NA",VLOOKUP($A177,quarterly_data,MATCH(I$1,quarterly!$1:$1,FALSE),FALSE))</f>
        <v>0.8</v>
      </c>
      <c r="J177">
        <f>IF(ISBLANK(VLOOKUP($A177,quarterly_data,MATCH(J$1,quarterly!$1:$1,FALSE),FALSE)),"NA",VLOOKUP($A177,quarterly_data,MATCH(J$1,quarterly!$1:$1,FALSE),FALSE))</f>
        <v>72.77</v>
      </c>
      <c r="K177">
        <f>IF(COUNTIFS(monthly!C:C,"",monthly!$A:$A,"&gt;="&amp;$A177,monthly!$B:$B,"&lt;="&amp;$B177)&gt;0,"NA",AVERAGEIFS(monthly!C:C,monthly!$A:$A,"&gt;="&amp;$A177,monthly!$B:$B,"&lt;="&amp;$B177))</f>
        <v>70.266666666666666</v>
      </c>
      <c r="L177">
        <f>IF(COUNTIFS(monthly!D:D,"",monthly!$A:$A,"&gt;="&amp;$A177,monthly!$B:$B,"&lt;="&amp;$B177)&gt;0,"NA",AVERAGEIFS(monthly!D:D,monthly!$A:$A,"&gt;="&amp;$A177,monthly!$B:$B,"&lt;="&amp;$B177))</f>
        <v>0.91749999999999998</v>
      </c>
      <c r="M177">
        <f>IF(COUNTIFS(monthly!E:E,"",monthly!$A:$A,"&gt;="&amp;$A177,monthly!$B:$B,"&lt;="&amp;$B177)&gt;0,"NA",AVERAGEIFS(monthly!E:E,monthly!$A:$A,"&gt;="&amp;$A177,monthly!$B:$B,"&lt;="&amp;$B177))</f>
        <v>86.572569187997672</v>
      </c>
      <c r="N177">
        <f>IF(COUNTIFS(monthly!F:F,"",monthly!$A:$A,"&gt;="&amp;$A177,monthly!$B:$B,"&lt;="&amp;$B177)&gt;0,"NA",AVERAGEIFS(monthly!F:F,monthly!$A:$A,"&gt;="&amp;$A177,monthly!$B:$B,"&lt;="&amp;$B177))</f>
        <v>87.268736380127734</v>
      </c>
      <c r="O177">
        <f>IF(COUNTIFS(monthly!G:G,"",monthly!$A:$A,"&gt;="&amp;$A177,monthly!$B:$B,"&lt;="&amp;$B177)&gt;0,"NA",AVERAGEIFS(monthly!G:G,monthly!$A:$A,"&gt;="&amp;$A177,monthly!$B:$B,"&lt;="&amp;$B177))</f>
        <v>134.9</v>
      </c>
      <c r="P177">
        <f>IF(COUNTIFS(monthly!H:H,"",monthly!$A:$A,"&gt;="&amp;$A177,monthly!$B:$B,"&lt;="&amp;$B177)&gt;0,"NA",AVERAGEIFS(monthly!H:H,monthly!$A:$A,"&gt;="&amp;$A177,monthly!$B:$B,"&lt;="&amp;$B177))</f>
        <v>82</v>
      </c>
      <c r="Q177">
        <f>IF(COUNTIFS(monthly!I:I,"",monthly!$A:$A,"&gt;="&amp;$A177,monthly!$B:$B,"&lt;="&amp;$B177)&gt;0,"NA",AVERAGEIFS(monthly!I:I,monthly!$A:$A,"&gt;="&amp;$A177,monthly!$B:$B,"&lt;="&amp;$B177))</f>
        <v>109.43333333333334</v>
      </c>
      <c r="R177">
        <f>IF(COUNTIFS(monthly!J:J,"",monthly!$A:$A,"&gt;="&amp;$A177,monthly!$B:$B,"&lt;="&amp;$B177)&gt;0,"NA",AVERAGEIFS(monthly!J:J,monthly!$A:$A,"&gt;="&amp;$A177,monthly!$B:$B,"&lt;="&amp;$B177))</f>
        <v>15.693333333333333</v>
      </c>
      <c r="S177">
        <f>IF(COUNTIFS(monthly!K:K,"",monthly!$A:$A,"&gt;="&amp;$A177,monthly!$B:$B,"&lt;="&amp;$B177)&gt;0,"NA",AVERAGEIFS(monthly!K:K,monthly!$A:$A,"&gt;="&amp;$A177,monthly!$B:$B,"&lt;="&amp;$B177))</f>
        <v>2.5</v>
      </c>
      <c r="T177">
        <f>IF(COUNTIFS(monthly!L:L,"",monthly!$A:$A,"&gt;="&amp;$A177,monthly!$B:$B,"&lt;="&amp;$B177)&gt;0,"NA",AVERAGEIFS(monthly!L:L,monthly!$A:$A,"&gt;="&amp;$A177,monthly!$B:$B,"&lt;="&amp;$B177))</f>
        <v>8.5530465949820819E-2</v>
      </c>
      <c r="U177">
        <f>IF(COUNTIFS(monthly!M:M,"",monthly!$A:$A,"&gt;="&amp;$A177,monthly!$B:$B,"&lt;="&amp;$B177)&gt;0,"NA",AVERAGEIFS(monthly!M:M,monthly!$A:$A,"&gt;="&amp;$A177,monthly!$B:$B,"&lt;="&amp;$B177))</f>
        <v>2.4144695340501792</v>
      </c>
      <c r="V177">
        <f>IF(COUNTIFS(monthly!N:N,"",monthly!$A:$A,"&gt;="&amp;$A177,monthly!$B:$B,"&lt;="&amp;$B177)&gt;0,"NA",AVERAGEIFS(monthly!N:N,monthly!$A:$A,"&gt;="&amp;$A177,monthly!$B:$B,"&lt;="&amp;$B177))</f>
        <v>2.7309999999999999</v>
      </c>
      <c r="W177">
        <f>IF(COUNTIFS(monthly!O:O,"",monthly!$A:$A,"&gt;="&amp;$A177,monthly!$B:$B,"&lt;="&amp;$B177)&gt;0,"NA",AVERAGEIFS(monthly!O:O,monthly!$A:$A,"&gt;="&amp;$A177,monthly!$B:$B,"&lt;="&amp;$B177))</f>
        <v>0.32637958532695371</v>
      </c>
      <c r="X177">
        <f>IF(COUNTIFS(monthly!P:P,"",monthly!$A:$A,"&gt;="&amp;$A177,monthly!$B:$B,"&lt;="&amp;$B177)&gt;0,"NA",AVERAGEIFS(monthly!P:P,monthly!$A:$A,"&gt;="&amp;$A177,monthly!$B:$B,"&lt;="&amp;$B177))</f>
        <v>2.4046204146730461</v>
      </c>
      <c r="Y177">
        <f>IF(COUNTIFS(monthly!Q:Q,"",monthly!$A:$A,"&gt;="&amp;$A177,monthly!$B:$B,"&lt;="&amp;$B177)&gt;0,"NA",AVERAGEIFS(monthly!Q:Q,monthly!$A:$A,"&gt;="&amp;$A177,monthly!$B:$B,"&lt;="&amp;$B177))</f>
        <v>4.1486666666666672</v>
      </c>
      <c r="Z177">
        <f>IF(COUNTIFS(monthly!R:R,"",monthly!$A:$A,"&gt;="&amp;$A177,monthly!$B:$B,"&lt;="&amp;$B177)&gt;0,"NA",AVERAGEIFS(monthly!R:R,monthly!$A:$A,"&gt;="&amp;$A177,monthly!$B:$B,"&lt;="&amp;$B177))</f>
        <v>2.7454116351484772</v>
      </c>
      <c r="AA177">
        <f>IF(COUNTIFS(monthly!S:S,"",monthly!$A:$A,"&gt;="&amp;$A177,monthly!$B:$B,"&lt;="&amp;$B177)&gt;0,"NA",AVERAGEIFS(monthly!S:S,monthly!$A:$A,"&gt;="&amp;$A177,monthly!$B:$B,"&lt;="&amp;$B177))</f>
        <v>1.4032550315181893</v>
      </c>
      <c r="AB177">
        <f>IF(COUNTIFS(monthly!T:T,"",monthly!$A:$A,"&gt;="&amp;$A177,monthly!$B:$B,"&lt;="&amp;$B177)&gt;0,"NA",AVERAGEIFS(monthly!T:T,monthly!$A:$A,"&gt;="&amp;$A177,monthly!$B:$B,"&lt;="&amp;$B177))</f>
        <v>14.174735679779156</v>
      </c>
      <c r="AC177">
        <f>IF(COUNTIFS(monthly!U:U,"",monthly!$A:$A,"&gt;="&amp;$A177,monthly!$B:$B,"&lt;="&amp;$B177)&gt;0,"NA",AVERAGEIFS(monthly!U:U,monthly!$A:$A,"&gt;="&amp;$A177,monthly!$B:$B,"&lt;="&amp;$B177))</f>
        <v>129.69378400360361</v>
      </c>
      <c r="AD177">
        <f>IF(COUNTIFS(monthly!V:V,"",monthly!$A:$A,"&gt;="&amp;$A177,monthly!$B:$B,"&lt;="&amp;$B177)&gt;0,"NA",AVERAGEIFS(monthly!V:V,monthly!$A:$A,"&gt;="&amp;$A177,monthly!$B:$B,"&lt;="&amp;$B177))</f>
        <v>99.559057641375773</v>
      </c>
      <c r="AE177">
        <f>IF(COUNTIFS(monthly!W:W,"",monthly!$A:$A,"&gt;="&amp;$A177,monthly!$B:$B,"&lt;="&amp;$B177)&gt;0,"NA",AVERAGEIFS(monthly!W:W,monthly!$A:$A,"&gt;="&amp;$A177,monthly!$B:$B,"&lt;="&amp;$B177))</f>
        <v>73.701543172200516</v>
      </c>
      <c r="AF177">
        <f>IF(COUNTIFS(monthly!X:X,"",monthly!$A:$A,"&gt;="&amp;$A177,monthly!$B:$B,"&lt;="&amp;$B177)&gt;0,"NA",AVERAGEIFS(monthly!X:X,monthly!$A:$A,"&gt;="&amp;$A177,monthly!$B:$B,"&lt;="&amp;$B177))</f>
        <v>76.031717936197921</v>
      </c>
      <c r="AG177">
        <f>IF(COUNTIFS(monthly!Y:Y,"",monthly!$A:$A,"&gt;="&amp;$A177,monthly!$B:$B,"&lt;="&amp;$B177)&gt;0,"NA",AVERAGEIFS(monthly!Y:Y,monthly!$A:$A,"&gt;="&amp;$A177,monthly!$B:$B,"&lt;="&amp;$B177))</f>
        <v>65.986377716064453</v>
      </c>
      <c r="AH177">
        <f>IF(COUNTIFS(monthly!Z:Z,"",monthly!$A:$A,"&gt;="&amp;$A177,monthly!$B:$B,"&lt;="&amp;$B177)&gt;0,"NA",AVERAGEIFS(monthly!Z:Z,monthly!$A:$A,"&gt;="&amp;$A177,monthly!$B:$B,"&lt;="&amp;$B177))</f>
        <v>6.0930334031581879E-2</v>
      </c>
    </row>
    <row r="178" spans="1:34" x14ac:dyDescent="0.2">
      <c r="A178" s="1">
        <v>41640</v>
      </c>
      <c r="B178" s="1">
        <v>41729</v>
      </c>
      <c r="C178">
        <f>IF(ISBLANK(VLOOKUP($A178,quarterly_data,MATCH(C$1,quarterly!$1:$1,FALSE),FALSE)),"NA",VLOOKUP($A178,quarterly_data,MATCH(C$1,quarterly!$1:$1,FALSE),FALSE))</f>
        <v>147.93791727644572</v>
      </c>
      <c r="D178">
        <f>IF(ISBLANK(VLOOKUP($A178,quarterly_data,MATCH(D$1,quarterly!$1:$1,FALSE),FALSE)),"NA",VLOOKUP($A178,quarterly_data,MATCH(D$1,quarterly!$1:$1,FALSE),FALSE))</f>
        <v>86.7</v>
      </c>
      <c r="E178">
        <f>IF(ISBLANK(VLOOKUP($A178,quarterly_data,MATCH(E$1,quarterly!$1:$1,FALSE),FALSE)),"NA",VLOOKUP($A178,quarterly_data,MATCH(E$1,quarterly!$1:$1,FALSE),FALSE))</f>
        <v>0</v>
      </c>
      <c r="F178">
        <f>IF(ISBLANK(VLOOKUP($A178,quarterly_data,MATCH(F$1,quarterly!$1:$1,FALSE),FALSE)),"NA",VLOOKUP($A178,quarterly_data,MATCH(F$1,quarterly!$1:$1,FALSE),FALSE))</f>
        <v>0</v>
      </c>
      <c r="G178">
        <f>IF(ISBLANK(VLOOKUP($A178,quarterly_data,MATCH(G$1,quarterly!$1:$1,FALSE),FALSE)),"NA",VLOOKUP($A178,quarterly_data,MATCH(G$1,quarterly!$1:$1,FALSE),FALSE))</f>
        <v>17953.973999999998</v>
      </c>
      <c r="H178">
        <f>IF(ISBLANK(VLOOKUP($A178,quarterly_data,MATCH(H$1,quarterly!$1:$1,FALSE),FALSE)),"NA",VLOOKUP($A178,quarterly_data,MATCH(H$1,quarterly!$1:$1,FALSE),FALSE))</f>
        <v>534667</v>
      </c>
      <c r="I178">
        <f>IF(ISBLANK(VLOOKUP($A178,quarterly_data,MATCH(I$1,quarterly!$1:$1,FALSE),FALSE)),"NA",VLOOKUP($A178,quarterly_data,MATCH(I$1,quarterly!$1:$1,FALSE),FALSE))</f>
        <v>0.5</v>
      </c>
      <c r="J178">
        <f>IF(ISBLANK(VLOOKUP($A178,quarterly_data,MATCH(J$1,quarterly!$1:$1,FALSE),FALSE)),"NA",VLOOKUP($A178,quarterly_data,MATCH(J$1,quarterly!$1:$1,FALSE),FALSE))</f>
        <v>73.2</v>
      </c>
      <c r="K178">
        <f>IF(COUNTIFS(monthly!C:C,"",monthly!$A:$A,"&gt;="&amp;$A178,monthly!$B:$B,"&lt;="&amp;$B178)&gt;0,"NA",AVERAGEIFS(monthly!C:C,monthly!$A:$A,"&gt;="&amp;$A178,monthly!$B:$B,"&lt;="&amp;$B178))</f>
        <v>69.2</v>
      </c>
      <c r="L178">
        <f>IF(COUNTIFS(monthly!D:D,"",monthly!$A:$A,"&gt;="&amp;$A178,monthly!$B:$B,"&lt;="&amp;$B178)&gt;0,"NA",AVERAGEIFS(monthly!D:D,monthly!$A:$A,"&gt;="&amp;$A178,monthly!$B:$B,"&lt;="&amp;$B178))</f>
        <v>0.89769999999999994</v>
      </c>
      <c r="M178">
        <f>IF(COUNTIFS(monthly!E:E,"",monthly!$A:$A,"&gt;="&amp;$A178,monthly!$B:$B,"&lt;="&amp;$B178)&gt;0,"NA",AVERAGEIFS(monthly!E:E,monthly!$A:$A,"&gt;="&amp;$A178,monthly!$B:$B,"&lt;="&amp;$B178))</f>
        <v>84.054912505378496</v>
      </c>
      <c r="N178">
        <f>IF(COUNTIFS(monthly!F:F,"",monthly!$A:$A,"&gt;="&amp;$A178,monthly!$B:$B,"&lt;="&amp;$B178)&gt;0,"NA",AVERAGEIFS(monthly!F:F,monthly!$A:$A,"&gt;="&amp;$A178,monthly!$B:$B,"&lt;="&amp;$B178))</f>
        <v>81.913672783751352</v>
      </c>
      <c r="O178">
        <f>IF(COUNTIFS(monthly!G:G,"",monthly!$A:$A,"&gt;="&amp;$A178,monthly!$B:$B,"&lt;="&amp;$B178)&gt;0,"NA",AVERAGEIFS(monthly!G:G,monthly!$A:$A,"&gt;="&amp;$A178,monthly!$B:$B,"&lt;="&amp;$B178))</f>
        <v>120.43333333333334</v>
      </c>
      <c r="P178">
        <f>IF(COUNTIFS(monthly!H:H,"",monthly!$A:$A,"&gt;="&amp;$A178,monthly!$B:$B,"&lt;="&amp;$B178)&gt;0,"NA",AVERAGEIFS(monthly!H:H,monthly!$A:$A,"&gt;="&amp;$A178,monthly!$B:$B,"&lt;="&amp;$B178))</f>
        <v>77.066666666666663</v>
      </c>
      <c r="Q178">
        <f>IF(COUNTIFS(monthly!I:I,"",monthly!$A:$A,"&gt;="&amp;$A178,monthly!$B:$B,"&lt;="&amp;$B178)&gt;0,"NA",AVERAGEIFS(monthly!I:I,monthly!$A:$A,"&gt;="&amp;$A178,monthly!$B:$B,"&lt;="&amp;$B178))</f>
        <v>107.86666666666667</v>
      </c>
      <c r="R178">
        <f>IF(COUNTIFS(monthly!J:J,"",monthly!$A:$A,"&gt;="&amp;$A178,monthly!$B:$B,"&lt;="&amp;$B178)&gt;0,"NA",AVERAGEIFS(monthly!J:J,monthly!$A:$A,"&gt;="&amp;$A178,monthly!$B:$B,"&lt;="&amp;$B178))</f>
        <v>16.66</v>
      </c>
      <c r="S178">
        <f>IF(COUNTIFS(monthly!K:K,"",monthly!$A:$A,"&gt;="&amp;$A178,monthly!$B:$B,"&lt;="&amp;$B178)&gt;0,"NA",AVERAGEIFS(monthly!K:K,monthly!$A:$A,"&gt;="&amp;$A178,monthly!$B:$B,"&lt;="&amp;$B178))</f>
        <v>2.5</v>
      </c>
      <c r="T178">
        <f>IF(COUNTIFS(monthly!L:L,"",monthly!$A:$A,"&gt;="&amp;$A178,monthly!$B:$B,"&lt;="&amp;$B178)&gt;0,"NA",AVERAGEIFS(monthly!L:L,monthly!$A:$A,"&gt;="&amp;$A178,monthly!$B:$B,"&lt;="&amp;$B178))</f>
        <v>7.2035330261136746E-2</v>
      </c>
      <c r="U178">
        <f>IF(COUNTIFS(monthly!M:M,"",monthly!$A:$A,"&gt;="&amp;$A178,monthly!$B:$B,"&lt;="&amp;$B178)&gt;0,"NA",AVERAGEIFS(monthly!M:M,monthly!$A:$A,"&gt;="&amp;$A178,monthly!$B:$B,"&lt;="&amp;$B178))</f>
        <v>2.4279646697388633</v>
      </c>
      <c r="V178">
        <f>IF(COUNTIFS(monthly!N:N,"",monthly!$A:$A,"&gt;="&amp;$A178,monthly!$B:$B,"&lt;="&amp;$B178)&gt;0,"NA",AVERAGEIFS(monthly!N:N,monthly!$A:$A,"&gt;="&amp;$A178,monthly!$B:$B,"&lt;="&amp;$B178))</f>
        <v>2.6990000000000003</v>
      </c>
      <c r="W178">
        <f>IF(COUNTIFS(monthly!O:O,"",monthly!$A:$A,"&gt;="&amp;$A178,monthly!$B:$B,"&lt;="&amp;$B178)&gt;0,"NA",AVERAGEIFS(monthly!O:O,monthly!$A:$A,"&gt;="&amp;$A178,monthly!$B:$B,"&lt;="&amp;$B178))</f>
        <v>0.37323308270676697</v>
      </c>
      <c r="X178">
        <f>IF(COUNTIFS(monthly!P:P,"",monthly!$A:$A,"&gt;="&amp;$A178,monthly!$B:$B,"&lt;="&amp;$B178)&gt;0,"NA",AVERAGEIFS(monthly!P:P,monthly!$A:$A,"&gt;="&amp;$A178,monthly!$B:$B,"&lt;="&amp;$B178))</f>
        <v>2.3257669172932331</v>
      </c>
      <c r="Y178">
        <f>IF(COUNTIFS(monthly!Q:Q,"",monthly!$A:$A,"&gt;="&amp;$A178,monthly!$B:$B,"&lt;="&amp;$B178)&gt;0,"NA",AVERAGEIFS(monthly!Q:Q,monthly!$A:$A,"&gt;="&amp;$A178,monthly!$B:$B,"&lt;="&amp;$B178))</f>
        <v>4.1179999999999994</v>
      </c>
      <c r="Z178">
        <f>IF(COUNTIFS(monthly!R:R,"",monthly!$A:$A,"&gt;="&amp;$A178,monthly!$B:$B,"&lt;="&amp;$B178)&gt;0,"NA",AVERAGEIFS(monthly!R:R,monthly!$A:$A,"&gt;="&amp;$A178,monthly!$B:$B,"&lt;="&amp;$B178))</f>
        <v>2.7636340852130323</v>
      </c>
      <c r="AA178">
        <f>IF(COUNTIFS(monthly!S:S,"",monthly!$A:$A,"&gt;="&amp;$A178,monthly!$B:$B,"&lt;="&amp;$B178)&gt;0,"NA",AVERAGEIFS(monthly!S:S,monthly!$A:$A,"&gt;="&amp;$A178,monthly!$B:$B,"&lt;="&amp;$B178))</f>
        <v>1.3543659147869676</v>
      </c>
      <c r="AB178">
        <f>IF(COUNTIFS(monthly!T:T,"",monthly!$A:$A,"&gt;="&amp;$A178,monthly!$B:$B,"&lt;="&amp;$B178)&gt;0,"NA",AVERAGEIFS(monthly!T:T,monthly!$A:$A,"&gt;="&amp;$A178,monthly!$B:$B,"&lt;="&amp;$B178))</f>
        <v>14.84920634920635</v>
      </c>
      <c r="AC178">
        <f>IF(COUNTIFS(monthly!U:U,"",monthly!$A:$A,"&gt;="&amp;$A178,monthly!$B:$B,"&lt;="&amp;$B178)&gt;0,"NA",AVERAGEIFS(monthly!U:U,monthly!$A:$A,"&gt;="&amp;$A178,monthly!$B:$B,"&lt;="&amp;$B178))</f>
        <v>108.67041308947817</v>
      </c>
      <c r="AD178">
        <f>IF(COUNTIFS(monthly!V:V,"",monthly!$A:$A,"&gt;="&amp;$A178,monthly!$B:$B,"&lt;="&amp;$B178)&gt;0,"NA",AVERAGEIFS(monthly!V:V,monthly!$A:$A,"&gt;="&amp;$A178,monthly!$B:$B,"&lt;="&amp;$B178))</f>
        <v>76.175161537974986</v>
      </c>
      <c r="AE178">
        <f>IF(COUNTIFS(monthly!W:W,"",monthly!$A:$A,"&gt;="&amp;$A178,monthly!$B:$B,"&lt;="&amp;$B178)&gt;0,"NA",AVERAGEIFS(monthly!W:W,monthly!$A:$A,"&gt;="&amp;$A178,monthly!$B:$B,"&lt;="&amp;$B178))</f>
        <v>88.919349670410156</v>
      </c>
      <c r="AF178">
        <f>IF(COUNTIFS(monthly!X:X,"",monthly!$A:$A,"&gt;="&amp;$A178,monthly!$B:$B,"&lt;="&amp;$B178)&gt;0,"NA",AVERAGEIFS(monthly!X:X,monthly!$A:$A,"&gt;="&amp;$A178,monthly!$B:$B,"&lt;="&amp;$B178))</f>
        <v>98.478065490722656</v>
      </c>
      <c r="AG178">
        <f>IF(COUNTIFS(monthly!Y:Y,"",monthly!$A:$A,"&gt;="&amp;$A178,monthly!$B:$B,"&lt;="&amp;$B178)&gt;0,"NA",AVERAGEIFS(monthly!Y:Y,monthly!$A:$A,"&gt;="&amp;$A178,monthly!$B:$B,"&lt;="&amp;$B178))</f>
        <v>72.098114013671875</v>
      </c>
      <c r="AH178">
        <f>IF(COUNTIFS(monthly!Z:Z,"",monthly!$A:$A,"&gt;="&amp;$A178,monthly!$B:$B,"&lt;="&amp;$B178)&gt;0,"NA",AVERAGEIFS(monthly!Z:Z,monthly!$A:$A,"&gt;="&amp;$A178,monthly!$B:$B,"&lt;="&amp;$B178))</f>
        <v>6.2960254649321243E-2</v>
      </c>
    </row>
    <row r="179" spans="1:34" x14ac:dyDescent="0.2">
      <c r="A179" s="1">
        <v>41730</v>
      </c>
      <c r="B179" s="1">
        <v>41820</v>
      </c>
      <c r="C179">
        <f>IF(ISBLANK(VLOOKUP($A179,quarterly_data,MATCH(C$1,quarterly!$1:$1,FALSE),FALSE)),"NA",VLOOKUP($A179,quarterly_data,MATCH(C$1,quarterly!$1:$1,FALSE),FALSE))</f>
        <v>153.65666178888657</v>
      </c>
      <c r="D179">
        <f>IF(ISBLANK(VLOOKUP($A179,quarterly_data,MATCH(D$1,quarterly!$1:$1,FALSE),FALSE)),"NA",VLOOKUP($A179,quarterly_data,MATCH(D$1,quarterly!$1:$1,FALSE),FALSE))</f>
        <v>83.2</v>
      </c>
      <c r="E179">
        <f>IF(ISBLANK(VLOOKUP($A179,quarterly_data,MATCH(E$1,quarterly!$1:$1,FALSE),FALSE)),"NA",VLOOKUP($A179,quarterly_data,MATCH(E$1,quarterly!$1:$1,FALSE),FALSE))</f>
        <v>0.30809520000000001</v>
      </c>
      <c r="F179">
        <f>IF(ISBLANK(VLOOKUP($A179,quarterly_data,MATCH(F$1,quarterly!$1:$1,FALSE),FALSE)),"NA",VLOOKUP($A179,quarterly_data,MATCH(F$1,quarterly!$1:$1,FALSE),FALSE))</f>
        <v>6.1619E-2</v>
      </c>
      <c r="G179">
        <f>IF(ISBLANK(VLOOKUP($A179,quarterly_data,MATCH(G$1,quarterly!$1:$1,FALSE),FALSE)),"NA",VLOOKUP($A179,quarterly_data,MATCH(G$1,quarterly!$1:$1,FALSE),FALSE))</f>
        <v>18185.911</v>
      </c>
      <c r="H179">
        <f>IF(ISBLANK(VLOOKUP($A179,quarterly_data,MATCH(H$1,quarterly!$1:$1,FALSE),FALSE)),"NA",VLOOKUP($A179,quarterly_data,MATCH(H$1,quarterly!$1:$1,FALSE),FALSE))</f>
        <v>537231</v>
      </c>
      <c r="I179">
        <f>IF(ISBLANK(VLOOKUP($A179,quarterly_data,MATCH(I$1,quarterly!$1:$1,FALSE),FALSE)),"NA",VLOOKUP($A179,quarterly_data,MATCH(I$1,quarterly!$1:$1,FALSE),FALSE))</f>
        <v>0.7</v>
      </c>
      <c r="J179">
        <f>IF(ISBLANK(VLOOKUP($A179,quarterly_data,MATCH(J$1,quarterly!$1:$1,FALSE),FALSE)),"NA",VLOOKUP($A179,quarterly_data,MATCH(J$1,quarterly!$1:$1,FALSE),FALSE))</f>
        <v>73.569999999999993</v>
      </c>
      <c r="K179">
        <f>IF(COUNTIFS(monthly!C:C,"",monthly!$A:$A,"&gt;="&amp;$A179,monthly!$B:$B,"&lt;="&amp;$B179)&gt;0,"NA",AVERAGEIFS(monthly!C:C,monthly!$A:$A,"&gt;="&amp;$A179,monthly!$B:$B,"&lt;="&amp;$B179))</f>
        <v>71.63333333333334</v>
      </c>
      <c r="L179">
        <f>IF(COUNTIFS(monthly!D:D,"",monthly!$A:$A,"&gt;="&amp;$A179,monthly!$B:$B,"&lt;="&amp;$B179)&gt;0,"NA",AVERAGEIFS(monthly!D:D,monthly!$A:$A,"&gt;="&amp;$A179,monthly!$B:$B,"&lt;="&amp;$B179))</f>
        <v>0.93420000000000003</v>
      </c>
      <c r="M179">
        <f>IF(COUNTIFS(monthly!E:E,"",monthly!$A:$A,"&gt;="&amp;$A179,monthly!$B:$B,"&lt;="&amp;$B179)&gt;0,"NA",AVERAGEIFS(monthly!E:E,monthly!$A:$A,"&gt;="&amp;$A179,monthly!$B:$B,"&lt;="&amp;$B179))</f>
        <v>77.200670016773401</v>
      </c>
      <c r="N179">
        <f>IF(COUNTIFS(monthly!F:F,"",monthly!$A:$A,"&gt;="&amp;$A179,monthly!$B:$B,"&lt;="&amp;$B179)&gt;0,"NA",AVERAGEIFS(monthly!F:F,monthly!$A:$A,"&gt;="&amp;$A179,monthly!$B:$B,"&lt;="&amp;$B179))</f>
        <v>76.377327999639462</v>
      </c>
      <c r="O179">
        <f>IF(COUNTIFS(monthly!G:G,"",monthly!$A:$A,"&gt;="&amp;$A179,monthly!$B:$B,"&lt;="&amp;$B179)&gt;0,"NA",AVERAGEIFS(monthly!G:G,monthly!$A:$A,"&gt;="&amp;$A179,monthly!$B:$B,"&lt;="&amp;$B179))</f>
        <v>102.63333333333333</v>
      </c>
      <c r="P179">
        <f>IF(COUNTIFS(monthly!H:H,"",monthly!$A:$A,"&gt;="&amp;$A179,monthly!$B:$B,"&lt;="&amp;$B179)&gt;0,"NA",AVERAGEIFS(monthly!H:H,monthly!$A:$A,"&gt;="&amp;$A179,monthly!$B:$B,"&lt;="&amp;$B179))</f>
        <v>72.666666666666671</v>
      </c>
      <c r="Q179">
        <f>IF(COUNTIFS(monthly!I:I,"",monthly!$A:$A,"&gt;="&amp;$A179,monthly!$B:$B,"&lt;="&amp;$B179)&gt;0,"NA",AVERAGEIFS(monthly!I:I,monthly!$A:$A,"&gt;="&amp;$A179,monthly!$B:$B,"&lt;="&amp;$B179))</f>
        <v>109.8</v>
      </c>
      <c r="R179">
        <f>IF(COUNTIFS(monthly!J:J,"",monthly!$A:$A,"&gt;="&amp;$A179,monthly!$B:$B,"&lt;="&amp;$B179)&gt;0,"NA",AVERAGEIFS(monthly!J:J,monthly!$A:$A,"&gt;="&amp;$A179,monthly!$B:$B,"&lt;="&amp;$B179))</f>
        <v>16.41333333333333</v>
      </c>
      <c r="S179">
        <f>IF(COUNTIFS(monthly!K:K,"",monthly!$A:$A,"&gt;="&amp;$A179,monthly!$B:$B,"&lt;="&amp;$B179)&gt;0,"NA",AVERAGEIFS(monthly!K:K,monthly!$A:$A,"&gt;="&amp;$A179,monthly!$B:$B,"&lt;="&amp;$B179))</f>
        <v>2.5</v>
      </c>
      <c r="T179">
        <f>IF(COUNTIFS(monthly!L:L,"",monthly!$A:$A,"&gt;="&amp;$A179,monthly!$B:$B,"&lt;="&amp;$B179)&gt;0,"NA",AVERAGEIFS(monthly!L:L,monthly!$A:$A,"&gt;="&amp;$A179,monthly!$B:$B,"&lt;="&amp;$B179))</f>
        <v>9.1032258064516133E-2</v>
      </c>
      <c r="U179">
        <f>IF(COUNTIFS(monthly!M:M,"",monthly!$A:$A,"&gt;="&amp;$A179,monthly!$B:$B,"&lt;="&amp;$B179)&gt;0,"NA",AVERAGEIFS(monthly!M:M,monthly!$A:$A,"&gt;="&amp;$A179,monthly!$B:$B,"&lt;="&amp;$B179))</f>
        <v>2.4089677419354842</v>
      </c>
      <c r="V179">
        <f>IF(COUNTIFS(monthly!N:N,"",monthly!$A:$A,"&gt;="&amp;$A179,monthly!$B:$B,"&lt;="&amp;$B179)&gt;0,"NA",AVERAGEIFS(monthly!N:N,monthly!$A:$A,"&gt;="&amp;$A179,monthly!$B:$B,"&lt;="&amp;$B179))</f>
        <v>2.6850000000000001</v>
      </c>
      <c r="W179">
        <f>IF(COUNTIFS(monthly!O:O,"",monthly!$A:$A,"&gt;="&amp;$A179,monthly!$B:$B,"&lt;="&amp;$B179)&gt;0,"NA",AVERAGEIFS(monthly!O:O,monthly!$A:$A,"&gt;="&amp;$A179,monthly!$B:$B,"&lt;="&amp;$B179))</f>
        <v>0.41952380952380947</v>
      </c>
      <c r="X179">
        <f>IF(COUNTIFS(monthly!P:P,"",monthly!$A:$A,"&gt;="&amp;$A179,monthly!$B:$B,"&lt;="&amp;$B179)&gt;0,"NA",AVERAGEIFS(monthly!P:P,monthly!$A:$A,"&gt;="&amp;$A179,monthly!$B:$B,"&lt;="&amp;$B179))</f>
        <v>2.2654761904761904</v>
      </c>
      <c r="Y179">
        <f>IF(COUNTIFS(monthly!Q:Q,"",monthly!$A:$A,"&gt;="&amp;$A179,monthly!$B:$B,"&lt;="&amp;$B179)&gt;0,"NA",AVERAGEIFS(monthly!Q:Q,monthly!$A:$A,"&gt;="&amp;$A179,monthly!$B:$B,"&lt;="&amp;$B179))</f>
        <v>3.8403333333333336</v>
      </c>
      <c r="Z179">
        <f>IF(COUNTIFS(monthly!R:R,"",monthly!$A:$A,"&gt;="&amp;$A179,monthly!$B:$B,"&lt;="&amp;$B179)&gt;0,"NA",AVERAGEIFS(monthly!R:R,monthly!$A:$A,"&gt;="&amp;$A179,monthly!$B:$B,"&lt;="&amp;$B179))</f>
        <v>2.6209523809523811</v>
      </c>
      <c r="AA179">
        <f>IF(COUNTIFS(monthly!S:S,"",monthly!$A:$A,"&gt;="&amp;$A179,monthly!$B:$B,"&lt;="&amp;$B179)&gt;0,"NA",AVERAGEIFS(monthly!S:S,monthly!$A:$A,"&gt;="&amp;$A179,monthly!$B:$B,"&lt;="&amp;$B179))</f>
        <v>1.2193809523809525</v>
      </c>
      <c r="AB179">
        <f>IF(COUNTIFS(monthly!T:T,"",monthly!$A:$A,"&gt;="&amp;$A179,monthly!$B:$B,"&lt;="&amp;$B179)&gt;0,"NA",AVERAGEIFS(monthly!T:T,monthly!$A:$A,"&gt;="&amp;$A179,monthly!$B:$B,"&lt;="&amp;$B179))</f>
        <v>12.73825396825397</v>
      </c>
      <c r="AC179">
        <f>IF(COUNTIFS(monthly!U:U,"",monthly!$A:$A,"&gt;="&amp;$A179,monthly!$B:$B,"&lt;="&amp;$B179)&gt;0,"NA",AVERAGEIFS(monthly!U:U,monthly!$A:$A,"&gt;="&amp;$A179,monthly!$B:$B,"&lt;="&amp;$B179))</f>
        <v>101.34145082425327</v>
      </c>
      <c r="AD179">
        <f>IF(COUNTIFS(monthly!V:V,"",monthly!$A:$A,"&gt;="&amp;$A179,monthly!$B:$B,"&lt;="&amp;$B179)&gt;0,"NA",AVERAGEIFS(monthly!V:V,monthly!$A:$A,"&gt;="&amp;$A179,monthly!$B:$B,"&lt;="&amp;$B179))</f>
        <v>62.428439804218925</v>
      </c>
      <c r="AE179">
        <f>IF(COUNTIFS(monthly!W:W,"",monthly!$A:$A,"&gt;="&amp;$A179,monthly!$B:$B,"&lt;="&amp;$B179)&gt;0,"NA",AVERAGEIFS(monthly!W:W,monthly!$A:$A,"&gt;="&amp;$A179,monthly!$B:$B,"&lt;="&amp;$B179))</f>
        <v>91.805834452311203</v>
      </c>
      <c r="AF179">
        <f>IF(COUNTIFS(monthly!X:X,"",monthly!$A:$A,"&gt;="&amp;$A179,monthly!$B:$B,"&lt;="&amp;$B179)&gt;0,"NA",AVERAGEIFS(monthly!X:X,monthly!$A:$A,"&gt;="&amp;$A179,monthly!$B:$B,"&lt;="&amp;$B179))</f>
        <v>100.0538838704427</v>
      </c>
      <c r="AG179">
        <f>IF(COUNTIFS(monthly!Y:Y,"",monthly!$A:$A,"&gt;="&amp;$A179,monthly!$B:$B,"&lt;="&amp;$B179)&gt;0,"NA",AVERAGEIFS(monthly!Y:Y,monthly!$A:$A,"&gt;="&amp;$A179,monthly!$B:$B,"&lt;="&amp;$B179))</f>
        <v>81.412916819254562</v>
      </c>
      <c r="AH179">
        <f>IF(COUNTIFS(monthly!Z:Z,"",monthly!$A:$A,"&gt;="&amp;$A179,monthly!$B:$B,"&lt;="&amp;$B179)&gt;0,"NA",AVERAGEIFS(monthly!Z:Z,monthly!$A:$A,"&gt;="&amp;$A179,monthly!$B:$B,"&lt;="&amp;$B179))</f>
        <v>6.6234444578488663E-2</v>
      </c>
    </row>
    <row r="180" spans="1:34" x14ac:dyDescent="0.2">
      <c r="A180" s="1">
        <v>41821</v>
      </c>
      <c r="B180" s="1">
        <v>41912</v>
      </c>
      <c r="C180">
        <f>IF(ISBLANK(VLOOKUP($A180,quarterly_data,MATCH(C$1,quarterly!$1:$1,FALSE),FALSE)),"NA",VLOOKUP($A180,quarterly_data,MATCH(C$1,quarterly!$1:$1,FALSE),FALSE))</f>
        <v>153.02527805008518</v>
      </c>
      <c r="D180">
        <f>IF(ISBLANK(VLOOKUP($A180,quarterly_data,MATCH(D$1,quarterly!$1:$1,FALSE),FALSE)),"NA",VLOOKUP($A180,quarterly_data,MATCH(D$1,quarterly!$1:$1,FALSE),FALSE))</f>
        <v>80.7</v>
      </c>
      <c r="E180">
        <f>IF(ISBLANK(VLOOKUP($A180,quarterly_data,MATCH(E$1,quarterly!$1:$1,FALSE),FALSE)),"NA",VLOOKUP($A180,quarterly_data,MATCH(E$1,quarterly!$1:$1,FALSE),FALSE))</f>
        <v>8.0128199999999997E-2</v>
      </c>
      <c r="F180">
        <f>IF(ISBLANK(VLOOKUP($A180,quarterly_data,MATCH(F$1,quarterly!$1:$1,FALSE),FALSE)),"NA",VLOOKUP($A180,quarterly_data,MATCH(F$1,quarterly!$1:$1,FALSE),FALSE))</f>
        <v>4.68352E-2</v>
      </c>
      <c r="G180">
        <f>IF(ISBLANK(VLOOKUP($A180,quarterly_data,MATCH(G$1,quarterly!$1:$1,FALSE),FALSE)),"NA",VLOOKUP($A180,quarterly_data,MATCH(G$1,quarterly!$1:$1,FALSE),FALSE))</f>
        <v>18406.940999999999</v>
      </c>
      <c r="H180">
        <f>IF(ISBLANK(VLOOKUP($A180,quarterly_data,MATCH(H$1,quarterly!$1:$1,FALSE),FALSE)),"NA",VLOOKUP($A180,quarterly_data,MATCH(H$1,quarterly!$1:$1,FALSE),FALSE))</f>
        <v>539397</v>
      </c>
      <c r="I180">
        <f>IF(ISBLANK(VLOOKUP($A180,quarterly_data,MATCH(I$1,quarterly!$1:$1,FALSE),FALSE)),"NA",VLOOKUP($A180,quarterly_data,MATCH(I$1,quarterly!$1:$1,FALSE),FALSE))</f>
        <v>0.4</v>
      </c>
      <c r="J180">
        <f>IF(ISBLANK(VLOOKUP($A180,quarterly_data,MATCH(J$1,quarterly!$1:$1,FALSE),FALSE)),"NA",VLOOKUP($A180,quarterly_data,MATCH(J$1,quarterly!$1:$1,FALSE),FALSE))</f>
        <v>73.88</v>
      </c>
      <c r="K180">
        <f>IF(COUNTIFS(monthly!C:C,"",monthly!$A:$A,"&gt;="&amp;$A180,monthly!$B:$B,"&lt;="&amp;$B180)&gt;0,"NA",AVERAGEIFS(monthly!C:C,monthly!$A:$A,"&gt;="&amp;$A180,monthly!$B:$B,"&lt;="&amp;$B180))</f>
        <v>70.766666666666666</v>
      </c>
      <c r="L180">
        <f>IF(COUNTIFS(monthly!D:D,"",monthly!$A:$A,"&gt;="&amp;$A180,monthly!$B:$B,"&lt;="&amp;$B180)&gt;0,"NA",AVERAGEIFS(monthly!D:D,monthly!$A:$A,"&gt;="&amp;$A180,monthly!$B:$B,"&lt;="&amp;$B180))</f>
        <v>0.91416666666666657</v>
      </c>
      <c r="M180">
        <f>IF(COUNTIFS(monthly!E:E,"",monthly!$A:$A,"&gt;="&amp;$A180,monthly!$B:$B,"&lt;="&amp;$B180)&gt;0,"NA",AVERAGEIFS(monthly!E:E,monthly!$A:$A,"&gt;="&amp;$A180,monthly!$B:$B,"&lt;="&amp;$B180))</f>
        <v>72.874195682366732</v>
      </c>
      <c r="N180">
        <f>IF(COUNTIFS(monthly!F:F,"",monthly!$A:$A,"&gt;="&amp;$A180,monthly!$B:$B,"&lt;="&amp;$B180)&gt;0,"NA",AVERAGEIFS(monthly!F:F,monthly!$A:$A,"&gt;="&amp;$A180,monthly!$B:$B,"&lt;="&amp;$B180))</f>
        <v>72.687678809480303</v>
      </c>
      <c r="O180">
        <f>IF(COUNTIFS(monthly!G:G,"",monthly!$A:$A,"&gt;="&amp;$A180,monthly!$B:$B,"&lt;="&amp;$B180)&gt;0,"NA",AVERAGEIFS(monthly!G:G,monthly!$A:$A,"&gt;="&amp;$A180,monthly!$B:$B,"&lt;="&amp;$B180))</f>
        <v>90.366666666666674</v>
      </c>
      <c r="P180">
        <f>IF(COUNTIFS(monthly!H:H,"",monthly!$A:$A,"&gt;="&amp;$A180,monthly!$B:$B,"&lt;="&amp;$B180)&gt;0,"NA",AVERAGEIFS(monthly!H:H,monthly!$A:$A,"&gt;="&amp;$A180,monthly!$B:$B,"&lt;="&amp;$B180))</f>
        <v>67.86666666666666</v>
      </c>
      <c r="Q180">
        <f>IF(COUNTIFS(monthly!I:I,"",monthly!$A:$A,"&gt;="&amp;$A180,monthly!$B:$B,"&lt;="&amp;$B180)&gt;0,"NA",AVERAGEIFS(monthly!I:I,monthly!$A:$A,"&gt;="&amp;$A180,monthly!$B:$B,"&lt;="&amp;$B180))</f>
        <v>102.06666666666666</v>
      </c>
      <c r="R180">
        <f>IF(COUNTIFS(monthly!J:J,"",monthly!$A:$A,"&gt;="&amp;$A180,monthly!$B:$B,"&lt;="&amp;$B180)&gt;0,"NA",AVERAGEIFS(monthly!J:J,monthly!$A:$A,"&gt;="&amp;$A180,monthly!$B:$B,"&lt;="&amp;$B180))</f>
        <v>15.37</v>
      </c>
      <c r="S180">
        <f>IF(COUNTIFS(monthly!K:K,"",monthly!$A:$A,"&gt;="&amp;$A180,monthly!$B:$B,"&lt;="&amp;$B180)&gt;0,"NA",AVERAGEIFS(monthly!K:K,monthly!$A:$A,"&gt;="&amp;$A180,monthly!$B:$B,"&lt;="&amp;$B180))</f>
        <v>2.5</v>
      </c>
      <c r="T180">
        <f>IF(COUNTIFS(monthly!L:L,"",monthly!$A:$A,"&gt;="&amp;$A180,monthly!$B:$B,"&lt;="&amp;$B180)&gt;0,"NA",AVERAGEIFS(monthly!L:L,monthly!$A:$A,"&gt;="&amp;$A180,monthly!$B:$B,"&lt;="&amp;$B180))</f>
        <v>8.9121863799283149E-2</v>
      </c>
      <c r="U180">
        <f>IF(COUNTIFS(monthly!M:M,"",monthly!$A:$A,"&gt;="&amp;$A180,monthly!$B:$B,"&lt;="&amp;$B180)&gt;0,"NA",AVERAGEIFS(monthly!M:M,monthly!$A:$A,"&gt;="&amp;$A180,monthly!$B:$B,"&lt;="&amp;$B180))</f>
        <v>2.4108781362007168</v>
      </c>
      <c r="V180">
        <f>IF(COUNTIFS(monthly!N:N,"",monthly!$A:$A,"&gt;="&amp;$A180,monthly!$B:$B,"&lt;="&amp;$B180)&gt;0,"NA",AVERAGEIFS(monthly!N:N,monthly!$A:$A,"&gt;="&amp;$A180,monthly!$B:$B,"&lt;="&amp;$B180))</f>
        <v>2.5826666666666664</v>
      </c>
      <c r="W180">
        <f>IF(COUNTIFS(monthly!O:O,"",monthly!$A:$A,"&gt;="&amp;$A180,monthly!$B:$B,"&lt;="&amp;$B180)&gt;0,"NA",AVERAGEIFS(monthly!O:O,monthly!$A:$A,"&gt;="&amp;$A180,monthly!$B:$B,"&lt;="&amp;$B180))</f>
        <v>0.51513708513708512</v>
      </c>
      <c r="X180">
        <f>IF(COUNTIFS(monthly!P:P,"",monthly!$A:$A,"&gt;="&amp;$A180,monthly!$B:$B,"&lt;="&amp;$B180)&gt;0,"NA",AVERAGEIFS(monthly!P:P,monthly!$A:$A,"&gt;="&amp;$A180,monthly!$B:$B,"&lt;="&amp;$B180))</f>
        <v>2.0675295815295813</v>
      </c>
      <c r="Y180">
        <f>IF(COUNTIFS(monthly!Q:Q,"",monthly!$A:$A,"&gt;="&amp;$A180,monthly!$B:$B,"&lt;="&amp;$B180)&gt;0,"NA",AVERAGEIFS(monthly!Q:Q,monthly!$A:$A,"&gt;="&amp;$A180,monthly!$B:$B,"&lt;="&amp;$B180))</f>
        <v>3.4963333333333337</v>
      </c>
      <c r="Z180">
        <f>IF(COUNTIFS(monthly!R:R,"",monthly!$A:$A,"&gt;="&amp;$A180,monthly!$B:$B,"&lt;="&amp;$B180)&gt;0,"NA",AVERAGEIFS(monthly!R:R,monthly!$A:$A,"&gt;="&amp;$A180,monthly!$B:$B,"&lt;="&amp;$B180))</f>
        <v>2.4988528138528139</v>
      </c>
      <c r="AA180">
        <f>IF(COUNTIFS(monthly!S:S,"",monthly!$A:$A,"&gt;="&amp;$A180,monthly!$B:$B,"&lt;="&amp;$B180)&gt;0,"NA",AVERAGEIFS(monthly!S:S,monthly!$A:$A,"&gt;="&amp;$A180,monthly!$B:$B,"&lt;="&amp;$B180))</f>
        <v>0.99748051948051952</v>
      </c>
      <c r="AB180">
        <f>IF(COUNTIFS(monthly!T:T,"",monthly!$A:$A,"&gt;="&amp;$A180,monthly!$B:$B,"&lt;="&amp;$B180)&gt;0,"NA",AVERAGEIFS(monthly!T:T,monthly!$A:$A,"&gt;="&amp;$A180,monthly!$B:$B,"&lt;="&amp;$B180))</f>
        <v>13.084978354978356</v>
      </c>
      <c r="AC180">
        <f>IF(COUNTIFS(monthly!U:U,"",monthly!$A:$A,"&gt;="&amp;$A180,monthly!$B:$B,"&lt;="&amp;$B180)&gt;0,"NA",AVERAGEIFS(monthly!U:U,monthly!$A:$A,"&gt;="&amp;$A180,monthly!$B:$B,"&lt;="&amp;$B180))</f>
        <v>102.79816207388645</v>
      </c>
      <c r="AD180">
        <f>IF(COUNTIFS(monthly!V:V,"",monthly!$A:$A,"&gt;="&amp;$A180,monthly!$B:$B,"&lt;="&amp;$B180)&gt;0,"NA",AVERAGEIFS(monthly!V:V,monthly!$A:$A,"&gt;="&amp;$A180,monthly!$B:$B,"&lt;="&amp;$B180))</f>
        <v>87.248754155834376</v>
      </c>
      <c r="AE180">
        <f>IF(COUNTIFS(monthly!W:W,"",monthly!$A:$A,"&gt;="&amp;$A180,monthly!$B:$B,"&lt;="&amp;$B180)&gt;0,"NA",AVERAGEIFS(monthly!W:W,monthly!$A:$A,"&gt;="&amp;$A180,monthly!$B:$B,"&lt;="&amp;$B180))</f>
        <v>135.58539835611978</v>
      </c>
      <c r="AF180">
        <f>IF(COUNTIFS(monthly!X:X,"",monthly!$A:$A,"&gt;="&amp;$A180,monthly!$B:$B,"&lt;="&amp;$B180)&gt;0,"NA",AVERAGEIFS(monthly!X:X,monthly!$A:$A,"&gt;="&amp;$A180,monthly!$B:$B,"&lt;="&amp;$B180))</f>
        <v>154.90132649739584</v>
      </c>
      <c r="AG180">
        <f>IF(COUNTIFS(monthly!Y:Y,"",monthly!$A:$A,"&gt;="&amp;$A180,monthly!$B:$B,"&lt;="&amp;$B180)&gt;0,"NA",AVERAGEIFS(monthly!Y:Y,monthly!$A:$A,"&gt;="&amp;$A180,monthly!$B:$B,"&lt;="&amp;$B180))</f>
        <v>117.14774831136067</v>
      </c>
      <c r="AH180">
        <f>IF(COUNTIFS(monthly!Z:Z,"",monthly!$A:$A,"&gt;="&amp;$A180,monthly!$B:$B,"&lt;="&amp;$B180)&gt;0,"NA",AVERAGEIFS(monthly!Z:Z,monthly!$A:$A,"&gt;="&amp;$A180,monthly!$B:$B,"&lt;="&amp;$B180))</f>
        <v>0.22636352976163229</v>
      </c>
    </row>
    <row r="181" spans="1:34" x14ac:dyDescent="0.2">
      <c r="A181" s="1">
        <v>41913</v>
      </c>
      <c r="B181" s="1">
        <v>42004</v>
      </c>
      <c r="C181">
        <f>IF(ISBLANK(VLOOKUP($A181,quarterly_data,MATCH(C$1,quarterly!$1:$1,FALSE),FALSE)),"NA",VLOOKUP($A181,quarterly_data,MATCH(C$1,quarterly!$1:$1,FALSE),FALSE))</f>
        <v>146.61238218095349</v>
      </c>
      <c r="D181">
        <f>IF(ISBLANK(VLOOKUP($A181,quarterly_data,MATCH(D$1,quarterly!$1:$1,FALSE),FALSE)),"NA",VLOOKUP($A181,quarterly_data,MATCH(D$1,quarterly!$1:$1,FALSE),FALSE))</f>
        <v>79</v>
      </c>
      <c r="E181">
        <f>IF(ISBLANK(VLOOKUP($A181,quarterly_data,MATCH(E$1,quarterly!$1:$1,FALSE),FALSE)),"NA",VLOOKUP($A181,quarterly_data,MATCH(E$1,quarterly!$1:$1,FALSE),FALSE))</f>
        <v>8.5940199999999994E-2</v>
      </c>
      <c r="F181">
        <f>IF(ISBLANK(VLOOKUP($A181,quarterly_data,MATCH(F$1,quarterly!$1:$1,FALSE),FALSE)),"NA",VLOOKUP($A181,quarterly_data,MATCH(F$1,quarterly!$1:$1,FALSE),FALSE))</f>
        <v>3.5470700000000001E-2</v>
      </c>
      <c r="G181">
        <f>IF(ISBLANK(VLOOKUP($A181,quarterly_data,MATCH(G$1,quarterly!$1:$1,FALSE),FALSE)),"NA",VLOOKUP($A181,quarterly_data,MATCH(G$1,quarterly!$1:$1,FALSE),FALSE))</f>
        <v>18500.030999999999</v>
      </c>
      <c r="H181">
        <f>IF(ISBLANK(VLOOKUP($A181,quarterly_data,MATCH(H$1,quarterly!$1:$1,FALSE),FALSE)),"NA",VLOOKUP($A181,quarterly_data,MATCH(H$1,quarterly!$1:$1,FALSE),FALSE))</f>
        <v>541390</v>
      </c>
      <c r="I181">
        <f>IF(ISBLANK(VLOOKUP($A181,quarterly_data,MATCH(I$1,quarterly!$1:$1,FALSE),FALSE)),"NA",VLOOKUP($A181,quarterly_data,MATCH(I$1,quarterly!$1:$1,FALSE),FALSE))</f>
        <v>0.6</v>
      </c>
      <c r="J181">
        <f>IF(ISBLANK(VLOOKUP($A181,quarterly_data,MATCH(J$1,quarterly!$1:$1,FALSE),FALSE)),"NA",VLOOKUP($A181,quarterly_data,MATCH(J$1,quarterly!$1:$1,FALSE),FALSE))</f>
        <v>74.02</v>
      </c>
      <c r="K181">
        <f>IF(COUNTIFS(monthly!C:C,"",monthly!$A:$A,"&gt;="&amp;$A181,monthly!$B:$B,"&lt;="&amp;$B181)&gt;0,"NA",AVERAGEIFS(monthly!C:C,monthly!$A:$A,"&gt;="&amp;$A181,monthly!$B:$B,"&lt;="&amp;$B181))</f>
        <v>68.033333333333346</v>
      </c>
      <c r="L181">
        <f>IF(COUNTIFS(monthly!D:D,"",monthly!$A:$A,"&gt;="&amp;$A181,monthly!$B:$B,"&lt;="&amp;$B181)&gt;0,"NA",AVERAGEIFS(monthly!D:D,monthly!$A:$A,"&gt;="&amp;$A181,monthly!$B:$B,"&lt;="&amp;$B181))</f>
        <v>0.84993333333333343</v>
      </c>
      <c r="M181">
        <f>IF(COUNTIFS(monthly!E:E,"",monthly!$A:$A,"&gt;="&amp;$A181,monthly!$B:$B,"&lt;="&amp;$B181)&gt;0,"NA",AVERAGEIFS(monthly!E:E,monthly!$A:$A,"&gt;="&amp;$A181,monthly!$B:$B,"&lt;="&amp;$B181))</f>
        <v>68.921040338670863</v>
      </c>
      <c r="N181">
        <f>IF(COUNTIFS(monthly!F:F,"",monthly!$A:$A,"&gt;="&amp;$A181,monthly!$B:$B,"&lt;="&amp;$B181)&gt;0,"NA",AVERAGEIFS(monthly!F:F,monthly!$A:$A,"&gt;="&amp;$A181,monthly!$B:$B,"&lt;="&amp;$B181))</f>
        <v>68.25395865897103</v>
      </c>
      <c r="O181">
        <f>IF(COUNTIFS(monthly!G:G,"",monthly!$A:$A,"&gt;="&amp;$A181,monthly!$B:$B,"&lt;="&amp;$B181)&gt;0,"NA",AVERAGEIFS(monthly!G:G,monthly!$A:$A,"&gt;="&amp;$A181,monthly!$B:$B,"&lt;="&amp;$B181))</f>
        <v>74.400000000000006</v>
      </c>
      <c r="P181">
        <f>IF(COUNTIFS(monthly!H:H,"",monthly!$A:$A,"&gt;="&amp;$A181,monthly!$B:$B,"&lt;="&amp;$B181)&gt;0,"NA",AVERAGEIFS(monthly!H:H,monthly!$A:$A,"&gt;="&amp;$A181,monthly!$B:$B,"&lt;="&amp;$B181))</f>
        <v>62.900000000000006</v>
      </c>
      <c r="Q181">
        <f>IF(COUNTIFS(monthly!I:I,"",monthly!$A:$A,"&gt;="&amp;$A181,monthly!$B:$B,"&lt;="&amp;$B181)&gt;0,"NA",AVERAGEIFS(monthly!I:I,monthly!$A:$A,"&gt;="&amp;$A181,monthly!$B:$B,"&lt;="&amp;$B181))</f>
        <v>76</v>
      </c>
      <c r="R181">
        <f>IF(COUNTIFS(monthly!J:J,"",monthly!$A:$A,"&gt;="&amp;$A181,monthly!$B:$B,"&lt;="&amp;$B181)&gt;0,"NA",AVERAGEIFS(monthly!J:J,monthly!$A:$A,"&gt;="&amp;$A181,monthly!$B:$B,"&lt;="&amp;$B181))</f>
        <v>15.700000000000001</v>
      </c>
      <c r="S181">
        <f>IF(COUNTIFS(monthly!K:K,"",monthly!$A:$A,"&gt;="&amp;$A181,monthly!$B:$B,"&lt;="&amp;$B181)&gt;0,"NA",AVERAGEIFS(monthly!K:K,monthly!$A:$A,"&gt;="&amp;$A181,monthly!$B:$B,"&lt;="&amp;$B181))</f>
        <v>2.5</v>
      </c>
      <c r="T181">
        <f>IF(COUNTIFS(monthly!L:L,"",monthly!$A:$A,"&gt;="&amp;$A181,monthly!$B:$B,"&lt;="&amp;$B181)&gt;0,"NA",AVERAGEIFS(monthly!L:L,monthly!$A:$A,"&gt;="&amp;$A181,monthly!$B:$B,"&lt;="&amp;$B181))</f>
        <v>0.1012043010752688</v>
      </c>
      <c r="U181">
        <f>IF(COUNTIFS(monthly!M:M,"",monthly!$A:$A,"&gt;="&amp;$A181,monthly!$B:$B,"&lt;="&amp;$B181)&gt;0,"NA",AVERAGEIFS(monthly!M:M,monthly!$A:$A,"&gt;="&amp;$A181,monthly!$B:$B,"&lt;="&amp;$B181))</f>
        <v>2.3987956989247312</v>
      </c>
      <c r="V181">
        <f>IF(COUNTIFS(monthly!N:N,"",monthly!$A:$A,"&gt;="&amp;$A181,monthly!$B:$B,"&lt;="&amp;$B181)&gt;0,"NA",AVERAGEIFS(monthly!N:N,monthly!$A:$A,"&gt;="&amp;$A181,monthly!$B:$B,"&lt;="&amp;$B181))</f>
        <v>2.4460000000000002</v>
      </c>
      <c r="W181">
        <f>IF(COUNTIFS(monthly!O:O,"",monthly!$A:$A,"&gt;="&amp;$A181,monthly!$B:$B,"&lt;="&amp;$B181)&gt;0,"NA",AVERAGEIFS(monthly!O:O,monthly!$A:$A,"&gt;="&amp;$A181,monthly!$B:$B,"&lt;="&amp;$B181))</f>
        <v>0.53604377104377121</v>
      </c>
      <c r="X181">
        <f>IF(COUNTIFS(monthly!P:P,"",monthly!$A:$A,"&gt;="&amp;$A181,monthly!$B:$B,"&lt;="&amp;$B181)&gt;0,"NA",AVERAGEIFS(monthly!P:P,monthly!$A:$A,"&gt;="&amp;$A181,monthly!$B:$B,"&lt;="&amp;$B181))</f>
        <v>1.9099562289562291</v>
      </c>
      <c r="Y181">
        <f>IF(COUNTIFS(monthly!Q:Q,"",monthly!$A:$A,"&gt;="&amp;$A181,monthly!$B:$B,"&lt;="&amp;$B181)&gt;0,"NA",AVERAGEIFS(monthly!Q:Q,monthly!$A:$A,"&gt;="&amp;$A181,monthly!$B:$B,"&lt;="&amp;$B181))</f>
        <v>3.2006666666666668</v>
      </c>
      <c r="Z181">
        <f>IF(COUNTIFS(monthly!R:R,"",monthly!$A:$A,"&gt;="&amp;$A181,monthly!$B:$B,"&lt;="&amp;$B181)&gt;0,"NA",AVERAGEIFS(monthly!R:R,monthly!$A:$A,"&gt;="&amp;$A181,monthly!$B:$B,"&lt;="&amp;$B181))</f>
        <v>2.2789730639730639</v>
      </c>
      <c r="AA181">
        <f>IF(COUNTIFS(monthly!S:S,"",monthly!$A:$A,"&gt;="&amp;$A181,monthly!$B:$B,"&lt;="&amp;$B181)&gt;0,"NA",AVERAGEIFS(monthly!S:S,monthly!$A:$A,"&gt;="&amp;$A181,monthly!$B:$B,"&lt;="&amp;$B181))</f>
        <v>0.92169360269360245</v>
      </c>
      <c r="AB181">
        <f>IF(COUNTIFS(monthly!T:T,"",monthly!$A:$A,"&gt;="&amp;$A181,monthly!$B:$B,"&lt;="&amp;$B181)&gt;0,"NA",AVERAGEIFS(monthly!T:T,monthly!$A:$A,"&gt;="&amp;$A181,monthly!$B:$B,"&lt;="&amp;$B181))</f>
        <v>15.921375424727827</v>
      </c>
      <c r="AC181">
        <f>IF(COUNTIFS(monthly!U:U,"",monthly!$A:$A,"&gt;="&amp;$A181,monthly!$B:$B,"&lt;="&amp;$B181)&gt;0,"NA",AVERAGEIFS(monthly!U:U,monthly!$A:$A,"&gt;="&amp;$A181,monthly!$B:$B,"&lt;="&amp;$B181))</f>
        <v>112.61522656499869</v>
      </c>
      <c r="AD181">
        <f>IF(COUNTIFS(monthly!V:V,"",monthly!$A:$A,"&gt;="&amp;$A181,monthly!$B:$B,"&lt;="&amp;$B181)&gt;0,"NA",AVERAGEIFS(monthly!V:V,monthly!$A:$A,"&gt;="&amp;$A181,monthly!$B:$B,"&lt;="&amp;$B181))</f>
        <v>81.610337843200114</v>
      </c>
      <c r="AE181">
        <f>IF(COUNTIFS(monthly!W:W,"",monthly!$A:$A,"&gt;="&amp;$A181,monthly!$B:$B,"&lt;="&amp;$B181)&gt;0,"NA",AVERAGEIFS(monthly!W:W,monthly!$A:$A,"&gt;="&amp;$A181,monthly!$B:$B,"&lt;="&amp;$B181))</f>
        <v>84.855758666992188</v>
      </c>
      <c r="AF181">
        <f>IF(COUNTIFS(monthly!X:X,"",monthly!$A:$A,"&gt;="&amp;$A181,monthly!$B:$B,"&lt;="&amp;$B181)&gt;0,"NA",AVERAGEIFS(monthly!X:X,monthly!$A:$A,"&gt;="&amp;$A181,monthly!$B:$B,"&lt;="&amp;$B181))</f>
        <v>85.358871459960938</v>
      </c>
      <c r="AG181">
        <f>IF(COUNTIFS(monthly!Y:Y,"",monthly!$A:$A,"&gt;="&amp;$A181,monthly!$B:$B,"&lt;="&amp;$B181)&gt;0,"NA",AVERAGEIFS(monthly!Y:Y,monthly!$A:$A,"&gt;="&amp;$A181,monthly!$B:$B,"&lt;="&amp;$B181))</f>
        <v>83.256276448567704</v>
      </c>
      <c r="AH181">
        <f>IF(COUNTIFS(monthly!Z:Z,"",monthly!$A:$A,"&gt;="&amp;$A181,monthly!$B:$B,"&lt;="&amp;$B181)&gt;0,"NA",AVERAGEIFS(monthly!Z:Z,monthly!$A:$A,"&gt;="&amp;$A181,monthly!$B:$B,"&lt;="&amp;$B181))</f>
        <v>0.14152062187592188</v>
      </c>
    </row>
    <row r="182" spans="1:34" x14ac:dyDescent="0.2">
      <c r="A182" s="1">
        <v>42005</v>
      </c>
      <c r="B182" s="1">
        <v>42094</v>
      </c>
      <c r="C182">
        <f>IF(ISBLANK(VLOOKUP($A182,quarterly_data,MATCH(C$1,quarterly!$1:$1,FALSE),FALSE)),"NA",VLOOKUP($A182,quarterly_data,MATCH(C$1,quarterly!$1:$1,FALSE),FALSE))</f>
        <v>139.13225869156281</v>
      </c>
      <c r="D182">
        <f>IF(ISBLANK(VLOOKUP($A182,quarterly_data,MATCH(D$1,quarterly!$1:$1,FALSE),FALSE)),"NA",VLOOKUP($A182,quarterly_data,MATCH(D$1,quarterly!$1:$1,FALSE),FALSE))</f>
        <v>76.5</v>
      </c>
      <c r="E182">
        <f>IF(ISBLANK(VLOOKUP($A182,quarterly_data,MATCH(E$1,quarterly!$1:$1,FALSE),FALSE)),"NA",VLOOKUP($A182,quarterly_data,MATCH(E$1,quarterly!$1:$1,FALSE),FALSE))</f>
        <v>0.2295421</v>
      </c>
      <c r="F182">
        <f>IF(ISBLANK(VLOOKUP($A182,quarterly_data,MATCH(F$1,quarterly!$1:$1,FALSE),FALSE)),"NA",VLOOKUP($A182,quarterly_data,MATCH(F$1,quarterly!$1:$1,FALSE),FALSE))</f>
        <v>5.7173399999999999E-2</v>
      </c>
      <c r="G182">
        <f>IF(ISBLANK(VLOOKUP($A182,quarterly_data,MATCH(G$1,quarterly!$1:$1,FALSE),FALSE)),"NA",VLOOKUP($A182,quarterly_data,MATCH(G$1,quarterly!$1:$1,FALSE),FALSE))</f>
        <v>18666.620999999999</v>
      </c>
      <c r="H182">
        <f>IF(ISBLANK(VLOOKUP($A182,quarterly_data,MATCH(H$1,quarterly!$1:$1,FALSE),FALSE)),"NA",VLOOKUP($A182,quarterly_data,MATCH(H$1,quarterly!$1:$1,FALSE),FALSE))</f>
        <v>546692</v>
      </c>
      <c r="I182">
        <f>IF(ISBLANK(VLOOKUP($A182,quarterly_data,MATCH(I$1,quarterly!$1:$1,FALSE),FALSE)),"NA",VLOOKUP($A182,quarterly_data,MATCH(I$1,quarterly!$1:$1,FALSE),FALSE))</f>
        <v>0.6</v>
      </c>
      <c r="J182">
        <f>IF(ISBLANK(VLOOKUP($A182,quarterly_data,MATCH(J$1,quarterly!$1:$1,FALSE),FALSE)),"NA",VLOOKUP($A182,quarterly_data,MATCH(J$1,quarterly!$1:$1,FALSE),FALSE))</f>
        <v>74.16</v>
      </c>
      <c r="K182">
        <f>IF(COUNTIFS(monthly!C:C,"",monthly!$A:$A,"&gt;="&amp;$A182,monthly!$B:$B,"&lt;="&amp;$B182)&gt;0,"NA",AVERAGEIFS(monthly!C:C,monthly!$A:$A,"&gt;="&amp;$A182,monthly!$B:$B,"&lt;="&amp;$B182))</f>
        <v>63.766666666666673</v>
      </c>
      <c r="L182">
        <f>IF(COUNTIFS(monthly!D:D,"",monthly!$A:$A,"&gt;="&amp;$A182,monthly!$B:$B,"&lt;="&amp;$B182)&gt;0,"NA",AVERAGEIFS(monthly!D:D,monthly!$A:$A,"&gt;="&amp;$A182,monthly!$B:$B,"&lt;="&amp;$B182))</f>
        <v>0.77356666666666662</v>
      </c>
      <c r="M182">
        <f>IF(COUNTIFS(monthly!E:E,"",monthly!$A:$A,"&gt;="&amp;$A182,monthly!$B:$B,"&lt;="&amp;$B182)&gt;0,"NA",AVERAGEIFS(monthly!E:E,monthly!$A:$A,"&gt;="&amp;$A182,monthly!$B:$B,"&lt;="&amp;$B182))</f>
        <v>65.790084968744011</v>
      </c>
      <c r="N182">
        <f>IF(COUNTIFS(monthly!F:F,"",monthly!$A:$A,"&gt;="&amp;$A182,monthly!$B:$B,"&lt;="&amp;$B182)&gt;0,"NA",AVERAGEIFS(monthly!F:F,monthly!$A:$A,"&gt;="&amp;$A182,monthly!$B:$B,"&lt;="&amp;$B182))</f>
        <v>64.955348793088874</v>
      </c>
      <c r="O182">
        <f>IF(COUNTIFS(monthly!G:G,"",monthly!$A:$A,"&gt;="&amp;$A182,monthly!$B:$B,"&lt;="&amp;$B182)&gt;0,"NA",AVERAGEIFS(monthly!G:G,monthly!$A:$A,"&gt;="&amp;$A182,monthly!$B:$B,"&lt;="&amp;$B182))</f>
        <v>63.033333333333331</v>
      </c>
      <c r="P182">
        <f>IF(COUNTIFS(monthly!H:H,"",monthly!$A:$A,"&gt;="&amp;$A182,monthly!$B:$B,"&lt;="&amp;$B182)&gt;0,"NA",AVERAGEIFS(monthly!H:H,monthly!$A:$A,"&gt;="&amp;$A182,monthly!$B:$B,"&lt;="&amp;$B182))</f>
        <v>65.100000000000009</v>
      </c>
      <c r="Q182">
        <f>IF(COUNTIFS(monthly!I:I,"",monthly!$A:$A,"&gt;="&amp;$A182,monthly!$B:$B,"&lt;="&amp;$B182)&gt;0,"NA",AVERAGEIFS(monthly!I:I,monthly!$A:$A,"&gt;="&amp;$A182,monthly!$B:$B,"&lt;="&amp;$B182))</f>
        <v>53.933333333333337</v>
      </c>
      <c r="R182">
        <f>IF(COUNTIFS(monthly!J:J,"",monthly!$A:$A,"&gt;="&amp;$A182,monthly!$B:$B,"&lt;="&amp;$B182)&gt;0,"NA",AVERAGEIFS(monthly!J:J,monthly!$A:$A,"&gt;="&amp;$A182,monthly!$B:$B,"&lt;="&amp;$B182))</f>
        <v>14.476666666666667</v>
      </c>
      <c r="S182">
        <f>IF(COUNTIFS(monthly!K:K,"",monthly!$A:$A,"&gt;="&amp;$A182,monthly!$B:$B,"&lt;="&amp;$B182)&gt;0,"NA",AVERAGEIFS(monthly!K:K,monthly!$A:$A,"&gt;="&amp;$A182,monthly!$B:$B,"&lt;="&amp;$B182))</f>
        <v>2.3433333333333333</v>
      </c>
      <c r="T182">
        <f>IF(COUNTIFS(monthly!L:L,"",monthly!$A:$A,"&gt;="&amp;$A182,monthly!$B:$B,"&lt;="&amp;$B182)&gt;0,"NA",AVERAGEIFS(monthly!L:L,monthly!$A:$A,"&gt;="&amp;$A182,monthly!$B:$B,"&lt;="&amp;$B182))</f>
        <v>0.11281874039938559</v>
      </c>
      <c r="U182">
        <f>IF(COUNTIFS(monthly!M:M,"",monthly!$A:$A,"&gt;="&amp;$A182,monthly!$B:$B,"&lt;="&amp;$B182)&gt;0,"NA",AVERAGEIFS(monthly!M:M,monthly!$A:$A,"&gt;="&amp;$A182,monthly!$B:$B,"&lt;="&amp;$B182))</f>
        <v>2.230514592933948</v>
      </c>
      <c r="V182">
        <f>IF(COUNTIFS(monthly!N:N,"",monthly!$A:$A,"&gt;="&amp;$A182,monthly!$B:$B,"&lt;="&amp;$B182)&gt;0,"NA",AVERAGEIFS(monthly!N:N,monthly!$A:$A,"&gt;="&amp;$A182,monthly!$B:$B,"&lt;="&amp;$B182))</f>
        <v>1.9556666666666667</v>
      </c>
      <c r="W182">
        <f>IF(COUNTIFS(monthly!O:O,"",monthly!$A:$A,"&gt;="&amp;$A182,monthly!$B:$B,"&lt;="&amp;$B182)&gt;0,"NA",AVERAGEIFS(monthly!O:O,monthly!$A:$A,"&gt;="&amp;$A182,monthly!$B:$B,"&lt;="&amp;$B182))</f>
        <v>0.60363397129186602</v>
      </c>
      <c r="X182">
        <f>IF(COUNTIFS(monthly!P:P,"",monthly!$A:$A,"&gt;="&amp;$A182,monthly!$B:$B,"&lt;="&amp;$B182)&gt;0,"NA",AVERAGEIFS(monthly!P:P,monthly!$A:$A,"&gt;="&amp;$A182,monthly!$B:$B,"&lt;="&amp;$B182))</f>
        <v>1.3520326953748008</v>
      </c>
      <c r="Y182">
        <f>IF(COUNTIFS(monthly!Q:Q,"",monthly!$A:$A,"&gt;="&amp;$A182,monthly!$B:$B,"&lt;="&amp;$B182)&gt;0,"NA",AVERAGEIFS(monthly!Q:Q,monthly!$A:$A,"&gt;="&amp;$A182,monthly!$B:$B,"&lt;="&amp;$B182))</f>
        <v>2.5289999999999999</v>
      </c>
      <c r="Z182">
        <f>IF(COUNTIFS(monthly!R:R,"",monthly!$A:$A,"&gt;="&amp;$A182,monthly!$B:$B,"&lt;="&amp;$B182)&gt;0,"NA",AVERAGEIFS(monthly!R:R,monthly!$A:$A,"&gt;="&amp;$A182,monthly!$B:$B,"&lt;="&amp;$B182))</f>
        <v>1.9664968102073364</v>
      </c>
      <c r="AA182">
        <f>IF(COUNTIFS(monthly!S:S,"",monthly!$A:$A,"&gt;="&amp;$A182,monthly!$B:$B,"&lt;="&amp;$B182)&gt;0,"NA",AVERAGEIFS(monthly!S:S,monthly!$A:$A,"&gt;="&amp;$A182,monthly!$B:$B,"&lt;="&amp;$B182))</f>
        <v>0.56250318979266367</v>
      </c>
      <c r="AB182">
        <f>IF(COUNTIFS(monthly!T:T,"",monthly!$A:$A,"&gt;="&amp;$A182,monthly!$B:$B,"&lt;="&amp;$B182)&gt;0,"NA",AVERAGEIFS(monthly!T:T,monthly!$A:$A,"&gt;="&amp;$A182,monthly!$B:$B,"&lt;="&amp;$B182))</f>
        <v>16.612145933014354</v>
      </c>
      <c r="AC182">
        <f>IF(COUNTIFS(monthly!U:U,"",monthly!$A:$A,"&gt;="&amp;$A182,monthly!$B:$B,"&lt;="&amp;$B182)&gt;0,"NA",AVERAGEIFS(monthly!U:U,monthly!$A:$A,"&gt;="&amp;$A182,monthly!$B:$B,"&lt;="&amp;$B182))</f>
        <v>116.95964223530899</v>
      </c>
      <c r="AD182">
        <f>IF(COUNTIFS(monthly!V:V,"",monthly!$A:$A,"&gt;="&amp;$A182,monthly!$B:$B,"&lt;="&amp;$B182)&gt;0,"NA",AVERAGEIFS(monthly!V:V,monthly!$A:$A,"&gt;="&amp;$A182,monthly!$B:$B,"&lt;="&amp;$B182))</f>
        <v>101.00691603587084</v>
      </c>
      <c r="AE182">
        <f>IF(COUNTIFS(monthly!W:W,"",monthly!$A:$A,"&gt;="&amp;$A182,monthly!$B:$B,"&lt;="&amp;$B182)&gt;0,"NA",AVERAGEIFS(monthly!W:W,monthly!$A:$A,"&gt;="&amp;$A182,monthly!$B:$B,"&lt;="&amp;$B182))</f>
        <v>109.3818868001302</v>
      </c>
      <c r="AF182">
        <f>IF(COUNTIFS(monthly!X:X,"",monthly!$A:$A,"&gt;="&amp;$A182,monthly!$B:$B,"&lt;="&amp;$B182)&gt;0,"NA",AVERAGEIFS(monthly!X:X,monthly!$A:$A,"&gt;="&amp;$A182,monthly!$B:$B,"&lt;="&amp;$B182))</f>
        <v>106.40594736735027</v>
      </c>
      <c r="AG182">
        <f>IF(COUNTIFS(monthly!Y:Y,"",monthly!$A:$A,"&gt;="&amp;$A182,monthly!$B:$B,"&lt;="&amp;$B182)&gt;0,"NA",AVERAGEIFS(monthly!Y:Y,monthly!$A:$A,"&gt;="&amp;$A182,monthly!$B:$B,"&lt;="&amp;$B182))</f>
        <v>114.92107645670573</v>
      </c>
      <c r="AH182">
        <f>IF(COUNTIFS(monthly!Z:Z,"",monthly!$A:$A,"&gt;="&amp;$A182,monthly!$B:$B,"&lt;="&amp;$B182)&gt;0,"NA",AVERAGEIFS(monthly!Z:Z,monthly!$A:$A,"&gt;="&amp;$A182,monthly!$B:$B,"&lt;="&amp;$B182))</f>
        <v>9.0474578241507217E-2</v>
      </c>
    </row>
    <row r="183" spans="1:34" x14ac:dyDescent="0.2">
      <c r="A183" s="1">
        <v>42095</v>
      </c>
      <c r="B183" s="1">
        <v>42185</v>
      </c>
      <c r="C183">
        <f>IF(ISBLANK(VLOOKUP($A183,quarterly_data,MATCH(C$1,quarterly!$1:$1,FALSE),FALSE)),"NA",VLOOKUP($A183,quarterly_data,MATCH(C$1,quarterly!$1:$1,FALSE),FALSE))</f>
        <v>138.51346803271042</v>
      </c>
      <c r="D183">
        <f>IF(ISBLANK(VLOOKUP($A183,quarterly_data,MATCH(D$1,quarterly!$1:$1,FALSE),FALSE)),"NA",VLOOKUP($A183,quarterly_data,MATCH(D$1,quarterly!$1:$1,FALSE),FALSE))</f>
        <v>73.900000000000006</v>
      </c>
      <c r="E183">
        <f>IF(ISBLANK(VLOOKUP($A183,quarterly_data,MATCH(E$1,quarterly!$1:$1,FALSE),FALSE)),"NA",VLOOKUP($A183,quarterly_data,MATCH(E$1,quarterly!$1:$1,FALSE),FALSE))</f>
        <v>0.1236935</v>
      </c>
      <c r="F183">
        <f>IF(ISBLANK(VLOOKUP($A183,quarterly_data,MATCH(F$1,quarterly!$1:$1,FALSE),FALSE)),"NA",VLOOKUP($A183,quarterly_data,MATCH(F$1,quarterly!$1:$1,FALSE),FALSE))</f>
        <v>5.0557600000000001E-2</v>
      </c>
      <c r="G183">
        <f>IF(ISBLANK(VLOOKUP($A183,quarterly_data,MATCH(G$1,quarterly!$1:$1,FALSE),FALSE)),"NA",VLOOKUP($A183,quarterly_data,MATCH(G$1,quarterly!$1:$1,FALSE),FALSE))</f>
        <v>18782.242999999999</v>
      </c>
      <c r="H183">
        <f>IF(ISBLANK(VLOOKUP($A183,quarterly_data,MATCH(H$1,quarterly!$1:$1,FALSE),FALSE)),"NA",VLOOKUP($A183,quarterly_data,MATCH(H$1,quarterly!$1:$1,FALSE),FALSE))</f>
        <v>547224</v>
      </c>
      <c r="I183">
        <f>IF(ISBLANK(VLOOKUP($A183,quarterly_data,MATCH(I$1,quarterly!$1:$1,FALSE),FALSE)),"NA",VLOOKUP($A183,quarterly_data,MATCH(I$1,quarterly!$1:$1,FALSE),FALSE))</f>
        <v>0.6</v>
      </c>
      <c r="J183">
        <f>IF(ISBLANK(VLOOKUP($A183,quarterly_data,MATCH(J$1,quarterly!$1:$1,FALSE),FALSE)),"NA",VLOOKUP($A183,quarterly_data,MATCH(J$1,quarterly!$1:$1,FALSE),FALSE))</f>
        <v>74.69</v>
      </c>
      <c r="K183">
        <f>IF(COUNTIFS(monthly!C:C,"",monthly!$A:$A,"&gt;="&amp;$A183,monthly!$B:$B,"&lt;="&amp;$B183)&gt;0,"NA",AVERAGEIFS(monthly!C:C,monthly!$A:$A,"&gt;="&amp;$A183,monthly!$B:$B,"&lt;="&amp;$B183))</f>
        <v>64.266666666666666</v>
      </c>
      <c r="L183">
        <f>IF(COUNTIFS(monthly!D:D,"",monthly!$A:$A,"&gt;="&amp;$A183,monthly!$B:$B,"&lt;="&amp;$B183)&gt;0,"NA",AVERAGEIFS(monthly!D:D,monthly!$A:$A,"&gt;="&amp;$A183,monthly!$B:$B,"&lt;="&amp;$B183))</f>
        <v>0.77746666666666664</v>
      </c>
      <c r="M183">
        <f>IF(COUNTIFS(monthly!E:E,"",monthly!$A:$A,"&gt;="&amp;$A183,monthly!$B:$B,"&lt;="&amp;$B183)&gt;0,"NA",AVERAGEIFS(monthly!E:E,monthly!$A:$A,"&gt;="&amp;$A183,monthly!$B:$B,"&lt;="&amp;$B183))</f>
        <v>59.992076782267397</v>
      </c>
      <c r="N183">
        <f>IF(COUNTIFS(monthly!F:F,"",monthly!$A:$A,"&gt;="&amp;$A183,monthly!$B:$B,"&lt;="&amp;$B183)&gt;0,"NA",AVERAGEIFS(monthly!F:F,monthly!$A:$A,"&gt;="&amp;$A183,monthly!$B:$B,"&lt;="&amp;$B183))</f>
        <v>59.110962473805131</v>
      </c>
      <c r="O183">
        <f>IF(COUNTIFS(monthly!G:G,"",monthly!$A:$A,"&gt;="&amp;$A183,monthly!$B:$B,"&lt;="&amp;$B183)&gt;0,"NA",AVERAGEIFS(monthly!G:G,monthly!$A:$A,"&gt;="&amp;$A183,monthly!$B:$B,"&lt;="&amp;$B183))</f>
        <v>58.4</v>
      </c>
      <c r="P183">
        <f>IF(COUNTIFS(monthly!H:H,"",monthly!$A:$A,"&gt;="&amp;$A183,monthly!$B:$B,"&lt;="&amp;$B183)&gt;0,"NA",AVERAGEIFS(monthly!H:H,monthly!$A:$A,"&gt;="&amp;$A183,monthly!$B:$B,"&lt;="&amp;$B183))</f>
        <v>58.800000000000004</v>
      </c>
      <c r="Q183">
        <f>IF(COUNTIFS(monthly!I:I,"",monthly!$A:$A,"&gt;="&amp;$A183,monthly!$B:$B,"&lt;="&amp;$B183)&gt;0,"NA",AVERAGEIFS(monthly!I:I,monthly!$A:$A,"&gt;="&amp;$A183,monthly!$B:$B,"&lt;="&amp;$B183))</f>
        <v>62.1</v>
      </c>
      <c r="R183">
        <f>IF(COUNTIFS(monthly!J:J,"",monthly!$A:$A,"&gt;="&amp;$A183,monthly!$B:$B,"&lt;="&amp;$B183)&gt;0,"NA",AVERAGEIFS(monthly!J:J,monthly!$A:$A,"&gt;="&amp;$A183,monthly!$B:$B,"&lt;="&amp;$B183))</f>
        <v>9.8233333333333324</v>
      </c>
      <c r="S183">
        <f>IF(COUNTIFS(monthly!K:K,"",monthly!$A:$A,"&gt;="&amp;$A183,monthly!$B:$B,"&lt;="&amp;$B183)&gt;0,"NA",AVERAGEIFS(monthly!K:K,monthly!$A:$A,"&gt;="&amp;$A183,monthly!$B:$B,"&lt;="&amp;$B183))</f>
        <v>2.0966666666666667</v>
      </c>
      <c r="T183">
        <f>IF(COUNTIFS(monthly!L:L,"",monthly!$A:$A,"&gt;="&amp;$A183,monthly!$B:$B,"&lt;="&amp;$B183)&gt;0,"NA",AVERAGEIFS(monthly!L:L,monthly!$A:$A,"&gt;="&amp;$A183,monthly!$B:$B,"&lt;="&amp;$B183))</f>
        <v>0.12563082437275983</v>
      </c>
      <c r="U183">
        <f>IF(COUNTIFS(monthly!M:M,"",monthly!$A:$A,"&gt;="&amp;$A183,monthly!$B:$B,"&lt;="&amp;$B183)&gt;0,"NA",AVERAGEIFS(monthly!M:M,monthly!$A:$A,"&gt;="&amp;$A183,monthly!$B:$B,"&lt;="&amp;$B183))</f>
        <v>1.9710358422939069</v>
      </c>
      <c r="V183">
        <f>IF(COUNTIFS(monthly!N:N,"",monthly!$A:$A,"&gt;="&amp;$A183,monthly!$B:$B,"&lt;="&amp;$B183)&gt;0,"NA",AVERAGEIFS(monthly!N:N,monthly!$A:$A,"&gt;="&amp;$A183,monthly!$B:$B,"&lt;="&amp;$B183))</f>
        <v>1.9426666666666668</v>
      </c>
      <c r="W183">
        <f>IF(COUNTIFS(monthly!O:O,"",monthly!$A:$A,"&gt;="&amp;$A183,monthly!$B:$B,"&lt;="&amp;$B183)&gt;0,"NA",AVERAGEIFS(monthly!O:O,monthly!$A:$A,"&gt;="&amp;$A183,monthly!$B:$B,"&lt;="&amp;$B183))</f>
        <v>0.6125454545454545</v>
      </c>
      <c r="X183">
        <f>IF(COUNTIFS(monthly!P:P,"",monthly!$A:$A,"&gt;="&amp;$A183,monthly!$B:$B,"&lt;="&amp;$B183)&gt;0,"NA",AVERAGEIFS(monthly!P:P,monthly!$A:$A,"&gt;="&amp;$A183,monthly!$B:$B,"&lt;="&amp;$B183))</f>
        <v>1.330121212121212</v>
      </c>
      <c r="Y183">
        <f>IF(COUNTIFS(monthly!Q:Q,"",monthly!$A:$A,"&gt;="&amp;$A183,monthly!$B:$B,"&lt;="&amp;$B183)&gt;0,"NA",AVERAGEIFS(monthly!Q:Q,monthly!$A:$A,"&gt;="&amp;$A183,monthly!$B:$B,"&lt;="&amp;$B183))</f>
        <v>2.7589999999999999</v>
      </c>
      <c r="Z183">
        <f>IF(COUNTIFS(monthly!R:R,"",monthly!$A:$A,"&gt;="&amp;$A183,monthly!$B:$B,"&lt;="&amp;$B183)&gt;0,"NA",AVERAGEIFS(monthly!R:R,monthly!$A:$A,"&gt;="&amp;$A183,monthly!$B:$B,"&lt;="&amp;$B183))</f>
        <v>2.165378787878788</v>
      </c>
      <c r="AA183">
        <f>IF(COUNTIFS(monthly!S:S,"",monthly!$A:$A,"&gt;="&amp;$A183,monthly!$B:$B,"&lt;="&amp;$B183)&gt;0,"NA",AVERAGEIFS(monthly!S:S,monthly!$A:$A,"&gt;="&amp;$A183,monthly!$B:$B,"&lt;="&amp;$B183))</f>
        <v>0.59362121212121222</v>
      </c>
      <c r="AB183">
        <f>IF(COUNTIFS(monthly!T:T,"",monthly!$A:$A,"&gt;="&amp;$A183,monthly!$B:$B,"&lt;="&amp;$B183)&gt;0,"NA",AVERAGEIFS(monthly!T:T,monthly!$A:$A,"&gt;="&amp;$A183,monthly!$B:$B,"&lt;="&amp;$B183))</f>
        <v>13.72426911976912</v>
      </c>
      <c r="AC183">
        <f>IF(COUNTIFS(monthly!U:U,"",monthly!$A:$A,"&gt;="&amp;$A183,monthly!$B:$B,"&lt;="&amp;$B183)&gt;0,"NA",AVERAGEIFS(monthly!U:U,monthly!$A:$A,"&gt;="&amp;$A183,monthly!$B:$B,"&lt;="&amp;$B183))</f>
        <v>106.76352287919561</v>
      </c>
      <c r="AD183">
        <f>IF(COUNTIFS(monthly!V:V,"",monthly!$A:$A,"&gt;="&amp;$A183,monthly!$B:$B,"&lt;="&amp;$B183)&gt;0,"NA",AVERAGEIFS(monthly!V:V,monthly!$A:$A,"&gt;="&amp;$A183,monthly!$B:$B,"&lt;="&amp;$B183))</f>
        <v>101.01073083071674</v>
      </c>
      <c r="AE183">
        <f>IF(COUNTIFS(monthly!W:W,"",monthly!$A:$A,"&gt;="&amp;$A183,monthly!$B:$B,"&lt;="&amp;$B183)&gt;0,"NA",AVERAGEIFS(monthly!W:W,monthly!$A:$A,"&gt;="&amp;$A183,monthly!$B:$B,"&lt;="&amp;$B183))</f>
        <v>88.11959584554036</v>
      </c>
      <c r="AF183">
        <f>IF(COUNTIFS(monthly!X:X,"",monthly!$A:$A,"&gt;="&amp;$A183,monthly!$B:$B,"&lt;="&amp;$B183)&gt;0,"NA",AVERAGEIFS(monthly!X:X,monthly!$A:$A,"&gt;="&amp;$A183,monthly!$B:$B,"&lt;="&amp;$B183))</f>
        <v>89.641181945800781</v>
      </c>
      <c r="AG183">
        <f>IF(COUNTIFS(monthly!Y:Y,"",monthly!$A:$A,"&gt;="&amp;$A183,monthly!$B:$B,"&lt;="&amp;$B183)&gt;0,"NA",AVERAGEIFS(monthly!Y:Y,monthly!$A:$A,"&gt;="&amp;$A183,monthly!$B:$B,"&lt;="&amp;$B183))</f>
        <v>85.57925669352214</v>
      </c>
      <c r="AH183">
        <f>IF(COUNTIFS(monthly!Z:Z,"",monthly!$A:$A,"&gt;="&amp;$A183,monthly!$B:$B,"&lt;="&amp;$B183)&gt;0,"NA",AVERAGEIFS(monthly!Z:Z,monthly!$A:$A,"&gt;="&amp;$A183,monthly!$B:$B,"&lt;="&amp;$B183))</f>
        <v>7.5748521834611893E-2</v>
      </c>
    </row>
    <row r="184" spans="1:34" x14ac:dyDescent="0.2">
      <c r="A184" s="1">
        <v>42186</v>
      </c>
      <c r="B184" s="1">
        <v>42277</v>
      </c>
      <c r="C184">
        <f>IF(ISBLANK(VLOOKUP($A184,quarterly_data,MATCH(C$1,quarterly!$1:$1,FALSE),FALSE)),"NA",VLOOKUP($A184,quarterly_data,MATCH(C$1,quarterly!$1:$1,FALSE),FALSE))</f>
        <v>132.28822099297622</v>
      </c>
      <c r="D184">
        <f>IF(ISBLANK(VLOOKUP($A184,quarterly_data,MATCH(D$1,quarterly!$1:$1,FALSE),FALSE)),"NA",VLOOKUP($A184,quarterly_data,MATCH(D$1,quarterly!$1:$1,FALSE),FALSE))</f>
        <v>72.400000000000006</v>
      </c>
      <c r="E184">
        <f>IF(ISBLANK(VLOOKUP($A184,quarterly_data,MATCH(E$1,quarterly!$1:$1,FALSE),FALSE)),"NA",VLOOKUP($A184,quarterly_data,MATCH(E$1,quarterly!$1:$1,FALSE),FALSE))</f>
        <v>0.26383479999999998</v>
      </c>
      <c r="F184">
        <f>IF(ISBLANK(VLOOKUP($A184,quarterly_data,MATCH(F$1,quarterly!$1:$1,FALSE),FALSE)),"NA",VLOOKUP($A184,quarterly_data,MATCH(F$1,quarterly!$1:$1,FALSE),FALSE))</f>
        <v>7.2787699999999997E-2</v>
      </c>
      <c r="G184">
        <f>IF(ISBLANK(VLOOKUP($A184,quarterly_data,MATCH(G$1,quarterly!$1:$1,FALSE),FALSE)),"NA",VLOOKUP($A184,quarterly_data,MATCH(G$1,quarterly!$1:$1,FALSE),FALSE))</f>
        <v>18857.418000000001</v>
      </c>
      <c r="H184">
        <f>IF(ISBLANK(VLOOKUP($A184,quarterly_data,MATCH(H$1,quarterly!$1:$1,FALSE),FALSE)),"NA",VLOOKUP($A184,quarterly_data,MATCH(H$1,quarterly!$1:$1,FALSE),FALSE))</f>
        <v>552637</v>
      </c>
      <c r="I184">
        <f>IF(ISBLANK(VLOOKUP($A184,quarterly_data,MATCH(I$1,quarterly!$1:$1,FALSE),FALSE)),"NA",VLOOKUP($A184,quarterly_data,MATCH(I$1,quarterly!$1:$1,FALSE),FALSE))</f>
        <v>0.3</v>
      </c>
      <c r="J184">
        <f>IF(ISBLANK(VLOOKUP($A184,quarterly_data,MATCH(J$1,quarterly!$1:$1,FALSE),FALSE)),"NA",VLOOKUP($A184,quarterly_data,MATCH(J$1,quarterly!$1:$1,FALSE),FALSE))</f>
        <v>74.98</v>
      </c>
      <c r="K184">
        <f>IF(COUNTIFS(monthly!C:C,"",monthly!$A:$A,"&gt;="&amp;$A184,monthly!$B:$B,"&lt;="&amp;$B184)&gt;0,"NA",AVERAGEIFS(monthly!C:C,monthly!$A:$A,"&gt;="&amp;$A184,monthly!$B:$B,"&lt;="&amp;$B184))</f>
        <v>60.733333333333327</v>
      </c>
      <c r="L184">
        <f>IF(COUNTIFS(monthly!D:D,"",monthly!$A:$A,"&gt;="&amp;$A184,monthly!$B:$B,"&lt;="&amp;$B184)&gt;0,"NA",AVERAGEIFS(monthly!D:D,monthly!$A:$A,"&gt;="&amp;$A184,monthly!$B:$B,"&lt;="&amp;$B184))</f>
        <v>0.71510000000000007</v>
      </c>
      <c r="M184">
        <f>IF(COUNTIFS(monthly!E:E,"",monthly!$A:$A,"&gt;="&amp;$A184,monthly!$B:$B,"&lt;="&amp;$B184)&gt;0,"NA",AVERAGEIFS(monthly!E:E,monthly!$A:$A,"&gt;="&amp;$A184,monthly!$B:$B,"&lt;="&amp;$B184))</f>
        <v>56.726687620877009</v>
      </c>
      <c r="N184">
        <f>IF(COUNTIFS(monthly!F:F,"",monthly!$A:$A,"&gt;="&amp;$A184,monthly!$B:$B,"&lt;="&amp;$B184)&gt;0,"NA",AVERAGEIFS(monthly!F:F,monthly!$A:$A,"&gt;="&amp;$A184,monthly!$B:$B,"&lt;="&amp;$B184))</f>
        <v>55.884935523546602</v>
      </c>
      <c r="O184">
        <f>IF(COUNTIFS(monthly!G:G,"",monthly!$A:$A,"&gt;="&amp;$A184,monthly!$B:$B,"&lt;="&amp;$B184)&gt;0,"NA",AVERAGEIFS(monthly!G:G,monthly!$A:$A,"&gt;="&amp;$A184,monthly!$B:$B,"&lt;="&amp;$B184))</f>
        <v>55.199999999999996</v>
      </c>
      <c r="P184">
        <f>IF(COUNTIFS(monthly!H:H,"",monthly!$A:$A,"&gt;="&amp;$A184,monthly!$B:$B,"&lt;="&amp;$B184)&gt;0,"NA",AVERAGEIFS(monthly!H:H,monthly!$A:$A,"&gt;="&amp;$A184,monthly!$B:$B,"&lt;="&amp;$B184))</f>
        <v>58.9</v>
      </c>
      <c r="Q184">
        <f>IF(COUNTIFS(monthly!I:I,"",monthly!$A:$A,"&gt;="&amp;$A184,monthly!$B:$B,"&lt;="&amp;$B184)&gt;0,"NA",AVERAGEIFS(monthly!I:I,monthly!$A:$A,"&gt;="&amp;$A184,monthly!$B:$B,"&lt;="&amp;$B184))</f>
        <v>50.033333333333339</v>
      </c>
      <c r="R184">
        <f>IF(COUNTIFS(monthly!J:J,"",monthly!$A:$A,"&gt;="&amp;$A184,monthly!$B:$B,"&lt;="&amp;$B184)&gt;0,"NA",AVERAGEIFS(monthly!J:J,monthly!$A:$A,"&gt;="&amp;$A184,monthly!$B:$B,"&lt;="&amp;$B184))</f>
        <v>9.8766666666666669</v>
      </c>
      <c r="S184">
        <f>IF(COUNTIFS(monthly!K:K,"",monthly!$A:$A,"&gt;="&amp;$A184,monthly!$B:$B,"&lt;="&amp;$B184)&gt;0,"NA",AVERAGEIFS(monthly!K:K,monthly!$A:$A,"&gt;="&amp;$A184,monthly!$B:$B,"&lt;="&amp;$B184))</f>
        <v>2</v>
      </c>
      <c r="T184">
        <f>IF(COUNTIFS(monthly!L:L,"",monthly!$A:$A,"&gt;="&amp;$A184,monthly!$B:$B,"&lt;="&amp;$B184)&gt;0,"NA",AVERAGEIFS(monthly!L:L,monthly!$A:$A,"&gt;="&amp;$A184,monthly!$B:$B,"&lt;="&amp;$B184))</f>
        <v>0.13479569892473117</v>
      </c>
      <c r="U184">
        <f>IF(COUNTIFS(monthly!M:M,"",monthly!$A:$A,"&gt;="&amp;$A184,monthly!$B:$B,"&lt;="&amp;$B184)&gt;0,"NA",AVERAGEIFS(monthly!M:M,monthly!$A:$A,"&gt;="&amp;$A184,monthly!$B:$B,"&lt;="&amp;$B184))</f>
        <v>1.8652043010752688</v>
      </c>
      <c r="V184">
        <f>IF(COUNTIFS(monthly!N:N,"",monthly!$A:$A,"&gt;="&amp;$A184,monthly!$B:$B,"&lt;="&amp;$B184)&gt;0,"NA",AVERAGEIFS(monthly!N:N,monthly!$A:$A,"&gt;="&amp;$A184,monthly!$B:$B,"&lt;="&amp;$B184))</f>
        <v>1.8816666666666666</v>
      </c>
      <c r="W184">
        <f>IF(COUNTIFS(monthly!O:O,"",monthly!$A:$A,"&gt;="&amp;$A184,monthly!$B:$B,"&lt;="&amp;$B184)&gt;0,"NA",AVERAGEIFS(monthly!O:O,monthly!$A:$A,"&gt;="&amp;$A184,monthly!$B:$B,"&lt;="&amp;$B184))</f>
        <v>0.69289321789321789</v>
      </c>
      <c r="X184">
        <f>IF(COUNTIFS(monthly!P:P,"",monthly!$A:$A,"&gt;="&amp;$A184,monthly!$B:$B,"&lt;="&amp;$B184)&gt;0,"NA",AVERAGEIFS(monthly!P:P,monthly!$A:$A,"&gt;="&amp;$A184,monthly!$B:$B,"&lt;="&amp;$B184))</f>
        <v>1.1887734487734487</v>
      </c>
      <c r="Y184">
        <f>IF(COUNTIFS(monthly!Q:Q,"",monthly!$A:$A,"&gt;="&amp;$A184,monthly!$B:$B,"&lt;="&amp;$B184)&gt;0,"NA",AVERAGEIFS(monthly!Q:Q,monthly!$A:$A,"&gt;="&amp;$A184,monthly!$B:$B,"&lt;="&amp;$B184))</f>
        <v>2.7946666666666666</v>
      </c>
      <c r="Z184">
        <f>IF(COUNTIFS(monthly!R:R,"",monthly!$A:$A,"&gt;="&amp;$A184,monthly!$B:$B,"&lt;="&amp;$B184)&gt;0,"NA",AVERAGEIFS(monthly!R:R,monthly!$A:$A,"&gt;="&amp;$A184,monthly!$B:$B,"&lt;="&amp;$B184))</f>
        <v>2.2215151515151517</v>
      </c>
      <c r="AA184">
        <f>IF(COUNTIFS(monthly!S:S,"",monthly!$A:$A,"&gt;="&amp;$A184,monthly!$B:$B,"&lt;="&amp;$B184)&gt;0,"NA",AVERAGEIFS(monthly!S:S,monthly!$A:$A,"&gt;="&amp;$A184,monthly!$B:$B,"&lt;="&amp;$B184))</f>
        <v>0.57315151515151508</v>
      </c>
      <c r="AB184">
        <f>IF(COUNTIFS(monthly!T:T,"",monthly!$A:$A,"&gt;="&amp;$A184,monthly!$B:$B,"&lt;="&amp;$B184)&gt;0,"NA",AVERAGEIFS(monthly!T:T,monthly!$A:$A,"&gt;="&amp;$A184,monthly!$B:$B,"&lt;="&amp;$B184))</f>
        <v>19.385988455988457</v>
      </c>
      <c r="AC184">
        <f>IF(COUNTIFS(monthly!U:U,"",monthly!$A:$A,"&gt;="&amp;$A184,monthly!$B:$B,"&lt;="&amp;$B184)&gt;0,"NA",AVERAGEIFS(monthly!U:U,monthly!$A:$A,"&gt;="&amp;$A184,monthly!$B:$B,"&lt;="&amp;$B184))</f>
        <v>130.75410814161106</v>
      </c>
      <c r="AD184">
        <f>IF(COUNTIFS(monthly!V:V,"",monthly!$A:$A,"&gt;="&amp;$A184,monthly!$B:$B,"&lt;="&amp;$B184)&gt;0,"NA",AVERAGEIFS(monthly!V:V,monthly!$A:$A,"&gt;="&amp;$A184,monthly!$B:$B,"&lt;="&amp;$B184))</f>
        <v>95.986543713928938</v>
      </c>
      <c r="AE184">
        <f>IF(COUNTIFS(monthly!W:W,"",monthly!$A:$A,"&gt;="&amp;$A184,monthly!$B:$B,"&lt;="&amp;$B184)&gt;0,"NA",AVERAGEIFS(monthly!W:W,monthly!$A:$A,"&gt;="&amp;$A184,monthly!$B:$B,"&lt;="&amp;$B184))</f>
        <v>96.01821645100911</v>
      </c>
      <c r="AF184">
        <f>IF(COUNTIFS(monthly!X:X,"",monthly!$A:$A,"&gt;="&amp;$A184,monthly!$B:$B,"&lt;="&amp;$B184)&gt;0,"NA",AVERAGEIFS(monthly!X:X,monthly!$A:$A,"&gt;="&amp;$A184,monthly!$B:$B,"&lt;="&amp;$B184))</f>
        <v>107.35558319091797</v>
      </c>
      <c r="AG184">
        <f>IF(COUNTIFS(monthly!Y:Y,"",monthly!$A:$A,"&gt;="&amp;$A184,monthly!$B:$B,"&lt;="&amp;$B184)&gt;0,"NA",AVERAGEIFS(monthly!Y:Y,monthly!$A:$A,"&gt;="&amp;$A184,monthly!$B:$B,"&lt;="&amp;$B184))</f>
        <v>79.847488403320312</v>
      </c>
      <c r="AH184">
        <f>IF(COUNTIFS(monthly!Z:Z,"",monthly!$A:$A,"&gt;="&amp;$A184,monthly!$B:$B,"&lt;="&amp;$B184)&gt;0,"NA",AVERAGEIFS(monthly!Z:Z,monthly!$A:$A,"&gt;="&amp;$A184,monthly!$B:$B,"&lt;="&amp;$B184))</f>
        <v>6.4882631103197738E-2</v>
      </c>
    </row>
    <row r="185" spans="1:34" x14ac:dyDescent="0.2">
      <c r="A185" s="1">
        <v>42278</v>
      </c>
      <c r="B185" s="1">
        <v>42369</v>
      </c>
      <c r="C185">
        <f>IF(ISBLANK(VLOOKUP($A185,quarterly_data,MATCH(C$1,quarterly!$1:$1,FALSE),FALSE)),"NA",VLOOKUP($A185,quarterly_data,MATCH(C$1,quarterly!$1:$1,FALSE),FALSE))</f>
        <v>132.73512027342832</v>
      </c>
      <c r="D185">
        <f>IF(ISBLANK(VLOOKUP($A185,quarterly_data,MATCH(D$1,quarterly!$1:$1,FALSE),FALSE)),"NA",VLOOKUP($A185,quarterly_data,MATCH(D$1,quarterly!$1:$1,FALSE),FALSE))</f>
        <v>69.3</v>
      </c>
      <c r="E185">
        <f>IF(ISBLANK(VLOOKUP($A185,quarterly_data,MATCH(E$1,quarterly!$1:$1,FALSE),FALSE)),"NA",VLOOKUP($A185,quarterly_data,MATCH(E$1,quarterly!$1:$1,FALSE),FALSE))</f>
        <v>7.9987199999999994E-2</v>
      </c>
      <c r="F185">
        <f>IF(ISBLANK(VLOOKUP($A185,quarterly_data,MATCH(F$1,quarterly!$1:$1,FALSE),FALSE)),"NA",VLOOKUP($A185,quarterly_data,MATCH(F$1,quarterly!$1:$1,FALSE),FALSE))</f>
        <v>4.6503999999999997E-2</v>
      </c>
      <c r="G185">
        <f>IF(ISBLANK(VLOOKUP($A185,quarterly_data,MATCH(G$1,quarterly!$1:$1,FALSE),FALSE)),"NA",VLOOKUP($A185,quarterly_data,MATCH(G$1,quarterly!$1:$1,FALSE),FALSE))</f>
        <v>18892.205999999998</v>
      </c>
      <c r="H185">
        <f>IF(ISBLANK(VLOOKUP($A185,quarterly_data,MATCH(H$1,quarterly!$1:$1,FALSE),FALSE)),"NA",VLOOKUP($A185,quarterly_data,MATCH(H$1,quarterly!$1:$1,FALSE),FALSE))</f>
        <v>556034</v>
      </c>
      <c r="I185">
        <f>IF(ISBLANK(VLOOKUP($A185,quarterly_data,MATCH(I$1,quarterly!$1:$1,FALSE),FALSE)),"NA",VLOOKUP($A185,quarterly_data,MATCH(I$1,quarterly!$1:$1,FALSE),FALSE))</f>
        <v>0.6</v>
      </c>
      <c r="J185">
        <f>IF(ISBLANK(VLOOKUP($A185,quarterly_data,MATCH(J$1,quarterly!$1:$1,FALSE),FALSE)),"NA",VLOOKUP($A185,quarterly_data,MATCH(J$1,quarterly!$1:$1,FALSE),FALSE))</f>
        <v>75.27</v>
      </c>
      <c r="K185">
        <f>IF(COUNTIFS(monthly!C:C,"",monthly!$A:$A,"&gt;="&amp;$A185,monthly!$B:$B,"&lt;="&amp;$B185)&gt;0,"NA",AVERAGEIFS(monthly!C:C,monthly!$A:$A,"&gt;="&amp;$A185,monthly!$B:$B,"&lt;="&amp;$B185))</f>
        <v>61.6</v>
      </c>
      <c r="L185">
        <f>IF(COUNTIFS(monthly!D:D,"",monthly!$A:$A,"&gt;="&amp;$A185,monthly!$B:$B,"&lt;="&amp;$B185)&gt;0,"NA",AVERAGEIFS(monthly!D:D,monthly!$A:$A,"&gt;="&amp;$A185,monthly!$B:$B,"&lt;="&amp;$B185))</f>
        <v>0.71979999999999988</v>
      </c>
      <c r="M185">
        <f>IF(COUNTIFS(monthly!E:E,"",monthly!$A:$A,"&gt;="&amp;$A185,monthly!$B:$B,"&lt;="&amp;$B185)&gt;0,"NA",AVERAGEIFS(monthly!E:E,monthly!$A:$A,"&gt;="&amp;$A185,monthly!$B:$B,"&lt;="&amp;$B185))</f>
        <v>52.864932699386003</v>
      </c>
      <c r="N185">
        <f>IF(COUNTIFS(monthly!F:F,"",monthly!$A:$A,"&gt;="&amp;$A185,monthly!$B:$B,"&lt;="&amp;$B185)&gt;0,"NA",AVERAGEIFS(monthly!F:F,monthly!$A:$A,"&gt;="&amp;$A185,monthly!$B:$B,"&lt;="&amp;$B185))</f>
        <v>51.558159957169096</v>
      </c>
      <c r="O185">
        <f>IF(COUNTIFS(monthly!G:G,"",monthly!$A:$A,"&gt;="&amp;$A185,monthly!$B:$B,"&lt;="&amp;$B185)&gt;0,"NA",AVERAGEIFS(monthly!G:G,monthly!$A:$A,"&gt;="&amp;$A185,monthly!$B:$B,"&lt;="&amp;$B185))</f>
        <v>46.833333333333336</v>
      </c>
      <c r="P185">
        <f>IF(COUNTIFS(monthly!H:H,"",monthly!$A:$A,"&gt;="&amp;$A185,monthly!$B:$B,"&lt;="&amp;$B185)&gt;0,"NA",AVERAGEIFS(monthly!H:H,monthly!$A:$A,"&gt;="&amp;$A185,monthly!$B:$B,"&lt;="&amp;$B185))</f>
        <v>53</v>
      </c>
      <c r="Q185">
        <f>IF(COUNTIFS(monthly!I:I,"",monthly!$A:$A,"&gt;="&amp;$A185,monthly!$B:$B,"&lt;="&amp;$B185)&gt;0,"NA",AVERAGEIFS(monthly!I:I,monthly!$A:$A,"&gt;="&amp;$A185,monthly!$B:$B,"&lt;="&amp;$B185))</f>
        <v>43.4</v>
      </c>
      <c r="R185">
        <f>IF(COUNTIFS(monthly!J:J,"",monthly!$A:$A,"&gt;="&amp;$A185,monthly!$B:$B,"&lt;="&amp;$B185)&gt;0,"NA",AVERAGEIFS(monthly!J:J,monthly!$A:$A,"&gt;="&amp;$A185,monthly!$B:$B,"&lt;="&amp;$B185))</f>
        <v>9.57</v>
      </c>
      <c r="S185">
        <f>IF(COUNTIFS(monthly!K:K,"",monthly!$A:$A,"&gt;="&amp;$A185,monthly!$B:$B,"&lt;="&amp;$B185)&gt;0,"NA",AVERAGEIFS(monthly!K:K,monthly!$A:$A,"&gt;="&amp;$A185,monthly!$B:$B,"&lt;="&amp;$B185))</f>
        <v>2</v>
      </c>
      <c r="T185">
        <f>IF(COUNTIFS(monthly!L:L,"",monthly!$A:$A,"&gt;="&amp;$A185,monthly!$B:$B,"&lt;="&amp;$B185)&gt;0,"NA",AVERAGEIFS(monthly!L:L,monthly!$A:$A,"&gt;="&amp;$A185,monthly!$B:$B,"&lt;="&amp;$B185))</f>
        <v>0.16062007168458786</v>
      </c>
      <c r="U185">
        <f>IF(COUNTIFS(monthly!M:M,"",monthly!$A:$A,"&gt;="&amp;$A185,monthly!$B:$B,"&lt;="&amp;$B185)&gt;0,"NA",AVERAGEIFS(monthly!M:M,monthly!$A:$A,"&gt;="&amp;$A185,monthly!$B:$B,"&lt;="&amp;$B185))</f>
        <v>1.839379928315412</v>
      </c>
      <c r="V185">
        <f>IF(COUNTIFS(monthly!N:N,"",monthly!$A:$A,"&gt;="&amp;$A185,monthly!$B:$B,"&lt;="&amp;$B185)&gt;0,"NA",AVERAGEIFS(monthly!N:N,monthly!$A:$A,"&gt;="&amp;$A185,monthly!$B:$B,"&lt;="&amp;$B185))</f>
        <v>1.9486666666666668</v>
      </c>
      <c r="W185">
        <f>IF(COUNTIFS(monthly!O:O,"",monthly!$A:$A,"&gt;="&amp;$A185,monthly!$B:$B,"&lt;="&amp;$B185)&gt;0,"NA",AVERAGEIFS(monthly!O:O,monthly!$A:$A,"&gt;="&amp;$A185,monthly!$B:$B,"&lt;="&amp;$B185))</f>
        <v>0.83740867319814694</v>
      </c>
      <c r="X185">
        <f>IF(COUNTIFS(monthly!P:P,"",monthly!$A:$A,"&gt;="&amp;$A185,monthly!$B:$B,"&lt;="&amp;$B185)&gt;0,"NA",AVERAGEIFS(monthly!P:P,monthly!$A:$A,"&gt;="&amp;$A185,monthly!$B:$B,"&lt;="&amp;$B185))</f>
        <v>1.1112579934685198</v>
      </c>
      <c r="Y185">
        <f>IF(COUNTIFS(monthly!Q:Q,"",monthly!$A:$A,"&gt;="&amp;$A185,monthly!$B:$B,"&lt;="&amp;$B185)&gt;0,"NA",AVERAGEIFS(monthly!Q:Q,monthly!$A:$A,"&gt;="&amp;$A185,monthly!$B:$B,"&lt;="&amp;$B185))</f>
        <v>2.7993333333333332</v>
      </c>
      <c r="Z185">
        <f>IF(COUNTIFS(monthly!R:R,"",monthly!$A:$A,"&gt;="&amp;$A185,monthly!$B:$B,"&lt;="&amp;$B185)&gt;0,"NA",AVERAGEIFS(monthly!R:R,monthly!$A:$A,"&gt;="&amp;$A185,monthly!$B:$B,"&lt;="&amp;$B185))</f>
        <v>2.1919617224880383</v>
      </c>
      <c r="AA185">
        <f>IF(COUNTIFS(monthly!S:S,"",monthly!$A:$A,"&gt;="&amp;$A185,monthly!$B:$B,"&lt;="&amp;$B185)&gt;0,"NA",AVERAGEIFS(monthly!S:S,monthly!$A:$A,"&gt;="&amp;$A185,monthly!$B:$B,"&lt;="&amp;$B185))</f>
        <v>0.60737161084529501</v>
      </c>
      <c r="AB185">
        <f>IF(COUNTIFS(monthly!T:T,"",monthly!$A:$A,"&gt;="&amp;$A185,monthly!$B:$B,"&lt;="&amp;$B185)&gt;0,"NA",AVERAGEIFS(monthly!T:T,monthly!$A:$A,"&gt;="&amp;$A185,monthly!$B:$B,"&lt;="&amp;$B185))</f>
        <v>17.008333333333333</v>
      </c>
      <c r="AC185">
        <f>IF(COUNTIFS(monthly!U:U,"",monthly!$A:$A,"&gt;="&amp;$A185,monthly!$B:$B,"&lt;="&amp;$B185)&gt;0,"NA",AVERAGEIFS(monthly!U:U,monthly!$A:$A,"&gt;="&amp;$A185,monthly!$B:$B,"&lt;="&amp;$B185))</f>
        <v>109.50445811410634</v>
      </c>
      <c r="AD185">
        <f>IF(COUNTIFS(monthly!V:V,"",monthly!$A:$A,"&gt;="&amp;$A185,monthly!$B:$B,"&lt;="&amp;$B185)&gt;0,"NA",AVERAGEIFS(monthly!V:V,monthly!$A:$A,"&gt;="&amp;$A185,monthly!$B:$B,"&lt;="&amp;$B185))</f>
        <v>63.605089632984921</v>
      </c>
      <c r="AE185">
        <f>IF(COUNTIFS(monthly!W:W,"",monthly!$A:$A,"&gt;="&amp;$A185,monthly!$B:$B,"&lt;="&amp;$B185)&gt;0,"NA",AVERAGEIFS(monthly!W:W,monthly!$A:$A,"&gt;="&amp;$A185,monthly!$B:$B,"&lt;="&amp;$B185))</f>
        <v>130.29488118489584</v>
      </c>
      <c r="AF185">
        <f>IF(COUNTIFS(monthly!X:X,"",monthly!$A:$A,"&gt;="&amp;$A185,monthly!$B:$B,"&lt;="&amp;$B185)&gt;0,"NA",AVERAGEIFS(monthly!X:X,monthly!$A:$A,"&gt;="&amp;$A185,monthly!$B:$B,"&lt;="&amp;$B185))</f>
        <v>102.66488901774089</v>
      </c>
      <c r="AG185">
        <f>IF(COUNTIFS(monthly!Y:Y,"",monthly!$A:$A,"&gt;="&amp;$A185,monthly!$B:$B,"&lt;="&amp;$B185)&gt;0,"NA",AVERAGEIFS(monthly!Y:Y,monthly!$A:$A,"&gt;="&amp;$A185,monthly!$B:$B,"&lt;="&amp;$B185))</f>
        <v>175.71306864420572</v>
      </c>
      <c r="AH185">
        <f>IF(COUNTIFS(monthly!Z:Z,"",monthly!$A:$A,"&gt;="&amp;$A185,monthly!$B:$B,"&lt;="&amp;$B185)&gt;0,"NA",AVERAGEIFS(monthly!Z:Z,monthly!$A:$A,"&gt;="&amp;$A185,monthly!$B:$B,"&lt;="&amp;$B185))</f>
        <v>9.7033585111300155E-2</v>
      </c>
    </row>
    <row r="186" spans="1:34" x14ac:dyDescent="0.2">
      <c r="A186" s="1">
        <v>42370</v>
      </c>
      <c r="B186" s="1">
        <v>42460</v>
      </c>
      <c r="C186">
        <f>IF(ISBLANK(VLOOKUP($A186,quarterly_data,MATCH(C$1,quarterly!$1:$1,FALSE),FALSE)),"NA",VLOOKUP($A186,quarterly_data,MATCH(C$1,quarterly!$1:$1,FALSE),FALSE))</f>
        <v>133.60922503267977</v>
      </c>
      <c r="D186">
        <f>IF(ISBLANK(VLOOKUP($A186,quarterly_data,MATCH(D$1,quarterly!$1:$1,FALSE),FALSE)),"NA",VLOOKUP($A186,quarterly_data,MATCH(D$1,quarterly!$1:$1,FALSE),FALSE))</f>
        <v>67.8</v>
      </c>
      <c r="E186">
        <f>IF(ISBLANK(VLOOKUP($A186,quarterly_data,MATCH(E$1,quarterly!$1:$1,FALSE),FALSE)),"NA",VLOOKUP($A186,quarterly_data,MATCH(E$1,quarterly!$1:$1,FALSE),FALSE))</f>
        <v>0.3839361</v>
      </c>
      <c r="F186">
        <f>IF(ISBLANK(VLOOKUP($A186,quarterly_data,MATCH(F$1,quarterly!$1:$1,FALSE),FALSE)),"NA",VLOOKUP($A186,quarterly_data,MATCH(F$1,quarterly!$1:$1,FALSE),FALSE))</f>
        <v>9.3580399999999994E-2</v>
      </c>
      <c r="G186">
        <f>IF(ISBLANK(VLOOKUP($A186,quarterly_data,MATCH(G$1,quarterly!$1:$1,FALSE),FALSE)),"NA",VLOOKUP($A186,quarterly_data,MATCH(G$1,quarterly!$1:$1,FALSE),FALSE))</f>
        <v>19001.689999999999</v>
      </c>
      <c r="H186">
        <f>IF(ISBLANK(VLOOKUP($A186,quarterly_data,MATCH(H$1,quarterly!$1:$1,FALSE),FALSE)),"NA",VLOOKUP($A186,quarterly_data,MATCH(H$1,quarterly!$1:$1,FALSE),FALSE))</f>
        <v>561181</v>
      </c>
      <c r="I186">
        <f>IF(ISBLANK(VLOOKUP($A186,quarterly_data,MATCH(I$1,quarterly!$1:$1,FALSE),FALSE)),"NA",VLOOKUP($A186,quarterly_data,MATCH(I$1,quarterly!$1:$1,FALSE),FALSE))</f>
        <v>0.2</v>
      </c>
      <c r="J186">
        <f>IF(ISBLANK(VLOOKUP($A186,quarterly_data,MATCH(J$1,quarterly!$1:$1,FALSE),FALSE)),"NA",VLOOKUP($A186,quarterly_data,MATCH(J$1,quarterly!$1:$1,FALSE),FALSE))</f>
        <v>75.12</v>
      </c>
      <c r="K186">
        <f>IF(COUNTIFS(monthly!C:C,"",monthly!$A:$A,"&gt;="&amp;$A186,monthly!$B:$B,"&lt;="&amp;$B186)&gt;0,"NA",AVERAGEIFS(monthly!C:C,monthly!$A:$A,"&gt;="&amp;$A186,monthly!$B:$B,"&lt;="&amp;$B186))</f>
        <v>62.433333333333337</v>
      </c>
      <c r="L186">
        <f>IF(COUNTIFS(monthly!D:D,"",monthly!$A:$A,"&gt;="&amp;$A186,monthly!$B:$B,"&lt;="&amp;$B186)&gt;0,"NA",AVERAGEIFS(monthly!D:D,monthly!$A:$A,"&gt;="&amp;$A186,monthly!$B:$B,"&lt;="&amp;$B186))</f>
        <v>0.7299000000000001</v>
      </c>
      <c r="M186">
        <f>IF(COUNTIFS(monthly!E:E,"",monthly!$A:$A,"&gt;="&amp;$A186,monthly!$B:$B,"&lt;="&amp;$B186)&gt;0,"NA",AVERAGEIFS(monthly!E:E,monthly!$A:$A,"&gt;="&amp;$A186,monthly!$B:$B,"&lt;="&amp;$B186))</f>
        <v>51.162991401023199</v>
      </c>
      <c r="N186">
        <f>IF(COUNTIFS(monthly!F:F,"",monthly!$A:$A,"&gt;="&amp;$A186,monthly!$B:$B,"&lt;="&amp;$B186)&gt;0,"NA",AVERAGEIFS(monthly!F:F,monthly!$A:$A,"&gt;="&amp;$A186,monthly!$B:$B,"&lt;="&amp;$B186))</f>
        <v>51.286440811676037</v>
      </c>
      <c r="O186">
        <f>IF(COUNTIFS(monthly!G:G,"",monthly!$A:$A,"&gt;="&amp;$A186,monthly!$B:$B,"&lt;="&amp;$B186)&gt;0,"NA",AVERAGEIFS(monthly!G:G,monthly!$A:$A,"&gt;="&amp;$A186,monthly!$B:$B,"&lt;="&amp;$B186))</f>
        <v>48.29999999999999</v>
      </c>
      <c r="P186">
        <f>IF(COUNTIFS(monthly!H:H,"",monthly!$A:$A,"&gt;="&amp;$A186,monthly!$B:$B,"&lt;="&amp;$B186)&gt;0,"NA",AVERAGEIFS(monthly!H:H,monthly!$A:$A,"&gt;="&amp;$A186,monthly!$B:$B,"&lt;="&amp;$B186))</f>
        <v>50.5</v>
      </c>
      <c r="Q186">
        <f>IF(COUNTIFS(monthly!I:I,"",monthly!$A:$A,"&gt;="&amp;$A186,monthly!$B:$B,"&lt;="&amp;$B186)&gt;0,"NA",AVERAGEIFS(monthly!I:I,monthly!$A:$A,"&gt;="&amp;$A186,monthly!$B:$B,"&lt;="&amp;$B186))</f>
        <v>34.366666666666667</v>
      </c>
      <c r="R186">
        <f>IF(COUNTIFS(monthly!J:J,"",monthly!$A:$A,"&gt;="&amp;$A186,monthly!$B:$B,"&lt;="&amp;$B186)&gt;0,"NA",AVERAGEIFS(monthly!J:J,monthly!$A:$A,"&gt;="&amp;$A186,monthly!$B:$B,"&lt;="&amp;$B186))</f>
        <v>8.2333333333333343</v>
      </c>
      <c r="S186">
        <f>IF(COUNTIFS(monthly!K:K,"",monthly!$A:$A,"&gt;="&amp;$A186,monthly!$B:$B,"&lt;="&amp;$B186)&gt;0,"NA",AVERAGEIFS(monthly!K:K,monthly!$A:$A,"&gt;="&amp;$A186,monthly!$B:$B,"&lt;="&amp;$B186))</f>
        <v>2</v>
      </c>
      <c r="T186">
        <f>IF(COUNTIFS(monthly!L:L,"",monthly!$A:$A,"&gt;="&amp;$A186,monthly!$B:$B,"&lt;="&amp;$B186)&gt;0,"NA",AVERAGEIFS(monthly!L:L,monthly!$A:$A,"&gt;="&amp;$A186,monthly!$B:$B,"&lt;="&amp;$B186))</f>
        <v>0.36011123470522799</v>
      </c>
      <c r="U186">
        <f>IF(COUNTIFS(monthly!M:M,"",monthly!$A:$A,"&gt;="&amp;$A186,monthly!$B:$B,"&lt;="&amp;$B186)&gt;0,"NA",AVERAGEIFS(monthly!M:M,monthly!$A:$A,"&gt;="&amp;$A186,monthly!$B:$B,"&lt;="&amp;$B186))</f>
        <v>1.6398887652947718</v>
      </c>
      <c r="V186">
        <f>IF(COUNTIFS(monthly!N:N,"",monthly!$A:$A,"&gt;="&amp;$A186,monthly!$B:$B,"&lt;="&amp;$B186)&gt;0,"NA",AVERAGEIFS(monthly!N:N,monthly!$A:$A,"&gt;="&amp;$A186,monthly!$B:$B,"&lt;="&amp;$B186))</f>
        <v>1.9039999999999999</v>
      </c>
      <c r="W186">
        <f>IF(COUNTIFS(monthly!O:O,"",monthly!$A:$A,"&gt;="&amp;$A186,monthly!$B:$B,"&lt;="&amp;$B186)&gt;0,"NA",AVERAGEIFS(monthly!O:O,monthly!$A:$A,"&gt;="&amp;$A186,monthly!$B:$B,"&lt;="&amp;$B186))</f>
        <v>0.83599122807017545</v>
      </c>
      <c r="X186">
        <f>IF(COUNTIFS(monthly!P:P,"",monthly!$A:$A,"&gt;="&amp;$A186,monthly!$B:$B,"&lt;="&amp;$B186)&gt;0,"NA",AVERAGEIFS(monthly!P:P,monthly!$A:$A,"&gt;="&amp;$A186,monthly!$B:$B,"&lt;="&amp;$B186))</f>
        <v>1.0680087719298246</v>
      </c>
      <c r="Y186">
        <f>IF(COUNTIFS(monthly!Q:Q,"",monthly!$A:$A,"&gt;="&amp;$A186,monthly!$B:$B,"&lt;="&amp;$B186)&gt;0,"NA",AVERAGEIFS(monthly!Q:Q,monthly!$A:$A,"&gt;="&amp;$A186,monthly!$B:$B,"&lt;="&amp;$B186))</f>
        <v>2.5779999999999998</v>
      </c>
      <c r="Z186">
        <f>IF(COUNTIFS(monthly!R:R,"",monthly!$A:$A,"&gt;="&amp;$A186,monthly!$B:$B,"&lt;="&amp;$B186)&gt;0,"NA",AVERAGEIFS(monthly!R:R,monthly!$A:$A,"&gt;="&amp;$A186,monthly!$B:$B,"&lt;="&amp;$B186))</f>
        <v>1.9179513556618819</v>
      </c>
      <c r="AA186">
        <f>IF(COUNTIFS(monthly!S:S,"",monthly!$A:$A,"&gt;="&amp;$A186,monthly!$B:$B,"&lt;="&amp;$B186)&gt;0,"NA",AVERAGEIFS(monthly!S:S,monthly!$A:$A,"&gt;="&amp;$A186,monthly!$B:$B,"&lt;="&amp;$B186))</f>
        <v>0.66004864433811805</v>
      </c>
      <c r="AB186">
        <f>IF(COUNTIFS(monthly!T:T,"",monthly!$A:$A,"&gt;="&amp;$A186,monthly!$B:$B,"&lt;="&amp;$B186)&gt;0,"NA",AVERAGEIFS(monthly!T:T,monthly!$A:$A,"&gt;="&amp;$A186,monthly!$B:$B,"&lt;="&amp;$B186))</f>
        <v>20.694661881977673</v>
      </c>
      <c r="AC186">
        <f>IF(COUNTIFS(monthly!U:U,"",monthly!$A:$A,"&gt;="&amp;$A186,monthly!$B:$B,"&lt;="&amp;$B186)&gt;0,"NA",AVERAGEIFS(monthly!U:U,monthly!$A:$A,"&gt;="&amp;$A186,monthly!$B:$B,"&lt;="&amp;$B186))</f>
        <v>148.49435400892057</v>
      </c>
      <c r="AD186">
        <f>IF(COUNTIFS(monthly!V:V,"",monthly!$A:$A,"&gt;="&amp;$A186,monthly!$B:$B,"&lt;="&amp;$B186)&gt;0,"NA",AVERAGEIFS(monthly!V:V,monthly!$A:$A,"&gt;="&amp;$A186,monthly!$B:$B,"&lt;="&amp;$B186))</f>
        <v>83.388424380224876</v>
      </c>
      <c r="AE186">
        <f>IF(COUNTIFS(monthly!W:W,"",monthly!$A:$A,"&gt;="&amp;$A186,monthly!$B:$B,"&lt;="&amp;$B186)&gt;0,"NA",AVERAGEIFS(monthly!W:W,monthly!$A:$A,"&gt;="&amp;$A186,monthly!$B:$B,"&lt;="&amp;$B186))</f>
        <v>110.56036122639973</v>
      </c>
      <c r="AF186">
        <f>IF(COUNTIFS(monthly!X:X,"",monthly!$A:$A,"&gt;="&amp;$A186,monthly!$B:$B,"&lt;="&amp;$B186)&gt;0,"NA",AVERAGEIFS(monthly!X:X,monthly!$A:$A,"&gt;="&amp;$A186,monthly!$B:$B,"&lt;="&amp;$B186))</f>
        <v>104.52936553955078</v>
      </c>
      <c r="AG186">
        <f>IF(COUNTIFS(monthly!Y:Y,"",monthly!$A:$A,"&gt;="&amp;$A186,monthly!$B:$B,"&lt;="&amp;$B186)&gt;0,"NA",AVERAGEIFS(monthly!Y:Y,monthly!$A:$A,"&gt;="&amp;$A186,monthly!$B:$B,"&lt;="&amp;$B186))</f>
        <v>118.29308573404948</v>
      </c>
      <c r="AH186">
        <f>IF(COUNTIFS(monthly!Z:Z,"",monthly!$A:$A,"&gt;="&amp;$A186,monthly!$B:$B,"&lt;="&amp;$B186)&gt;0,"NA",AVERAGEIFS(monthly!Z:Z,monthly!$A:$A,"&gt;="&amp;$A186,monthly!$B:$B,"&lt;="&amp;$B186))</f>
        <v>7.1824745585521058E-2</v>
      </c>
    </row>
    <row r="187" spans="1:34" x14ac:dyDescent="0.2">
      <c r="A187" s="1">
        <v>42461</v>
      </c>
      <c r="B187" s="1">
        <v>42551</v>
      </c>
      <c r="C187">
        <f>IF(ISBLANK(VLOOKUP($A187,quarterly_data,MATCH(C$1,quarterly!$1:$1,FALSE),FALSE)),"NA",VLOOKUP($A187,quarterly_data,MATCH(C$1,quarterly!$1:$1,FALSE),FALSE))</f>
        <v>135.52943707279897</v>
      </c>
      <c r="D187">
        <f>IF(ISBLANK(VLOOKUP($A187,quarterly_data,MATCH(D$1,quarterly!$1:$1,FALSE),FALSE)),"NA",VLOOKUP($A187,quarterly_data,MATCH(D$1,quarterly!$1:$1,FALSE),FALSE))</f>
        <v>69.900000000000006</v>
      </c>
      <c r="E187">
        <f>IF(ISBLANK(VLOOKUP($A187,quarterly_data,MATCH(E$1,quarterly!$1:$1,FALSE),FALSE)),"NA",VLOOKUP($A187,quarterly_data,MATCH(E$1,quarterly!$1:$1,FALSE),FALSE))</f>
        <v>7.12251E-2</v>
      </c>
      <c r="F187">
        <f>IF(ISBLANK(VLOOKUP($A187,quarterly_data,MATCH(F$1,quarterly!$1:$1,FALSE),FALSE)),"NA",VLOOKUP($A187,quarterly_data,MATCH(F$1,quarterly!$1:$1,FALSE),FALSE))</f>
        <v>5.5304899999999997E-2</v>
      </c>
      <c r="G187">
        <f>IF(ISBLANK(VLOOKUP($A187,quarterly_data,MATCH(G$1,quarterly!$1:$1,FALSE),FALSE)),"NA",VLOOKUP($A187,quarterly_data,MATCH(G$1,quarterly!$1:$1,FALSE),FALSE))</f>
        <v>19062.708999999999</v>
      </c>
      <c r="H187">
        <f>IF(ISBLANK(VLOOKUP($A187,quarterly_data,MATCH(H$1,quarterly!$1:$1,FALSE),FALSE)),"NA",VLOOKUP($A187,quarterly_data,MATCH(H$1,quarterly!$1:$1,FALSE),FALSE))</f>
        <v>564778</v>
      </c>
      <c r="I187">
        <f>IF(ISBLANK(VLOOKUP($A187,quarterly_data,MATCH(I$1,quarterly!$1:$1,FALSE),FALSE)),"NA",VLOOKUP($A187,quarterly_data,MATCH(I$1,quarterly!$1:$1,FALSE),FALSE))</f>
        <v>0.5</v>
      </c>
      <c r="J187">
        <f>IF(ISBLANK(VLOOKUP($A187,quarterly_data,MATCH(J$1,quarterly!$1:$1,FALSE),FALSE)),"NA",VLOOKUP($A187,quarterly_data,MATCH(J$1,quarterly!$1:$1,FALSE),FALSE))</f>
        <v>75.45</v>
      </c>
      <c r="K187">
        <f>IF(COUNTIFS(monthly!C:C,"",monthly!$A:$A,"&gt;="&amp;$A187,monthly!$B:$B,"&lt;="&amp;$B187)&gt;0,"NA",AVERAGEIFS(monthly!C:C,monthly!$A:$A,"&gt;="&amp;$A187,monthly!$B:$B,"&lt;="&amp;$B187))</f>
        <v>62.666666666666664</v>
      </c>
      <c r="L187">
        <f>IF(COUNTIFS(monthly!D:D,"",monthly!$A:$A,"&gt;="&amp;$A187,monthly!$B:$B,"&lt;="&amp;$B187)&gt;0,"NA",AVERAGEIFS(monthly!D:D,monthly!$A:$A,"&gt;="&amp;$A187,monthly!$B:$B,"&lt;="&amp;$B187))</f>
        <v>0.74409999999999998</v>
      </c>
      <c r="M187">
        <f>IF(COUNTIFS(monthly!E:E,"",monthly!$A:$A,"&gt;="&amp;$A187,monthly!$B:$B,"&lt;="&amp;$B187)&gt;0,"NA",AVERAGEIFS(monthly!E:E,monthly!$A:$A,"&gt;="&amp;$A187,monthly!$B:$B,"&lt;="&amp;$B187))</f>
        <v>53.777081021563198</v>
      </c>
      <c r="N187">
        <f>IF(COUNTIFS(monthly!F:F,"",monthly!$A:$A,"&gt;="&amp;$A187,monthly!$B:$B,"&lt;="&amp;$B187)&gt;0,"NA",AVERAGEIFS(monthly!F:F,monthly!$A:$A,"&gt;="&amp;$A187,monthly!$B:$B,"&lt;="&amp;$B187))</f>
        <v>53.995328683746173</v>
      </c>
      <c r="O187">
        <f>IF(COUNTIFS(monthly!G:G,"",monthly!$A:$A,"&gt;="&amp;$A187,monthly!$B:$B,"&lt;="&amp;$B187)&gt;0,"NA",AVERAGEIFS(monthly!G:G,monthly!$A:$A,"&gt;="&amp;$A187,monthly!$B:$B,"&lt;="&amp;$B187))</f>
        <v>56</v>
      </c>
      <c r="P187">
        <f>IF(COUNTIFS(monthly!H:H,"",monthly!$A:$A,"&gt;="&amp;$A187,monthly!$B:$B,"&lt;="&amp;$B187)&gt;0,"NA",AVERAGEIFS(monthly!H:H,monthly!$A:$A,"&gt;="&amp;$A187,monthly!$B:$B,"&lt;="&amp;$B187))</f>
        <v>51.633333333333333</v>
      </c>
      <c r="Q187">
        <f>IF(COUNTIFS(monthly!I:I,"",monthly!$A:$A,"&gt;="&amp;$A187,monthly!$B:$B,"&lt;="&amp;$B187)&gt;0,"NA",AVERAGEIFS(monthly!I:I,monthly!$A:$A,"&gt;="&amp;$A187,monthly!$B:$B,"&lt;="&amp;$B187))</f>
        <v>45.966666666666669</v>
      </c>
      <c r="R187">
        <f>IF(COUNTIFS(monthly!J:J,"",monthly!$A:$A,"&gt;="&amp;$A187,monthly!$B:$B,"&lt;="&amp;$B187)&gt;0,"NA",AVERAGEIFS(monthly!J:J,monthly!$A:$A,"&gt;="&amp;$A187,monthly!$B:$B,"&lt;="&amp;$B187))</f>
        <v>6.496666666666667</v>
      </c>
      <c r="S187">
        <f>IF(COUNTIFS(monthly!K:K,"",monthly!$A:$A,"&gt;="&amp;$A187,monthly!$B:$B,"&lt;="&amp;$B187)&gt;0,"NA",AVERAGEIFS(monthly!K:K,monthly!$A:$A,"&gt;="&amp;$A187,monthly!$B:$B,"&lt;="&amp;$B187))</f>
        <v>1.8399999999999999</v>
      </c>
      <c r="T187">
        <f>IF(COUNTIFS(monthly!L:L,"",monthly!$A:$A,"&gt;="&amp;$A187,monthly!$B:$B,"&lt;="&amp;$B187)&gt;0,"NA",AVERAGEIFS(monthly!L:L,monthly!$A:$A,"&gt;="&amp;$A187,monthly!$B:$B,"&lt;="&amp;$B187))</f>
        <v>0.36938709677419351</v>
      </c>
      <c r="U187">
        <f>IF(COUNTIFS(monthly!M:M,"",monthly!$A:$A,"&gt;="&amp;$A187,monthly!$B:$B,"&lt;="&amp;$B187)&gt;0,"NA",AVERAGEIFS(monthly!M:M,monthly!$A:$A,"&gt;="&amp;$A187,monthly!$B:$B,"&lt;="&amp;$B187))</f>
        <v>1.4706129032258064</v>
      </c>
      <c r="V187">
        <f>IF(COUNTIFS(monthly!N:N,"",monthly!$A:$A,"&gt;="&amp;$A187,monthly!$B:$B,"&lt;="&amp;$B187)&gt;0,"NA",AVERAGEIFS(monthly!N:N,monthly!$A:$A,"&gt;="&amp;$A187,monthly!$B:$B,"&lt;="&amp;$B187))</f>
        <v>1.7293333333333332</v>
      </c>
      <c r="W187">
        <f>IF(COUNTIFS(monthly!O:O,"",monthly!$A:$A,"&gt;="&amp;$A187,monthly!$B:$B,"&lt;="&amp;$B187)&gt;0,"NA",AVERAGEIFS(monthly!O:O,monthly!$A:$A,"&gt;="&amp;$A187,monthly!$B:$B,"&lt;="&amp;$B187))</f>
        <v>0.77188311688311684</v>
      </c>
      <c r="X187">
        <f>IF(COUNTIFS(monthly!P:P,"",monthly!$A:$A,"&gt;="&amp;$A187,monthly!$B:$B,"&lt;="&amp;$B187)&gt;0,"NA",AVERAGEIFS(monthly!P:P,monthly!$A:$A,"&gt;="&amp;$A187,monthly!$B:$B,"&lt;="&amp;$B187))</f>
        <v>0.95745021645021655</v>
      </c>
      <c r="Y187">
        <f>IF(COUNTIFS(monthly!Q:Q,"",monthly!$A:$A,"&gt;="&amp;$A187,monthly!$B:$B,"&lt;="&amp;$B187)&gt;0,"NA",AVERAGEIFS(monthly!Q:Q,monthly!$A:$A,"&gt;="&amp;$A187,monthly!$B:$B,"&lt;="&amp;$B187))</f>
        <v>2.3196666666666665</v>
      </c>
      <c r="Z187">
        <f>IF(COUNTIFS(monthly!R:R,"",monthly!$A:$A,"&gt;="&amp;$A187,monthly!$B:$B,"&lt;="&amp;$B187)&gt;0,"NA",AVERAGEIFS(monthly!R:R,monthly!$A:$A,"&gt;="&amp;$A187,monthly!$B:$B,"&lt;="&amp;$B187))</f>
        <v>1.7518398268398272</v>
      </c>
      <c r="AA187">
        <f>IF(COUNTIFS(monthly!S:S,"",monthly!$A:$A,"&gt;="&amp;$A187,monthly!$B:$B,"&lt;="&amp;$B187)&gt;0,"NA",AVERAGEIFS(monthly!S:S,monthly!$A:$A,"&gt;="&amp;$A187,monthly!$B:$B,"&lt;="&amp;$B187))</f>
        <v>0.56782683982683957</v>
      </c>
      <c r="AB187">
        <f>IF(COUNTIFS(monthly!T:T,"",monthly!$A:$A,"&gt;="&amp;$A187,monthly!$B:$B,"&lt;="&amp;$B187)&gt;0,"NA",AVERAGEIFS(monthly!T:T,monthly!$A:$A,"&gt;="&amp;$A187,monthly!$B:$B,"&lt;="&amp;$B187))</f>
        <v>15.642626262626264</v>
      </c>
      <c r="AC187">
        <f>IF(COUNTIFS(monthly!U:U,"",monthly!$A:$A,"&gt;="&amp;$A187,monthly!$B:$B,"&lt;="&amp;$B187)&gt;0,"NA",AVERAGEIFS(monthly!U:U,monthly!$A:$A,"&gt;="&amp;$A187,monthly!$B:$B,"&lt;="&amp;$B187))</f>
        <v>163.84393584158406</v>
      </c>
      <c r="AD187">
        <f>IF(COUNTIFS(monthly!V:V,"",monthly!$A:$A,"&gt;="&amp;$A187,monthly!$B:$B,"&lt;="&amp;$B187)&gt;0,"NA",AVERAGEIFS(monthly!V:V,monthly!$A:$A,"&gt;="&amp;$A187,monthly!$B:$B,"&lt;="&amp;$B187))</f>
        <v>149.23636077477633</v>
      </c>
      <c r="AE187">
        <f>IF(COUNTIFS(monthly!W:W,"",monthly!$A:$A,"&gt;="&amp;$A187,monthly!$B:$B,"&lt;="&amp;$B187)&gt;0,"NA",AVERAGEIFS(monthly!W:W,monthly!$A:$A,"&gt;="&amp;$A187,monthly!$B:$B,"&lt;="&amp;$B187))</f>
        <v>87.907333374023438</v>
      </c>
      <c r="AF187">
        <f>IF(COUNTIFS(monthly!X:X,"",monthly!$A:$A,"&gt;="&amp;$A187,monthly!$B:$B,"&lt;="&amp;$B187)&gt;0,"NA",AVERAGEIFS(monthly!X:X,monthly!$A:$A,"&gt;="&amp;$A187,monthly!$B:$B,"&lt;="&amp;$B187))</f>
        <v>81.93222300211589</v>
      </c>
      <c r="AG187">
        <f>IF(COUNTIFS(monthly!Y:Y,"",monthly!$A:$A,"&gt;="&amp;$A187,monthly!$B:$B,"&lt;="&amp;$B187)&gt;0,"NA",AVERAGEIFS(monthly!Y:Y,monthly!$A:$A,"&gt;="&amp;$A187,monthly!$B:$B,"&lt;="&amp;$B187))</f>
        <v>95.873339335123703</v>
      </c>
      <c r="AH187">
        <f>IF(COUNTIFS(monthly!Z:Z,"",monthly!$A:$A,"&gt;="&amp;$A187,monthly!$B:$B,"&lt;="&amp;$B187)&gt;0,"NA",AVERAGEIFS(monthly!Z:Z,monthly!$A:$A,"&gt;="&amp;$A187,monthly!$B:$B,"&lt;="&amp;$B187))</f>
        <v>6.6667498399813965E-2</v>
      </c>
    </row>
    <row r="188" spans="1:34" x14ac:dyDescent="0.2">
      <c r="A188" s="1">
        <v>42552</v>
      </c>
      <c r="B188" s="1">
        <v>42643</v>
      </c>
      <c r="C188">
        <f>IF(ISBLANK(VLOOKUP($A188,quarterly_data,MATCH(C$1,quarterly!$1:$1,FALSE),FALSE)),"NA",VLOOKUP($A188,quarterly_data,MATCH(C$1,quarterly!$1:$1,FALSE),FALSE))</f>
        <v>137.51557428870942</v>
      </c>
      <c r="D188">
        <f>IF(ISBLANK(VLOOKUP($A188,quarterly_data,MATCH(D$1,quarterly!$1:$1,FALSE),FALSE)),"NA",VLOOKUP($A188,quarterly_data,MATCH(D$1,quarterly!$1:$1,FALSE),FALSE))</f>
        <v>73.099999999999994</v>
      </c>
      <c r="E188">
        <f>IF(ISBLANK(VLOOKUP($A188,quarterly_data,MATCH(E$1,quarterly!$1:$1,FALSE),FALSE)),"NA",VLOOKUP($A188,quarterly_data,MATCH(E$1,quarterly!$1:$1,FALSE),FALSE))</f>
        <v>0.32814860000000001</v>
      </c>
      <c r="F188">
        <f>IF(ISBLANK(VLOOKUP($A188,quarterly_data,MATCH(F$1,quarterly!$1:$1,FALSE),FALSE)),"NA",VLOOKUP($A188,quarterly_data,MATCH(F$1,quarterly!$1:$1,FALSE),FALSE))</f>
        <v>8.5550100000000004E-2</v>
      </c>
      <c r="G188">
        <f>IF(ISBLANK(VLOOKUP($A188,quarterly_data,MATCH(G$1,quarterly!$1:$1,FALSE),FALSE)),"NA",VLOOKUP($A188,quarterly_data,MATCH(G$1,quarterly!$1:$1,FALSE),FALSE))</f>
        <v>19197.937999999998</v>
      </c>
      <c r="H188">
        <f>IF(ISBLANK(VLOOKUP($A188,quarterly_data,MATCH(H$1,quarterly!$1:$1,FALSE),FALSE)),"NA",VLOOKUP($A188,quarterly_data,MATCH(H$1,quarterly!$1:$1,FALSE),FALSE))</f>
        <v>564810</v>
      </c>
      <c r="I188">
        <f>IF(ISBLANK(VLOOKUP($A188,quarterly_data,MATCH(I$1,quarterly!$1:$1,FALSE),FALSE)),"NA",VLOOKUP($A188,quarterly_data,MATCH(I$1,quarterly!$1:$1,FALSE),FALSE))</f>
        <v>0.3</v>
      </c>
      <c r="J188">
        <f>IF(ISBLANK(VLOOKUP($A188,quarterly_data,MATCH(J$1,quarterly!$1:$1,FALSE),FALSE)),"NA",VLOOKUP($A188,quarterly_data,MATCH(J$1,quarterly!$1:$1,FALSE),FALSE))</f>
        <v>75.98</v>
      </c>
      <c r="K188">
        <f>IF(COUNTIFS(monthly!C:C,"",monthly!$A:$A,"&gt;="&amp;$A188,monthly!$B:$B,"&lt;="&amp;$B188)&gt;0,"NA",AVERAGEIFS(monthly!C:C,monthly!$A:$A,"&gt;="&amp;$A188,monthly!$B:$B,"&lt;="&amp;$B188))</f>
        <v>63.466666666666669</v>
      </c>
      <c r="L188">
        <f>IF(COUNTIFS(monthly!D:D,"",monthly!$A:$A,"&gt;="&amp;$A188,monthly!$B:$B,"&lt;="&amp;$B188)&gt;0,"NA",AVERAGEIFS(monthly!D:D,monthly!$A:$A,"&gt;="&amp;$A188,monthly!$B:$B,"&lt;="&amp;$B188))</f>
        <v>0.75553333333333328</v>
      </c>
      <c r="M188">
        <f>IF(COUNTIFS(monthly!E:E,"",monthly!$A:$A,"&gt;="&amp;$A188,monthly!$B:$B,"&lt;="&amp;$B188)&gt;0,"NA",AVERAGEIFS(monthly!E:E,monthly!$A:$A,"&gt;="&amp;$A188,monthly!$B:$B,"&lt;="&amp;$B188))</f>
        <v>57.435834275552061</v>
      </c>
      <c r="N188">
        <f>IF(COUNTIFS(monthly!F:F,"",monthly!$A:$A,"&gt;="&amp;$A188,monthly!$B:$B,"&lt;="&amp;$B188)&gt;0,"NA",AVERAGEIFS(monthly!F:F,monthly!$A:$A,"&gt;="&amp;$A188,monthly!$B:$B,"&lt;="&amp;$B188))</f>
        <v>60.097063368528929</v>
      </c>
      <c r="O188">
        <f>IF(COUNTIFS(monthly!G:G,"",monthly!$A:$A,"&gt;="&amp;$A188,monthly!$B:$B,"&lt;="&amp;$B188)&gt;0,"NA",AVERAGEIFS(monthly!G:G,monthly!$A:$A,"&gt;="&amp;$A188,monthly!$B:$B,"&lt;="&amp;$B188))</f>
        <v>58.666666666666664</v>
      </c>
      <c r="P188">
        <f>IF(COUNTIFS(monthly!H:H,"",monthly!$A:$A,"&gt;="&amp;$A188,monthly!$B:$B,"&lt;="&amp;$B188)&gt;0,"NA",AVERAGEIFS(monthly!H:H,monthly!$A:$A,"&gt;="&amp;$A188,monthly!$B:$B,"&lt;="&amp;$B188))</f>
        <v>67.100000000000009</v>
      </c>
      <c r="Q188">
        <f>IF(COUNTIFS(monthly!I:I,"",monthly!$A:$A,"&gt;="&amp;$A188,monthly!$B:$B,"&lt;="&amp;$B188)&gt;0,"NA",AVERAGEIFS(monthly!I:I,monthly!$A:$A,"&gt;="&amp;$A188,monthly!$B:$B,"&lt;="&amp;$B188))</f>
        <v>45.800000000000004</v>
      </c>
      <c r="R188">
        <f>IF(COUNTIFS(monthly!J:J,"",monthly!$A:$A,"&gt;="&amp;$A188,monthly!$B:$B,"&lt;="&amp;$B188)&gt;0,"NA",AVERAGEIFS(monthly!J:J,monthly!$A:$A,"&gt;="&amp;$A188,monthly!$B:$B,"&lt;="&amp;$B188))</f>
        <v>7.1466666666666656</v>
      </c>
      <c r="S188">
        <f>IF(COUNTIFS(monthly!K:K,"",monthly!$A:$A,"&gt;="&amp;$A188,monthly!$B:$B,"&lt;="&amp;$B188)&gt;0,"NA",AVERAGEIFS(monthly!K:K,monthly!$A:$A,"&gt;="&amp;$A188,monthly!$B:$B,"&lt;="&amp;$B188))</f>
        <v>1.5899999999999999</v>
      </c>
      <c r="T188">
        <f>IF(COUNTIFS(monthly!L:L,"",monthly!$A:$A,"&gt;="&amp;$A188,monthly!$B:$B,"&lt;="&amp;$B188)&gt;0,"NA",AVERAGEIFS(monthly!L:L,monthly!$A:$A,"&gt;="&amp;$A188,monthly!$B:$B,"&lt;="&amp;$B188))</f>
        <v>0.39490681003584244</v>
      </c>
      <c r="U188">
        <f>IF(COUNTIFS(monthly!M:M,"",monthly!$A:$A,"&gt;="&amp;$A188,monthly!$B:$B,"&lt;="&amp;$B188)&gt;0,"NA",AVERAGEIFS(monthly!M:M,monthly!$A:$A,"&gt;="&amp;$A188,monthly!$B:$B,"&lt;="&amp;$B188))</f>
        <v>1.1950931899641575</v>
      </c>
      <c r="V188">
        <f>IF(COUNTIFS(monthly!N:N,"",monthly!$A:$A,"&gt;="&amp;$A188,monthly!$B:$B,"&lt;="&amp;$B188)&gt;0,"NA",AVERAGEIFS(monthly!N:N,monthly!$A:$A,"&gt;="&amp;$A188,monthly!$B:$B,"&lt;="&amp;$B188))</f>
        <v>1.5223333333333333</v>
      </c>
      <c r="W188">
        <f>IF(COUNTIFS(monthly!O:O,"",monthly!$A:$A,"&gt;="&amp;$A188,monthly!$B:$B,"&lt;="&amp;$B188)&gt;0,"NA",AVERAGEIFS(monthly!O:O,monthly!$A:$A,"&gt;="&amp;$A188,monthly!$B:$B,"&lt;="&amp;$B188))</f>
        <v>0.72694789510006907</v>
      </c>
      <c r="X188">
        <f>IF(COUNTIFS(monthly!P:P,"",monthly!$A:$A,"&gt;="&amp;$A188,monthly!$B:$B,"&lt;="&amp;$B188)&gt;0,"NA",AVERAGEIFS(monthly!P:P,monthly!$A:$A,"&gt;="&amp;$A188,monthly!$B:$B,"&lt;="&amp;$B188))</f>
        <v>0.79538543823326435</v>
      </c>
      <c r="Y188">
        <f>IF(COUNTIFS(monthly!Q:Q,"",monthly!$A:$A,"&gt;="&amp;$A188,monthly!$B:$B,"&lt;="&amp;$B188)&gt;0,"NA",AVERAGEIFS(monthly!Q:Q,monthly!$A:$A,"&gt;="&amp;$A188,monthly!$B:$B,"&lt;="&amp;$B188))</f>
        <v>1.944</v>
      </c>
      <c r="Z188">
        <f>IF(COUNTIFS(monthly!R:R,"",monthly!$A:$A,"&gt;="&amp;$A188,monthly!$B:$B,"&lt;="&amp;$B188)&gt;0,"NA",AVERAGEIFS(monthly!R:R,monthly!$A:$A,"&gt;="&amp;$A188,monthly!$B:$B,"&lt;="&amp;$B188))</f>
        <v>1.5636659765355418</v>
      </c>
      <c r="AA188">
        <f>IF(COUNTIFS(monthly!S:S,"",monthly!$A:$A,"&gt;="&amp;$A188,monthly!$B:$B,"&lt;="&amp;$B188)&gt;0,"NA",AVERAGEIFS(monthly!S:S,monthly!$A:$A,"&gt;="&amp;$A188,monthly!$B:$B,"&lt;="&amp;$B188))</f>
        <v>0.38033402346445816</v>
      </c>
      <c r="AB188">
        <f>IF(COUNTIFS(monthly!T:T,"",monthly!$A:$A,"&gt;="&amp;$A188,monthly!$B:$B,"&lt;="&amp;$B188)&gt;0,"NA",AVERAGEIFS(monthly!T:T,monthly!$A:$A,"&gt;="&amp;$A188,monthly!$B:$B,"&lt;="&amp;$B188))</f>
        <v>13.259196342305041</v>
      </c>
      <c r="AC188">
        <f>IF(COUNTIFS(monthly!U:U,"",monthly!$A:$A,"&gt;="&amp;$A188,monthly!$B:$B,"&lt;="&amp;$B188)&gt;0,"NA",AVERAGEIFS(monthly!U:U,monthly!$A:$A,"&gt;="&amp;$A188,monthly!$B:$B,"&lt;="&amp;$B188))</f>
        <v>156.35943518537599</v>
      </c>
      <c r="AD188">
        <f>IF(COUNTIFS(monthly!V:V,"",monthly!$A:$A,"&gt;="&amp;$A188,monthly!$B:$B,"&lt;="&amp;$B188)&gt;0,"NA",AVERAGEIFS(monthly!V:V,monthly!$A:$A,"&gt;="&amp;$A188,monthly!$B:$B,"&lt;="&amp;$B188))</f>
        <v>159.58968920199646</v>
      </c>
      <c r="AE188">
        <f>IF(COUNTIFS(monthly!W:W,"",monthly!$A:$A,"&gt;="&amp;$A188,monthly!$B:$B,"&lt;="&amp;$B188)&gt;0,"NA",AVERAGEIFS(monthly!W:W,monthly!$A:$A,"&gt;="&amp;$A188,monthly!$B:$B,"&lt;="&amp;$B188))</f>
        <v>105.9647216796875</v>
      </c>
      <c r="AF188">
        <f>IF(COUNTIFS(monthly!X:X,"",monthly!$A:$A,"&gt;="&amp;$A188,monthly!$B:$B,"&lt;="&amp;$B188)&gt;0,"NA",AVERAGEIFS(monthly!X:X,monthly!$A:$A,"&gt;="&amp;$A188,monthly!$B:$B,"&lt;="&amp;$B188))</f>
        <v>91.676035563151046</v>
      </c>
      <c r="AG188">
        <f>IF(COUNTIFS(monthly!Y:Y,"",monthly!$A:$A,"&gt;="&amp;$A188,monthly!$B:$B,"&lt;="&amp;$B188)&gt;0,"NA",AVERAGEIFS(monthly!Y:Y,monthly!$A:$A,"&gt;="&amp;$A188,monthly!$B:$B,"&lt;="&amp;$B188))</f>
        <v>129.2509791056315</v>
      </c>
      <c r="AH188">
        <f>IF(COUNTIFS(monthly!Z:Z,"",monthly!$A:$A,"&gt;="&amp;$A188,monthly!$B:$B,"&lt;="&amp;$B188)&gt;0,"NA",AVERAGEIFS(monthly!Z:Z,monthly!$A:$A,"&gt;="&amp;$A188,monthly!$B:$B,"&lt;="&amp;$B188))</f>
        <v>9.8699264228343964E-2</v>
      </c>
    </row>
    <row r="189" spans="1:34" x14ac:dyDescent="0.2">
      <c r="A189" s="1">
        <v>42644</v>
      </c>
      <c r="B189" s="1">
        <v>42735</v>
      </c>
      <c r="C189">
        <f>IF(ISBLANK(VLOOKUP($A189,quarterly_data,MATCH(C$1,quarterly!$1:$1,FALSE),FALSE)),"NA",VLOOKUP($A189,quarterly_data,MATCH(C$1,quarterly!$1:$1,FALSE),FALSE))</f>
        <v>139.7994960527794</v>
      </c>
      <c r="D189">
        <f>IF(ISBLANK(VLOOKUP($A189,quarterly_data,MATCH(D$1,quarterly!$1:$1,FALSE),FALSE)),"NA",VLOOKUP($A189,quarterly_data,MATCH(D$1,quarterly!$1:$1,FALSE),FALSE))</f>
        <v>81</v>
      </c>
      <c r="E189">
        <f>IF(ISBLANK(VLOOKUP($A189,quarterly_data,MATCH(E$1,quarterly!$1:$1,FALSE),FALSE)),"NA",VLOOKUP($A189,quarterly_data,MATCH(E$1,quarterly!$1:$1,FALSE),FALSE))</f>
        <v>0.21297740000000001</v>
      </c>
      <c r="F189">
        <f>IF(ISBLANK(VLOOKUP($A189,quarterly_data,MATCH(F$1,quarterly!$1:$1,FALSE),FALSE)),"NA",VLOOKUP($A189,quarterly_data,MATCH(F$1,quarterly!$1:$1,FALSE),FALSE))</f>
        <v>7.7784500000000006E-2</v>
      </c>
      <c r="G189">
        <f>IF(ISBLANK(VLOOKUP($A189,quarterly_data,MATCH(G$1,quarterly!$1:$1,FALSE),FALSE)),"NA",VLOOKUP($A189,quarterly_data,MATCH(G$1,quarterly!$1:$1,FALSE),FALSE))</f>
        <v>19304.351999999999</v>
      </c>
      <c r="H189">
        <f>IF(ISBLANK(VLOOKUP($A189,quarterly_data,MATCH(H$1,quarterly!$1:$1,FALSE),FALSE)),"NA",VLOOKUP($A189,quarterly_data,MATCH(H$1,quarterly!$1:$1,FALSE),FALSE))</f>
        <v>571330</v>
      </c>
      <c r="I189">
        <f>IF(ISBLANK(VLOOKUP($A189,quarterly_data,MATCH(I$1,quarterly!$1:$1,FALSE),FALSE)),"NA",VLOOKUP($A189,quarterly_data,MATCH(I$1,quarterly!$1:$1,FALSE),FALSE))</f>
        <v>0.4</v>
      </c>
      <c r="J189">
        <f>IF(ISBLANK(VLOOKUP($A189,quarterly_data,MATCH(J$1,quarterly!$1:$1,FALSE),FALSE)),"NA",VLOOKUP($A189,quarterly_data,MATCH(J$1,quarterly!$1:$1,FALSE),FALSE))</f>
        <v>76.38</v>
      </c>
      <c r="K189">
        <f>IF(COUNTIFS(monthly!C:C,"",monthly!$A:$A,"&gt;="&amp;$A189,monthly!$B:$B,"&lt;="&amp;$B189)&gt;0,"NA",AVERAGEIFS(monthly!C:C,monthly!$A:$A,"&gt;="&amp;$A189,monthly!$B:$B,"&lt;="&amp;$B189))</f>
        <v>64.733333333333334</v>
      </c>
      <c r="L189">
        <f>IF(COUNTIFS(monthly!D:D,"",monthly!$A:$A,"&gt;="&amp;$A189,monthly!$B:$B,"&lt;="&amp;$B189)&gt;0,"NA",AVERAGEIFS(monthly!D:D,monthly!$A:$A,"&gt;="&amp;$A189,monthly!$B:$B,"&lt;="&amp;$B189))</f>
        <v>0.74409999999999998</v>
      </c>
      <c r="M189">
        <f>IF(COUNTIFS(monthly!E:E,"",monthly!$A:$A,"&gt;="&amp;$A189,monthly!$B:$B,"&lt;="&amp;$B189)&gt;0,"NA",AVERAGEIFS(monthly!E:E,monthly!$A:$A,"&gt;="&amp;$A189,monthly!$B:$B,"&lt;="&amp;$B189))</f>
        <v>69.697965489895111</v>
      </c>
      <c r="N189">
        <f>IF(COUNTIFS(monthly!F:F,"",monthly!$A:$A,"&gt;="&amp;$A189,monthly!$B:$B,"&lt;="&amp;$B189)&gt;0,"NA",AVERAGEIFS(monthly!F:F,monthly!$A:$A,"&gt;="&amp;$A189,monthly!$B:$B,"&lt;="&amp;$B189))</f>
        <v>76.099347380017306</v>
      </c>
      <c r="O189">
        <f>IF(COUNTIFS(monthly!G:G,"",monthly!$A:$A,"&gt;="&amp;$A189,monthly!$B:$B,"&lt;="&amp;$B189)&gt;0,"NA",AVERAGEIFS(monthly!G:G,monthly!$A:$A,"&gt;="&amp;$A189,monthly!$B:$B,"&lt;="&amp;$B189))</f>
        <v>70.733333333333334</v>
      </c>
      <c r="P189">
        <f>IF(COUNTIFS(monthly!H:H,"",monthly!$A:$A,"&gt;="&amp;$A189,monthly!$B:$B,"&lt;="&amp;$B189)&gt;0,"NA",AVERAGEIFS(monthly!H:H,monthly!$A:$A,"&gt;="&amp;$A189,monthly!$B:$B,"&lt;="&amp;$B189))</f>
        <v>95.266666666666666</v>
      </c>
      <c r="Q189">
        <f>IF(COUNTIFS(monthly!I:I,"",monthly!$A:$A,"&gt;="&amp;$A189,monthly!$B:$B,"&lt;="&amp;$B189)&gt;0,"NA",AVERAGEIFS(monthly!I:I,monthly!$A:$A,"&gt;="&amp;$A189,monthly!$B:$B,"&lt;="&amp;$B189))</f>
        <v>50.066666666666663</v>
      </c>
      <c r="R189">
        <f>IF(COUNTIFS(monthly!J:J,"",monthly!$A:$A,"&gt;="&amp;$A189,monthly!$B:$B,"&lt;="&amp;$B189)&gt;0,"NA",AVERAGEIFS(monthly!J:J,monthly!$A:$A,"&gt;="&amp;$A189,monthly!$B:$B,"&lt;="&amp;$B189))</f>
        <v>7.6099999999999994</v>
      </c>
      <c r="S189">
        <f>IF(COUNTIFS(monthly!K:K,"",monthly!$A:$A,"&gt;="&amp;$A189,monthly!$B:$B,"&lt;="&amp;$B189)&gt;0,"NA",AVERAGEIFS(monthly!K:K,monthly!$A:$A,"&gt;="&amp;$A189,monthly!$B:$B,"&lt;="&amp;$B189))</f>
        <v>1.5</v>
      </c>
      <c r="T189">
        <f>IF(COUNTIFS(monthly!L:L,"",monthly!$A:$A,"&gt;="&amp;$A189,monthly!$B:$B,"&lt;="&amp;$B189)&gt;0,"NA",AVERAGEIFS(monthly!L:L,monthly!$A:$A,"&gt;="&amp;$A189,monthly!$B:$B,"&lt;="&amp;$B189))</f>
        <v>0.44770609318996418</v>
      </c>
      <c r="U189">
        <f>IF(COUNTIFS(monthly!M:M,"",monthly!$A:$A,"&gt;="&amp;$A189,monthly!$B:$B,"&lt;="&amp;$B189)&gt;0,"NA",AVERAGEIFS(monthly!M:M,monthly!$A:$A,"&gt;="&amp;$A189,monthly!$B:$B,"&lt;="&amp;$B189))</f>
        <v>1.0522939068100359</v>
      </c>
      <c r="V189">
        <f>IF(COUNTIFS(monthly!N:N,"",monthly!$A:$A,"&gt;="&amp;$A189,monthly!$B:$B,"&lt;="&amp;$B189)&gt;0,"NA",AVERAGEIFS(monthly!N:N,monthly!$A:$A,"&gt;="&amp;$A189,monthly!$B:$B,"&lt;="&amp;$B189))</f>
        <v>1.7450000000000001</v>
      </c>
      <c r="W189">
        <f>IF(COUNTIFS(monthly!O:O,"",monthly!$A:$A,"&gt;="&amp;$A189,monthly!$B:$B,"&lt;="&amp;$B189)&gt;0,"NA",AVERAGEIFS(monthly!O:O,monthly!$A:$A,"&gt;="&amp;$A189,monthly!$B:$B,"&lt;="&amp;$B189))</f>
        <v>1.0063888888888888</v>
      </c>
      <c r="X189">
        <f>IF(COUNTIFS(monthly!P:P,"",monthly!$A:$A,"&gt;="&amp;$A189,monthly!$B:$B,"&lt;="&amp;$B189)&gt;0,"NA",AVERAGEIFS(monthly!P:P,monthly!$A:$A,"&gt;="&amp;$A189,monthly!$B:$B,"&lt;="&amp;$B189))</f>
        <v>0.73861111111111111</v>
      </c>
      <c r="Y189">
        <f>IF(COUNTIFS(monthly!Q:Q,"",monthly!$A:$A,"&gt;="&amp;$A189,monthly!$B:$B,"&lt;="&amp;$B189)&gt;0,"NA",AVERAGEIFS(monthly!Q:Q,monthly!$A:$A,"&gt;="&amp;$A189,monthly!$B:$B,"&lt;="&amp;$B189))</f>
        <v>2.5216666666666665</v>
      </c>
      <c r="Z189">
        <f>IF(COUNTIFS(monthly!R:R,"",monthly!$A:$A,"&gt;="&amp;$A189,monthly!$B:$B,"&lt;="&amp;$B189)&gt;0,"NA",AVERAGEIFS(monthly!R:R,monthly!$A:$A,"&gt;="&amp;$A189,monthly!$B:$B,"&lt;="&amp;$B189))</f>
        <v>2.1328015873015875</v>
      </c>
      <c r="AA189">
        <f>IF(COUNTIFS(monthly!S:S,"",monthly!$A:$A,"&gt;="&amp;$A189,monthly!$B:$B,"&lt;="&amp;$B189)&gt;0,"NA",AVERAGEIFS(monthly!S:S,monthly!$A:$A,"&gt;="&amp;$A189,monthly!$B:$B,"&lt;="&amp;$B189))</f>
        <v>0.38886507936507925</v>
      </c>
      <c r="AB189">
        <f>IF(COUNTIFS(monthly!T:T,"",monthly!$A:$A,"&gt;="&amp;$A189,monthly!$B:$B,"&lt;="&amp;$B189)&gt;0,"NA",AVERAGEIFS(monthly!T:T,monthly!$A:$A,"&gt;="&amp;$A189,monthly!$B:$B,"&lt;="&amp;$B189))</f>
        <v>14.097936507936508</v>
      </c>
      <c r="AC189">
        <f>IF(COUNTIFS(monthly!U:U,"",monthly!$A:$A,"&gt;="&amp;$A189,monthly!$B:$B,"&lt;="&amp;$B189)&gt;0,"NA",AVERAGEIFS(monthly!U:U,monthly!$A:$A,"&gt;="&amp;$A189,monthly!$B:$B,"&lt;="&amp;$B189))</f>
        <v>178.37338312655405</v>
      </c>
      <c r="AD189">
        <f>IF(COUNTIFS(monthly!V:V,"",monthly!$A:$A,"&gt;="&amp;$A189,monthly!$B:$B,"&lt;="&amp;$B189)&gt;0,"NA",AVERAGEIFS(monthly!V:V,monthly!$A:$A,"&gt;="&amp;$A189,monthly!$B:$B,"&lt;="&amp;$B189))</f>
        <v>130.27100279400761</v>
      </c>
      <c r="AE189">
        <f>IF(COUNTIFS(monthly!W:W,"",monthly!$A:$A,"&gt;="&amp;$A189,monthly!$B:$B,"&lt;="&amp;$B189)&gt;0,"NA",AVERAGEIFS(monthly!W:W,monthly!$A:$A,"&gt;="&amp;$A189,monthly!$B:$B,"&lt;="&amp;$B189))</f>
        <v>90.282335917154953</v>
      </c>
      <c r="AF189">
        <f>IF(COUNTIFS(monthly!X:X,"",monthly!$A:$A,"&gt;="&amp;$A189,monthly!$B:$B,"&lt;="&amp;$B189)&gt;0,"NA",AVERAGEIFS(monthly!X:X,monthly!$A:$A,"&gt;="&amp;$A189,monthly!$B:$B,"&lt;="&amp;$B189))</f>
        <v>84.936785380045578</v>
      </c>
      <c r="AG189">
        <f>IF(COUNTIFS(monthly!Y:Y,"",monthly!$A:$A,"&gt;="&amp;$A189,monthly!$B:$B,"&lt;="&amp;$B189)&gt;0,"NA",AVERAGEIFS(monthly!Y:Y,monthly!$A:$A,"&gt;="&amp;$A189,monthly!$B:$B,"&lt;="&amp;$B189))</f>
        <v>99.420733133951828</v>
      </c>
      <c r="AH189">
        <f>IF(COUNTIFS(monthly!Z:Z,"",monthly!$A:$A,"&gt;="&amp;$A189,monthly!$B:$B,"&lt;="&amp;$B189)&gt;0,"NA",AVERAGEIFS(monthly!Z:Z,monthly!$A:$A,"&gt;="&amp;$A189,monthly!$B:$B,"&lt;="&amp;$B189))</f>
        <v>5.4990120232105255E-2</v>
      </c>
    </row>
    <row r="190" spans="1:34" x14ac:dyDescent="0.2">
      <c r="A190" s="1">
        <v>42736</v>
      </c>
      <c r="B190" s="1">
        <v>42825</v>
      </c>
      <c r="C190">
        <f>IF(ISBLANK(VLOOKUP($A190,quarterly_data,MATCH(C$1,quarterly!$1:$1,FALSE),FALSE)),"NA",VLOOKUP($A190,quarterly_data,MATCH(C$1,quarterly!$1:$1,FALSE),FALSE))</f>
        <v>142.29205334350345</v>
      </c>
      <c r="D190">
        <f>IF(ISBLANK(VLOOKUP($A190,quarterly_data,MATCH(D$1,quarterly!$1:$1,FALSE),FALSE)),"NA",VLOOKUP($A190,quarterly_data,MATCH(D$1,quarterly!$1:$1,FALSE),FALSE))</f>
        <v>84.1</v>
      </c>
      <c r="E190">
        <f>IF(ISBLANK(VLOOKUP($A190,quarterly_data,MATCH(E$1,quarterly!$1:$1,FALSE),FALSE)),"NA",VLOOKUP($A190,quarterly_data,MATCH(E$1,quarterly!$1:$1,FALSE),FALSE))</f>
        <v>0.319081</v>
      </c>
      <c r="F190">
        <f>IF(ISBLANK(VLOOKUP($A190,quarterly_data,MATCH(F$1,quarterly!$1:$1,FALSE),FALSE)),"NA",VLOOKUP($A190,quarterly_data,MATCH(F$1,quarterly!$1:$1,FALSE),FALSE))</f>
        <v>9.6052200000000004E-2</v>
      </c>
      <c r="G190">
        <f>IF(ISBLANK(VLOOKUP($A190,quarterly_data,MATCH(G$1,quarterly!$1:$1,FALSE),FALSE)),"NA",VLOOKUP($A190,quarterly_data,MATCH(G$1,quarterly!$1:$1,FALSE),FALSE))</f>
        <v>19398.343000000001</v>
      </c>
      <c r="H190">
        <f>IF(ISBLANK(VLOOKUP($A190,quarterly_data,MATCH(H$1,quarterly!$1:$1,FALSE),FALSE)),"NA",VLOOKUP($A190,quarterly_data,MATCH(H$1,quarterly!$1:$1,FALSE),FALSE))</f>
        <v>573227</v>
      </c>
      <c r="I190">
        <f>IF(ISBLANK(VLOOKUP($A190,quarterly_data,MATCH(I$1,quarterly!$1:$1,FALSE),FALSE)),"NA",VLOOKUP($A190,quarterly_data,MATCH(I$1,quarterly!$1:$1,FALSE),FALSE))</f>
        <v>0.5</v>
      </c>
      <c r="J190">
        <f>IF(ISBLANK(VLOOKUP($A190,quarterly_data,MATCH(J$1,quarterly!$1:$1,FALSE),FALSE)),"NA",VLOOKUP($A190,quarterly_data,MATCH(J$1,quarterly!$1:$1,FALSE),FALSE))</f>
        <v>76.73</v>
      </c>
      <c r="K190">
        <f>IF(COUNTIFS(monthly!C:C,"",monthly!$A:$A,"&gt;="&amp;$A190,monthly!$B:$B,"&lt;="&amp;$B190)&gt;0,"NA",AVERAGEIFS(monthly!C:C,monthly!$A:$A,"&gt;="&amp;$A190,monthly!$B:$B,"&lt;="&amp;$B190))</f>
        <v>66.233333333333334</v>
      </c>
      <c r="L190">
        <f>IF(COUNTIFS(monthly!D:D,"",monthly!$A:$A,"&gt;="&amp;$A190,monthly!$B:$B,"&lt;="&amp;$B190)&gt;0,"NA",AVERAGEIFS(monthly!D:D,monthly!$A:$A,"&gt;="&amp;$A190,monthly!$B:$B,"&lt;="&amp;$B190))</f>
        <v>0.76330000000000009</v>
      </c>
      <c r="M190">
        <f>IF(COUNTIFS(monthly!E:E,"",monthly!$A:$A,"&gt;="&amp;$A190,monthly!$B:$B,"&lt;="&amp;$B190)&gt;0,"NA",AVERAGEIFS(monthly!E:E,monthly!$A:$A,"&gt;="&amp;$A190,monthly!$B:$B,"&lt;="&amp;$B190))</f>
        <v>76.830699217505654</v>
      </c>
      <c r="N190">
        <f>IF(COUNTIFS(monthly!F:F,"",monthly!$A:$A,"&gt;="&amp;$A190,monthly!$B:$B,"&lt;="&amp;$B190)&gt;0,"NA",AVERAGEIFS(monthly!F:F,monthly!$A:$A,"&gt;="&amp;$A190,monthly!$B:$B,"&lt;="&amp;$B190))</f>
        <v>76.717229828231396</v>
      </c>
      <c r="O190">
        <f>IF(COUNTIFS(monthly!G:G,"",monthly!$A:$A,"&gt;="&amp;$A190,monthly!$B:$B,"&lt;="&amp;$B190)&gt;0,"NA",AVERAGEIFS(monthly!G:G,monthly!$A:$A,"&gt;="&amp;$A190,monthly!$B:$B,"&lt;="&amp;$B190))</f>
        <v>85.833333333333329</v>
      </c>
      <c r="P190">
        <f>IF(COUNTIFS(monthly!H:H,"",monthly!$A:$A,"&gt;="&amp;$A190,monthly!$B:$B,"&lt;="&amp;$B190)&gt;0,"NA",AVERAGEIFS(monthly!H:H,monthly!$A:$A,"&gt;="&amp;$A190,monthly!$B:$B,"&lt;="&amp;$B190))</f>
        <v>81.533333333333331</v>
      </c>
      <c r="Q190">
        <f>IF(COUNTIFS(monthly!I:I,"",monthly!$A:$A,"&gt;="&amp;$A190,monthly!$B:$B,"&lt;="&amp;$B190)&gt;0,"NA",AVERAGEIFS(monthly!I:I,monthly!$A:$A,"&gt;="&amp;$A190,monthly!$B:$B,"&lt;="&amp;$B190))</f>
        <v>54.133333333333333</v>
      </c>
      <c r="R190">
        <f>IF(COUNTIFS(monthly!J:J,"",monthly!$A:$A,"&gt;="&amp;$A190,monthly!$B:$B,"&lt;="&amp;$B190)&gt;0,"NA",AVERAGEIFS(monthly!J:J,monthly!$A:$A,"&gt;="&amp;$A190,monthly!$B:$B,"&lt;="&amp;$B190))</f>
        <v>8.2333333333333325</v>
      </c>
      <c r="S190">
        <f>IF(COUNTIFS(monthly!K:K,"",monthly!$A:$A,"&gt;="&amp;$A190,monthly!$B:$B,"&lt;="&amp;$B190)&gt;0,"NA",AVERAGEIFS(monthly!K:K,monthly!$A:$A,"&gt;="&amp;$A190,monthly!$B:$B,"&lt;="&amp;$B190))</f>
        <v>1.5</v>
      </c>
      <c r="T190">
        <f>IF(COUNTIFS(monthly!L:L,"",monthly!$A:$A,"&gt;="&amp;$A190,monthly!$B:$B,"&lt;="&amp;$B190)&gt;0,"NA",AVERAGEIFS(monthly!L:L,monthly!$A:$A,"&gt;="&amp;$A190,monthly!$B:$B,"&lt;="&amp;$B190))</f>
        <v>0.6975307219662058</v>
      </c>
      <c r="U190">
        <f>IF(COUNTIFS(monthly!M:M,"",monthly!$A:$A,"&gt;="&amp;$A190,monthly!$B:$B,"&lt;="&amp;$B190)&gt;0,"NA",AVERAGEIFS(monthly!M:M,monthly!$A:$A,"&gt;="&amp;$A190,monthly!$B:$B,"&lt;="&amp;$B190))</f>
        <v>0.8024692780337942</v>
      </c>
      <c r="V190">
        <f>IF(COUNTIFS(monthly!N:N,"",monthly!$A:$A,"&gt;="&amp;$A190,monthly!$B:$B,"&lt;="&amp;$B190)&gt;0,"NA",AVERAGEIFS(monthly!N:N,monthly!$A:$A,"&gt;="&amp;$A190,monthly!$B:$B,"&lt;="&amp;$B190))</f>
        <v>1.8153333333333335</v>
      </c>
      <c r="W190">
        <f>IF(COUNTIFS(monthly!O:O,"",monthly!$A:$A,"&gt;="&amp;$A190,monthly!$B:$B,"&lt;="&amp;$B190)&gt;0,"NA",AVERAGEIFS(monthly!O:O,monthly!$A:$A,"&gt;="&amp;$A190,monthly!$B:$B,"&lt;="&amp;$B190))</f>
        <v>1.2401987032799389</v>
      </c>
      <c r="X190">
        <f>IF(COUNTIFS(monthly!P:P,"",monthly!$A:$A,"&gt;="&amp;$A190,monthly!$B:$B,"&lt;="&amp;$B190)&gt;0,"NA",AVERAGEIFS(monthly!P:P,monthly!$A:$A,"&gt;="&amp;$A190,monthly!$B:$B,"&lt;="&amp;$B190))</f>
        <v>0.57513463005339449</v>
      </c>
      <c r="Y190">
        <f>IF(COUNTIFS(monthly!Q:Q,"",monthly!$A:$A,"&gt;="&amp;$A190,monthly!$B:$B,"&lt;="&amp;$B190)&gt;0,"NA",AVERAGEIFS(monthly!Q:Q,monthly!$A:$A,"&gt;="&amp;$A190,monthly!$B:$B,"&lt;="&amp;$B190))</f>
        <v>2.7509999999999999</v>
      </c>
      <c r="Z190">
        <f>IF(COUNTIFS(monthly!R:R,"",monthly!$A:$A,"&gt;="&amp;$A190,monthly!$B:$B,"&lt;="&amp;$B190)&gt;0,"NA",AVERAGEIFS(monthly!R:R,monthly!$A:$A,"&gt;="&amp;$A190,monthly!$B:$B,"&lt;="&amp;$B190))</f>
        <v>2.4443954996186115</v>
      </c>
      <c r="AA190">
        <f>IF(COUNTIFS(monthly!S:S,"",monthly!$A:$A,"&gt;="&amp;$A190,monthly!$B:$B,"&lt;="&amp;$B190)&gt;0,"NA",AVERAGEIFS(monthly!S:S,monthly!$A:$A,"&gt;="&amp;$A190,monthly!$B:$B,"&lt;="&amp;$B190))</f>
        <v>0.30660450038138815</v>
      </c>
      <c r="AB190">
        <f>IF(COUNTIFS(monthly!T:T,"",monthly!$A:$A,"&gt;="&amp;$A190,monthly!$B:$B,"&lt;="&amp;$B190)&gt;0,"NA",AVERAGEIFS(monthly!T:T,monthly!$A:$A,"&gt;="&amp;$A190,monthly!$B:$B,"&lt;="&amp;$B190))</f>
        <v>11.678950800915331</v>
      </c>
      <c r="AC190">
        <f>IF(COUNTIFS(monthly!U:U,"",monthly!$A:$A,"&gt;="&amp;$A190,monthly!$B:$B,"&lt;="&amp;$B190)&gt;0,"NA",AVERAGEIFS(monthly!U:U,monthly!$A:$A,"&gt;="&amp;$A190,monthly!$B:$B,"&lt;="&amp;$B190))</f>
        <v>221.58166168904145</v>
      </c>
      <c r="AD190">
        <f>IF(COUNTIFS(monthly!V:V,"",monthly!$A:$A,"&gt;="&amp;$A190,monthly!$B:$B,"&lt;="&amp;$B190)&gt;0,"NA",AVERAGEIFS(monthly!V:V,monthly!$A:$A,"&gt;="&amp;$A190,monthly!$B:$B,"&lt;="&amp;$B190))</f>
        <v>102.51073841020821</v>
      </c>
      <c r="AE190">
        <f>IF(COUNTIFS(monthly!W:W,"",monthly!$A:$A,"&gt;="&amp;$A190,monthly!$B:$B,"&lt;="&amp;$B190)&gt;0,"NA",AVERAGEIFS(monthly!W:W,monthly!$A:$A,"&gt;="&amp;$A190,monthly!$B:$B,"&lt;="&amp;$B190))</f>
        <v>105.34782409667969</v>
      </c>
      <c r="AF190">
        <f>IF(COUNTIFS(monthly!X:X,"",monthly!$A:$A,"&gt;="&amp;$A190,monthly!$B:$B,"&lt;="&amp;$B190)&gt;0,"NA",AVERAGEIFS(monthly!X:X,monthly!$A:$A,"&gt;="&amp;$A190,monthly!$B:$B,"&lt;="&amp;$B190))</f>
        <v>109.92670186360677</v>
      </c>
      <c r="AG190">
        <f>IF(COUNTIFS(monthly!Y:Y,"",monthly!$A:$A,"&gt;="&amp;$A190,monthly!$B:$B,"&lt;="&amp;$B190)&gt;0,"NA",AVERAGEIFS(monthly!Y:Y,monthly!$A:$A,"&gt;="&amp;$A190,monthly!$B:$B,"&lt;="&amp;$B190))</f>
        <v>98.665774027506515</v>
      </c>
      <c r="AH190">
        <f>IF(COUNTIFS(monthly!Z:Z,"",monthly!$A:$A,"&gt;="&amp;$A190,monthly!$B:$B,"&lt;="&amp;$B190)&gt;0,"NA",AVERAGEIFS(monthly!Z:Z,monthly!$A:$A,"&gt;="&amp;$A190,monthly!$B:$B,"&lt;="&amp;$B190))</f>
        <v>0.11376858254273732</v>
      </c>
    </row>
    <row r="191" spans="1:34" x14ac:dyDescent="0.2">
      <c r="A191" s="1">
        <v>42826</v>
      </c>
      <c r="B191" s="1">
        <v>42916</v>
      </c>
      <c r="C191">
        <f>IF(ISBLANK(VLOOKUP($A191,quarterly_data,MATCH(C$1,quarterly!$1:$1,FALSE),FALSE)),"NA",VLOOKUP($A191,quarterly_data,MATCH(C$1,quarterly!$1:$1,FALSE),FALSE))</f>
        <v>139.27522680421112</v>
      </c>
      <c r="D191">
        <f>IF(ISBLANK(VLOOKUP($A191,quarterly_data,MATCH(D$1,quarterly!$1:$1,FALSE),FALSE)),"NA",VLOOKUP($A191,quarterly_data,MATCH(D$1,quarterly!$1:$1,FALSE),FALSE))</f>
        <v>80.5</v>
      </c>
      <c r="E191">
        <f>IF(ISBLANK(VLOOKUP($A191,quarterly_data,MATCH(E$1,quarterly!$1:$1,FALSE),FALSE)),"NA",VLOOKUP($A191,quarterly_data,MATCH(E$1,quarterly!$1:$1,FALSE),FALSE))</f>
        <v>0.40412209999999998</v>
      </c>
      <c r="F191">
        <f>IF(ISBLANK(VLOOKUP($A191,quarterly_data,MATCH(F$1,quarterly!$1:$1,FALSE),FALSE)),"NA",VLOOKUP($A191,quarterly_data,MATCH(F$1,quarterly!$1:$1,FALSE),FALSE))</f>
        <v>0.1198318</v>
      </c>
      <c r="G191">
        <f>IF(ISBLANK(VLOOKUP($A191,quarterly_data,MATCH(G$1,quarterly!$1:$1,FALSE),FALSE)),"NA",VLOOKUP($A191,quarterly_data,MATCH(G$1,quarterly!$1:$1,FALSE),FALSE))</f>
        <v>19506.949000000001</v>
      </c>
      <c r="H191">
        <f>IF(ISBLANK(VLOOKUP($A191,quarterly_data,MATCH(H$1,quarterly!$1:$1,FALSE),FALSE)),"NA",VLOOKUP($A191,quarterly_data,MATCH(H$1,quarterly!$1:$1,FALSE),FALSE))</f>
        <v>576511</v>
      </c>
      <c r="I191">
        <f>IF(ISBLANK(VLOOKUP($A191,quarterly_data,MATCH(I$1,quarterly!$1:$1,FALSE),FALSE)),"NA",VLOOKUP($A191,quarterly_data,MATCH(I$1,quarterly!$1:$1,FALSE),FALSE))</f>
        <v>0.5</v>
      </c>
      <c r="J191">
        <f>IF(ISBLANK(VLOOKUP($A191,quarterly_data,MATCH(J$1,quarterly!$1:$1,FALSE),FALSE)),"NA",VLOOKUP($A191,quarterly_data,MATCH(J$1,quarterly!$1:$1,FALSE),FALSE))</f>
        <v>76.88</v>
      </c>
      <c r="K191">
        <f>IF(COUNTIFS(monthly!C:C,"",monthly!$A:$A,"&gt;="&amp;$A191,monthly!$B:$B,"&lt;="&amp;$B191)&gt;0,"NA",AVERAGEIFS(monthly!C:C,monthly!$A:$A,"&gt;="&amp;$A191,monthly!$B:$B,"&lt;="&amp;$B191))</f>
        <v>64.600000000000009</v>
      </c>
      <c r="L191">
        <f>IF(COUNTIFS(monthly!D:D,"",monthly!$A:$A,"&gt;="&amp;$A191,monthly!$B:$B,"&lt;="&amp;$B191)&gt;0,"NA",AVERAGEIFS(monthly!D:D,monthly!$A:$A,"&gt;="&amp;$A191,monthly!$B:$B,"&lt;="&amp;$B191))</f>
        <v>0.75390000000000013</v>
      </c>
      <c r="M191">
        <f>IF(COUNTIFS(monthly!E:E,"",monthly!$A:$A,"&gt;="&amp;$A191,monthly!$B:$B,"&lt;="&amp;$B191)&gt;0,"NA",AVERAGEIFS(monthly!E:E,monthly!$A:$A,"&gt;="&amp;$A191,monthly!$B:$B,"&lt;="&amp;$B191))</f>
        <v>69.615583959367584</v>
      </c>
      <c r="N191">
        <f>IF(COUNTIFS(monthly!F:F,"",monthly!$A:$A,"&gt;="&amp;$A191,monthly!$B:$B,"&lt;="&amp;$B191)&gt;0,"NA",AVERAGEIFS(monthly!F:F,monthly!$A:$A,"&gt;="&amp;$A191,monthly!$B:$B,"&lt;="&amp;$B191))</f>
        <v>69.786016708830473</v>
      </c>
      <c r="O191">
        <f>IF(COUNTIFS(monthly!G:G,"",monthly!$A:$A,"&gt;="&amp;$A191,monthly!$B:$B,"&lt;="&amp;$B191)&gt;0,"NA",AVERAGEIFS(monthly!G:G,monthly!$A:$A,"&gt;="&amp;$A191,monthly!$B:$B,"&lt;="&amp;$B191))</f>
        <v>63.366666666666667</v>
      </c>
      <c r="P191">
        <f>IF(COUNTIFS(monthly!H:H,"",monthly!$A:$A,"&gt;="&amp;$A191,monthly!$B:$B,"&lt;="&amp;$B191)&gt;0,"NA",AVERAGEIFS(monthly!H:H,monthly!$A:$A,"&gt;="&amp;$A191,monthly!$B:$B,"&lt;="&amp;$B191))</f>
        <v>79.733333333333334</v>
      </c>
      <c r="Q191">
        <f>IF(COUNTIFS(monthly!I:I,"",monthly!$A:$A,"&gt;="&amp;$A191,monthly!$B:$B,"&lt;="&amp;$B191)&gt;0,"NA",AVERAGEIFS(monthly!I:I,monthly!$A:$A,"&gt;="&amp;$A191,monthly!$B:$B,"&lt;="&amp;$B191))</f>
        <v>50.266666666666673</v>
      </c>
      <c r="R191">
        <f>IF(COUNTIFS(monthly!J:J,"",monthly!$A:$A,"&gt;="&amp;$A191,monthly!$B:$B,"&lt;="&amp;$B191)&gt;0,"NA",AVERAGEIFS(monthly!J:J,monthly!$A:$A,"&gt;="&amp;$A191,monthly!$B:$B,"&lt;="&amp;$B191))</f>
        <v>8.913333333333334</v>
      </c>
      <c r="S191">
        <f>IF(COUNTIFS(monthly!K:K,"",monthly!$A:$A,"&gt;="&amp;$A191,monthly!$B:$B,"&lt;="&amp;$B191)&gt;0,"NA",AVERAGEIFS(monthly!K:K,monthly!$A:$A,"&gt;="&amp;$A191,monthly!$B:$B,"&lt;="&amp;$B191))</f>
        <v>1.5</v>
      </c>
      <c r="T191">
        <f>IF(COUNTIFS(monthly!L:L,"",monthly!$A:$A,"&gt;="&amp;$A191,monthly!$B:$B,"&lt;="&amp;$B191)&gt;0,"NA",AVERAGEIFS(monthly!L:L,monthly!$A:$A,"&gt;="&amp;$A191,monthly!$B:$B,"&lt;="&amp;$B191))</f>
        <v>0.94780645161290311</v>
      </c>
      <c r="U191">
        <f>IF(COUNTIFS(monthly!M:M,"",monthly!$A:$A,"&gt;="&amp;$A191,monthly!$B:$B,"&lt;="&amp;$B191)&gt;0,"NA",AVERAGEIFS(monthly!M:M,monthly!$A:$A,"&gt;="&amp;$A191,monthly!$B:$B,"&lt;="&amp;$B191))</f>
        <v>0.55219354838709689</v>
      </c>
      <c r="V191">
        <f>IF(COUNTIFS(monthly!N:N,"",monthly!$A:$A,"&gt;="&amp;$A191,monthly!$B:$B,"&lt;="&amp;$B191)&gt;0,"NA",AVERAGEIFS(monthly!N:N,monthly!$A:$A,"&gt;="&amp;$A191,monthly!$B:$B,"&lt;="&amp;$B191))</f>
        <v>1.6609999999999998</v>
      </c>
      <c r="W191">
        <f>IF(COUNTIFS(monthly!O:O,"",monthly!$A:$A,"&gt;="&amp;$A191,monthly!$B:$B,"&lt;="&amp;$B191)&gt;0,"NA",AVERAGEIFS(monthly!O:O,monthly!$A:$A,"&gt;="&amp;$A191,monthly!$B:$B,"&lt;="&amp;$B191))</f>
        <v>1.2950478468899522</v>
      </c>
      <c r="X191">
        <f>IF(COUNTIFS(monthly!P:P,"",monthly!$A:$A,"&gt;="&amp;$A191,monthly!$B:$B,"&lt;="&amp;$B191)&gt;0,"NA",AVERAGEIFS(monthly!P:P,monthly!$A:$A,"&gt;="&amp;$A191,monthly!$B:$B,"&lt;="&amp;$B191))</f>
        <v>0.36595215311004781</v>
      </c>
      <c r="Y191">
        <f>IF(COUNTIFS(monthly!Q:Q,"",monthly!$A:$A,"&gt;="&amp;$A191,monthly!$B:$B,"&lt;="&amp;$B191)&gt;0,"NA",AVERAGEIFS(monthly!Q:Q,monthly!$A:$A,"&gt;="&amp;$A191,monthly!$B:$B,"&lt;="&amp;$B191))</f>
        <v>2.5086666666666666</v>
      </c>
      <c r="Z191">
        <f>IF(COUNTIFS(monthly!R:R,"",monthly!$A:$A,"&gt;="&amp;$A191,monthly!$B:$B,"&lt;="&amp;$B191)&gt;0,"NA",AVERAGEIFS(monthly!R:R,monthly!$A:$A,"&gt;="&amp;$A191,monthly!$B:$B,"&lt;="&amp;$B191))</f>
        <v>2.2626076555023924</v>
      </c>
      <c r="AA191">
        <f>IF(COUNTIFS(monthly!S:S,"",monthly!$A:$A,"&gt;="&amp;$A191,monthly!$B:$B,"&lt;="&amp;$B191)&gt;0,"NA",AVERAGEIFS(monthly!S:S,monthly!$A:$A,"&gt;="&amp;$A191,monthly!$B:$B,"&lt;="&amp;$B191))</f>
        <v>0.2460590111642742</v>
      </c>
      <c r="AB191">
        <f>IF(COUNTIFS(monthly!T:T,"",monthly!$A:$A,"&gt;="&amp;$A191,monthly!$B:$B,"&lt;="&amp;$B191)&gt;0,"NA",AVERAGEIFS(monthly!T:T,monthly!$A:$A,"&gt;="&amp;$A191,monthly!$B:$B,"&lt;="&amp;$B191))</f>
        <v>11.504074960127591</v>
      </c>
      <c r="AC191">
        <f>IF(COUNTIFS(monthly!U:U,"",monthly!$A:$A,"&gt;="&amp;$A191,monthly!$B:$B,"&lt;="&amp;$B191)&gt;0,"NA",AVERAGEIFS(monthly!U:U,monthly!$A:$A,"&gt;="&amp;$A191,monthly!$B:$B,"&lt;="&amp;$B191))</f>
        <v>162.09726397956396</v>
      </c>
      <c r="AD191">
        <f>IF(COUNTIFS(monthly!V:V,"",monthly!$A:$A,"&gt;="&amp;$A191,monthly!$B:$B,"&lt;="&amp;$B191)&gt;0,"NA",AVERAGEIFS(monthly!V:V,monthly!$A:$A,"&gt;="&amp;$A191,monthly!$B:$B,"&lt;="&amp;$B191))</f>
        <v>73.490320144686095</v>
      </c>
      <c r="AE191">
        <f>IF(COUNTIFS(monthly!W:W,"",monthly!$A:$A,"&gt;="&amp;$A191,monthly!$B:$B,"&lt;="&amp;$B191)&gt;0,"NA",AVERAGEIFS(monthly!W:W,monthly!$A:$A,"&gt;="&amp;$A191,monthly!$B:$B,"&lt;="&amp;$B191))</f>
        <v>116.27630106608073</v>
      </c>
      <c r="AF191">
        <f>IF(COUNTIFS(monthly!X:X,"",monthly!$A:$A,"&gt;="&amp;$A191,monthly!$B:$B,"&lt;="&amp;$B191)&gt;0,"NA",AVERAGEIFS(monthly!X:X,monthly!$A:$A,"&gt;="&amp;$A191,monthly!$B:$B,"&lt;="&amp;$B191))</f>
        <v>114.32320658365886</v>
      </c>
      <c r="AG191">
        <f>IF(COUNTIFS(monthly!Y:Y,"",monthly!$A:$A,"&gt;="&amp;$A191,monthly!$B:$B,"&lt;="&amp;$B191)&gt;0,"NA",AVERAGEIFS(monthly!Y:Y,monthly!$A:$A,"&gt;="&amp;$A191,monthly!$B:$B,"&lt;="&amp;$B191))</f>
        <v>118.14843495686848</v>
      </c>
      <c r="AH191">
        <f>IF(COUNTIFS(monthly!Z:Z,"",monthly!$A:$A,"&gt;="&amp;$A191,monthly!$B:$B,"&lt;="&amp;$B191)&gt;0,"NA",AVERAGEIFS(monthly!Z:Z,monthly!$A:$A,"&gt;="&amp;$A191,monthly!$B:$B,"&lt;="&amp;$B191))</f>
        <v>0.1549567331870397</v>
      </c>
    </row>
    <row r="192" spans="1:34" x14ac:dyDescent="0.2">
      <c r="A192" s="1">
        <v>42917</v>
      </c>
      <c r="B192" s="1">
        <v>43008</v>
      </c>
      <c r="C192">
        <f>IF(ISBLANK(VLOOKUP($A192,quarterly_data,MATCH(C$1,quarterly!$1:$1,FALSE),FALSE)),"NA",VLOOKUP($A192,quarterly_data,MATCH(C$1,quarterly!$1:$1,FALSE),FALSE))</f>
        <v>143.50501692902276</v>
      </c>
      <c r="D192">
        <f>IF(ISBLANK(VLOOKUP($A192,quarterly_data,MATCH(D$1,quarterly!$1:$1,FALSE),FALSE)),"NA",VLOOKUP($A192,quarterly_data,MATCH(D$1,quarterly!$1:$1,FALSE),FALSE))</f>
        <v>80.7</v>
      </c>
      <c r="E192">
        <f>IF(ISBLANK(VLOOKUP($A192,quarterly_data,MATCH(E$1,quarterly!$1:$1,FALSE),FALSE)),"NA",VLOOKUP($A192,quarterly_data,MATCH(E$1,quarterly!$1:$1,FALSE),FALSE))</f>
        <v>0.33098880000000003</v>
      </c>
      <c r="F192">
        <f>IF(ISBLANK(VLOOKUP($A192,quarterly_data,MATCH(F$1,quarterly!$1:$1,FALSE),FALSE)),"NA",VLOOKUP($A192,quarterly_data,MATCH(F$1,quarterly!$1:$1,FALSE),FALSE))</f>
        <v>0.117246</v>
      </c>
      <c r="G192">
        <f>IF(ISBLANK(VLOOKUP($A192,quarterly_data,MATCH(G$1,quarterly!$1:$1,FALSE),FALSE)),"NA",VLOOKUP($A192,quarterly_data,MATCH(G$1,quarterly!$1:$1,FALSE),FALSE))</f>
        <v>19660.766</v>
      </c>
      <c r="H192">
        <f>IF(ISBLANK(VLOOKUP($A192,quarterly_data,MATCH(H$1,quarterly!$1:$1,FALSE),FALSE)),"NA",VLOOKUP($A192,quarterly_data,MATCH(H$1,quarterly!$1:$1,FALSE),FALSE))</f>
        <v>582038</v>
      </c>
      <c r="I192">
        <f>IF(ISBLANK(VLOOKUP($A192,quarterly_data,MATCH(I$1,quarterly!$1:$1,FALSE),FALSE)),"NA",VLOOKUP($A192,quarterly_data,MATCH(I$1,quarterly!$1:$1,FALSE),FALSE))</f>
        <v>0.4</v>
      </c>
      <c r="J192">
        <f>IF(ISBLANK(VLOOKUP($A192,quarterly_data,MATCH(J$1,quarterly!$1:$1,FALSE),FALSE)),"NA",VLOOKUP($A192,quarterly_data,MATCH(J$1,quarterly!$1:$1,FALSE),FALSE))</f>
        <v>77.349999999999994</v>
      </c>
      <c r="K192">
        <f>IF(COUNTIFS(monthly!C:C,"",monthly!$A:$A,"&gt;="&amp;$A192,monthly!$B:$B,"&lt;="&amp;$B192)&gt;0,"NA",AVERAGEIFS(monthly!C:C,monthly!$A:$A,"&gt;="&amp;$A192,monthly!$B:$B,"&lt;="&amp;$B192))</f>
        <v>66.600000000000009</v>
      </c>
      <c r="L192">
        <f>IF(COUNTIFS(monthly!D:D,"",monthly!$A:$A,"&gt;="&amp;$A192,monthly!$B:$B,"&lt;="&amp;$B192)&gt;0,"NA",AVERAGEIFS(monthly!D:D,monthly!$A:$A,"&gt;="&amp;$A192,monthly!$B:$B,"&lt;="&amp;$B192))</f>
        <v>0.79079999999999995</v>
      </c>
      <c r="M192">
        <f>IF(COUNTIFS(monthly!E:E,"",monthly!$A:$A,"&gt;="&amp;$A192,monthly!$B:$B,"&lt;="&amp;$B192)&gt;0,"NA",AVERAGEIFS(monthly!E:E,monthly!$A:$A,"&gt;="&amp;$A192,monthly!$B:$B,"&lt;="&amp;$B192))</f>
        <v>69.401657083150454</v>
      </c>
      <c r="N192">
        <f>IF(COUNTIFS(monthly!F:F,"",monthly!$A:$A,"&gt;="&amp;$A192,monthly!$B:$B,"&lt;="&amp;$B192)&gt;0,"NA",AVERAGEIFS(monthly!F:F,monthly!$A:$A,"&gt;="&amp;$A192,monthly!$B:$B,"&lt;="&amp;$B192))</f>
        <v>71.678853285180864</v>
      </c>
      <c r="O192">
        <f>IF(COUNTIFS(monthly!G:G,"",monthly!$A:$A,"&gt;="&amp;$A192,monthly!$B:$B,"&lt;="&amp;$B192)&gt;0,"NA",AVERAGEIFS(monthly!G:G,monthly!$A:$A,"&gt;="&amp;$A192,monthly!$B:$B,"&lt;="&amp;$B192))</f>
        <v>71.766666666666666</v>
      </c>
      <c r="P192">
        <f>IF(COUNTIFS(monthly!H:H,"",monthly!$A:$A,"&gt;="&amp;$A192,monthly!$B:$B,"&lt;="&amp;$B192)&gt;0,"NA",AVERAGEIFS(monthly!H:H,monthly!$A:$A,"&gt;="&amp;$A192,monthly!$B:$B,"&lt;="&amp;$B192))</f>
        <v>94.633333333333326</v>
      </c>
      <c r="Q192">
        <f>IF(COUNTIFS(monthly!I:I,"",monthly!$A:$A,"&gt;="&amp;$A192,monthly!$B:$B,"&lt;="&amp;$B192)&gt;0,"NA",AVERAGEIFS(monthly!I:I,monthly!$A:$A,"&gt;="&amp;$A192,monthly!$B:$B,"&lt;="&amp;$B192))</f>
        <v>51.766666666666673</v>
      </c>
      <c r="R192">
        <f>IF(COUNTIFS(monthly!J:J,"",monthly!$A:$A,"&gt;="&amp;$A192,monthly!$B:$B,"&lt;="&amp;$B192)&gt;0,"NA",AVERAGEIFS(monthly!J:J,monthly!$A:$A,"&gt;="&amp;$A192,monthly!$B:$B,"&lt;="&amp;$B192))</f>
        <v>8.8066666666666666</v>
      </c>
      <c r="S192">
        <f>IF(COUNTIFS(monthly!K:K,"",monthly!$A:$A,"&gt;="&amp;$A192,monthly!$B:$B,"&lt;="&amp;$B192)&gt;0,"NA",AVERAGEIFS(monthly!K:K,monthly!$A:$A,"&gt;="&amp;$A192,monthly!$B:$B,"&lt;="&amp;$B192))</f>
        <v>1.5</v>
      </c>
      <c r="T192">
        <f>IF(COUNTIFS(monthly!L:L,"",monthly!$A:$A,"&gt;="&amp;$A192,monthly!$B:$B,"&lt;="&amp;$B192)&gt;0,"NA",AVERAGEIFS(monthly!L:L,monthly!$A:$A,"&gt;="&amp;$A192,monthly!$B:$B,"&lt;="&amp;$B192))</f>
        <v>1.1536917562724012</v>
      </c>
      <c r="U192">
        <f>IF(COUNTIFS(monthly!M:M,"",monthly!$A:$A,"&gt;="&amp;$A192,monthly!$B:$B,"&lt;="&amp;$B192)&gt;0,"NA",AVERAGEIFS(monthly!M:M,monthly!$A:$A,"&gt;="&amp;$A192,monthly!$B:$B,"&lt;="&amp;$B192))</f>
        <v>0.34630824372759877</v>
      </c>
      <c r="V192">
        <f>IF(COUNTIFS(monthly!N:N,"",monthly!$A:$A,"&gt;="&amp;$A192,monthly!$B:$B,"&lt;="&amp;$B192)&gt;0,"NA",AVERAGEIFS(monthly!N:N,monthly!$A:$A,"&gt;="&amp;$A192,monthly!$B:$B,"&lt;="&amp;$B192))</f>
        <v>1.8166666666666667</v>
      </c>
      <c r="W192">
        <f>IF(COUNTIFS(monthly!O:O,"",monthly!$A:$A,"&gt;="&amp;$A192,monthly!$B:$B,"&lt;="&amp;$B192)&gt;0,"NA",AVERAGEIFS(monthly!O:O,monthly!$A:$A,"&gt;="&amp;$A192,monthly!$B:$B,"&lt;="&amp;$B192))</f>
        <v>1.3640724637681156</v>
      </c>
      <c r="X192">
        <f>IF(COUNTIFS(monthly!P:P,"",monthly!$A:$A,"&gt;="&amp;$A192,monthly!$B:$B,"&lt;="&amp;$B192)&gt;0,"NA",AVERAGEIFS(monthly!P:P,monthly!$A:$A,"&gt;="&amp;$A192,monthly!$B:$B,"&lt;="&amp;$B192))</f>
        <v>0.45259420289855096</v>
      </c>
      <c r="Y192">
        <f>IF(COUNTIFS(monthly!Q:Q,"",monthly!$A:$A,"&gt;="&amp;$A192,monthly!$B:$B,"&lt;="&amp;$B192)&gt;0,"NA",AVERAGEIFS(monthly!Q:Q,monthly!$A:$A,"&gt;="&amp;$A192,monthly!$B:$B,"&lt;="&amp;$B192))</f>
        <v>2.6666666666666665</v>
      </c>
      <c r="Z192">
        <f>IF(COUNTIFS(monthly!R:R,"",monthly!$A:$A,"&gt;="&amp;$A192,monthly!$B:$B,"&lt;="&amp;$B192)&gt;0,"NA",AVERAGEIFS(monthly!R:R,monthly!$A:$A,"&gt;="&amp;$A192,monthly!$B:$B,"&lt;="&amp;$B192))</f>
        <v>2.2430434782608697</v>
      </c>
      <c r="AA192">
        <f>IF(COUNTIFS(monthly!S:S,"",monthly!$A:$A,"&gt;="&amp;$A192,monthly!$B:$B,"&lt;="&amp;$B192)&gt;0,"NA",AVERAGEIFS(monthly!S:S,monthly!$A:$A,"&gt;="&amp;$A192,monthly!$B:$B,"&lt;="&amp;$B192))</f>
        <v>0.42362318840579699</v>
      </c>
      <c r="AB192">
        <f>IF(COUNTIFS(monthly!T:T,"",monthly!$A:$A,"&gt;="&amp;$A192,monthly!$B:$B,"&lt;="&amp;$B192)&gt;0,"NA",AVERAGEIFS(monthly!T:T,monthly!$A:$A,"&gt;="&amp;$A192,monthly!$B:$B,"&lt;="&amp;$B192))</f>
        <v>10.892717391304345</v>
      </c>
      <c r="AC192">
        <f>IF(COUNTIFS(monthly!U:U,"",monthly!$A:$A,"&gt;="&amp;$A192,monthly!$B:$B,"&lt;="&amp;$B192)&gt;0,"NA",AVERAGEIFS(monthly!U:U,monthly!$A:$A,"&gt;="&amp;$A192,monthly!$B:$B,"&lt;="&amp;$B192))</f>
        <v>152.60127662724344</v>
      </c>
      <c r="AD192">
        <f>IF(COUNTIFS(monthly!V:V,"",monthly!$A:$A,"&gt;="&amp;$A192,monthly!$B:$B,"&lt;="&amp;$B192)&gt;0,"NA",AVERAGEIFS(monthly!V:V,monthly!$A:$A,"&gt;="&amp;$A192,monthly!$B:$B,"&lt;="&amp;$B192))</f>
        <v>70.265458611848615</v>
      </c>
      <c r="AE192">
        <f>IF(COUNTIFS(monthly!W:W,"",monthly!$A:$A,"&gt;="&amp;$A192,monthly!$B:$B,"&lt;="&amp;$B192)&gt;0,"NA",AVERAGEIFS(monthly!W:W,monthly!$A:$A,"&gt;="&amp;$A192,monthly!$B:$B,"&lt;="&amp;$B192))</f>
        <v>118.95984141031902</v>
      </c>
      <c r="AF192">
        <f>IF(COUNTIFS(monthly!X:X,"",monthly!$A:$A,"&gt;="&amp;$A192,monthly!$B:$B,"&lt;="&amp;$B192)&gt;0,"NA",AVERAGEIFS(monthly!X:X,monthly!$A:$A,"&gt;="&amp;$A192,monthly!$B:$B,"&lt;="&amp;$B192))</f>
        <v>142.58906809488931</v>
      </c>
      <c r="AG192">
        <f>IF(COUNTIFS(monthly!Y:Y,"",monthly!$A:$A,"&gt;="&amp;$A192,monthly!$B:$B,"&lt;="&amp;$B192)&gt;0,"NA",AVERAGEIFS(monthly!Y:Y,monthly!$A:$A,"&gt;="&amp;$A192,monthly!$B:$B,"&lt;="&amp;$B192))</f>
        <v>88.162424723307296</v>
      </c>
      <c r="AH192">
        <f>IF(COUNTIFS(monthly!Z:Z,"",monthly!$A:$A,"&gt;="&amp;$A192,monthly!$B:$B,"&lt;="&amp;$B192)&gt;0,"NA",AVERAGEIFS(monthly!Z:Z,monthly!$A:$A,"&gt;="&amp;$A192,monthly!$B:$B,"&lt;="&amp;$B192))</f>
        <v>0.12430194516976674</v>
      </c>
    </row>
    <row r="193" spans="1:34" x14ac:dyDescent="0.2">
      <c r="A193" s="1">
        <v>43009</v>
      </c>
      <c r="B193" s="1">
        <v>43100</v>
      </c>
      <c r="C193">
        <f>IF(ISBLANK(VLOOKUP($A193,quarterly_data,MATCH(C$1,quarterly!$1:$1,FALSE),FALSE)),"NA",VLOOKUP($A193,quarterly_data,MATCH(C$1,quarterly!$1:$1,FALSE),FALSE))</f>
        <v>139.53774432369889</v>
      </c>
      <c r="D193">
        <f>IF(ISBLANK(VLOOKUP($A193,quarterly_data,MATCH(D$1,quarterly!$1:$1,FALSE),FALSE)),"NA",VLOOKUP($A193,quarterly_data,MATCH(D$1,quarterly!$1:$1,FALSE),FALSE))</f>
        <v>80.5</v>
      </c>
      <c r="E193">
        <f>IF(ISBLANK(VLOOKUP($A193,quarterly_data,MATCH(E$1,quarterly!$1:$1,FALSE),FALSE)),"NA",VLOOKUP($A193,quarterly_data,MATCH(E$1,quarterly!$1:$1,FALSE),FALSE))</f>
        <v>0.1754078</v>
      </c>
      <c r="F193">
        <f>IF(ISBLANK(VLOOKUP($A193,quarterly_data,MATCH(F$1,quarterly!$1:$1,FALSE),FALSE)),"NA",VLOOKUP($A193,quarterly_data,MATCH(F$1,quarterly!$1:$1,FALSE),FALSE))</f>
        <v>8.1651199999999993E-2</v>
      </c>
      <c r="G193">
        <f>IF(ISBLANK(VLOOKUP($A193,quarterly_data,MATCH(G$1,quarterly!$1:$1,FALSE),FALSE)),"NA",VLOOKUP($A193,quarterly_data,MATCH(G$1,quarterly!$1:$1,FALSE),FALSE))</f>
        <v>19882.351999999999</v>
      </c>
      <c r="H193">
        <f>IF(ISBLANK(VLOOKUP($A193,quarterly_data,MATCH(H$1,quarterly!$1:$1,FALSE),FALSE)),"NA",VLOOKUP($A193,quarterly_data,MATCH(H$1,quarterly!$1:$1,FALSE),FALSE))</f>
        <v>584318</v>
      </c>
      <c r="I193">
        <f>IF(ISBLANK(VLOOKUP($A193,quarterly_data,MATCH(I$1,quarterly!$1:$1,FALSE),FALSE)),"NA",VLOOKUP($A193,quarterly_data,MATCH(I$1,quarterly!$1:$1,FALSE),FALSE))</f>
        <v>0.4</v>
      </c>
      <c r="J193">
        <f>IF(ISBLANK(VLOOKUP($A193,quarterly_data,MATCH(J$1,quarterly!$1:$1,FALSE),FALSE)),"NA",VLOOKUP($A193,quarterly_data,MATCH(J$1,quarterly!$1:$1,FALSE),FALSE))</f>
        <v>77.87</v>
      </c>
      <c r="K193">
        <f>IF(COUNTIFS(monthly!C:C,"",monthly!$A:$A,"&gt;="&amp;$A193,monthly!$B:$B,"&lt;="&amp;$B193)&gt;0,"NA",AVERAGEIFS(monthly!C:C,monthly!$A:$A,"&gt;="&amp;$A193,monthly!$B:$B,"&lt;="&amp;$B193))</f>
        <v>64.466666666666669</v>
      </c>
      <c r="L193">
        <f>IF(COUNTIFS(monthly!D:D,"",monthly!$A:$A,"&gt;="&amp;$A193,monthly!$B:$B,"&lt;="&amp;$B193)&gt;0,"NA",AVERAGEIFS(monthly!D:D,monthly!$A:$A,"&gt;="&amp;$A193,monthly!$B:$B,"&lt;="&amp;$B193))</f>
        <v>0.76859999999999984</v>
      </c>
      <c r="M193">
        <f>IF(COUNTIFS(monthly!E:E,"",monthly!$A:$A,"&gt;="&amp;$A193,monthly!$B:$B,"&lt;="&amp;$B193)&gt;0,"NA",AVERAGEIFS(monthly!E:E,monthly!$A:$A,"&gt;="&amp;$A193,monthly!$B:$B,"&lt;="&amp;$B193))</f>
        <v>69.5495539542909</v>
      </c>
      <c r="N193">
        <f>IF(COUNTIFS(monthly!F:F,"",monthly!$A:$A,"&gt;="&amp;$A193,monthly!$B:$B,"&lt;="&amp;$B193)&gt;0,"NA",AVERAGEIFS(monthly!F:F,monthly!$A:$A,"&gt;="&amp;$A193,monthly!$B:$B,"&lt;="&amp;$B193))</f>
        <v>71.814445547105436</v>
      </c>
      <c r="O193">
        <f>IF(COUNTIFS(monthly!G:G,"",monthly!$A:$A,"&gt;="&amp;$A193,monthly!$B:$B,"&lt;="&amp;$B193)&gt;0,"NA",AVERAGEIFS(monthly!G:G,monthly!$A:$A,"&gt;="&amp;$A193,monthly!$B:$B,"&lt;="&amp;$B193))</f>
        <v>66.066666666666663</v>
      </c>
      <c r="P193">
        <f>IF(COUNTIFS(monthly!H:H,"",monthly!$A:$A,"&gt;="&amp;$A193,monthly!$B:$B,"&lt;="&amp;$B193)&gt;0,"NA",AVERAGEIFS(monthly!H:H,monthly!$A:$A,"&gt;="&amp;$A193,monthly!$B:$B,"&lt;="&amp;$B193))</f>
        <v>98.166666666666671</v>
      </c>
      <c r="Q193">
        <f>IF(COUNTIFS(monthly!I:I,"",monthly!$A:$A,"&gt;="&amp;$A193,monthly!$B:$B,"&lt;="&amp;$B193)&gt;0,"NA",AVERAGEIFS(monthly!I:I,monthly!$A:$A,"&gt;="&amp;$A193,monthly!$B:$B,"&lt;="&amp;$B193))</f>
        <v>61.466666666666669</v>
      </c>
      <c r="R193">
        <f>IF(COUNTIFS(monthly!J:J,"",monthly!$A:$A,"&gt;="&amp;$A193,monthly!$B:$B,"&lt;="&amp;$B193)&gt;0,"NA",AVERAGEIFS(monthly!J:J,monthly!$A:$A,"&gt;="&amp;$A193,monthly!$B:$B,"&lt;="&amp;$B193))</f>
        <v>8.4699999999999989</v>
      </c>
      <c r="S193">
        <f>IF(COUNTIFS(monthly!K:K,"",monthly!$A:$A,"&gt;="&amp;$A193,monthly!$B:$B,"&lt;="&amp;$B193)&gt;0,"NA",AVERAGEIFS(monthly!K:K,monthly!$A:$A,"&gt;="&amp;$A193,monthly!$B:$B,"&lt;="&amp;$B193))</f>
        <v>1.5</v>
      </c>
      <c r="T193">
        <f>IF(COUNTIFS(monthly!L:L,"",monthly!$A:$A,"&gt;="&amp;$A193,monthly!$B:$B,"&lt;="&amp;$B193)&gt;0,"NA",AVERAGEIFS(monthly!L:L,monthly!$A:$A,"&gt;="&amp;$A193,monthly!$B:$B,"&lt;="&amp;$B193))</f>
        <v>1.2041612903225805</v>
      </c>
      <c r="U193">
        <f>IF(COUNTIFS(monthly!M:M,"",monthly!$A:$A,"&gt;="&amp;$A193,monthly!$B:$B,"&lt;="&amp;$B193)&gt;0,"NA",AVERAGEIFS(monthly!M:M,monthly!$A:$A,"&gt;="&amp;$A193,monthly!$B:$B,"&lt;="&amp;$B193))</f>
        <v>0.29583870967741932</v>
      </c>
      <c r="V193">
        <f>IF(COUNTIFS(monthly!N:N,"",monthly!$A:$A,"&gt;="&amp;$A193,monthly!$B:$B,"&lt;="&amp;$B193)&gt;0,"NA",AVERAGEIFS(monthly!N:N,monthly!$A:$A,"&gt;="&amp;$A193,monthly!$B:$B,"&lt;="&amp;$B193))</f>
        <v>1.8636666666666668</v>
      </c>
      <c r="W193">
        <f>IF(COUNTIFS(monthly!O:O,"",monthly!$A:$A,"&gt;="&amp;$A193,monthly!$B:$B,"&lt;="&amp;$B193)&gt;0,"NA",AVERAGEIFS(monthly!O:O,monthly!$A:$A,"&gt;="&amp;$A193,monthly!$B:$B,"&lt;="&amp;$B193))</f>
        <v>1.6967301587301586</v>
      </c>
      <c r="X193">
        <f>IF(COUNTIFS(monthly!P:P,"",monthly!$A:$A,"&gt;="&amp;$A193,monthly!$B:$B,"&lt;="&amp;$B193)&gt;0,"NA",AVERAGEIFS(monthly!P:P,monthly!$A:$A,"&gt;="&amp;$A193,monthly!$B:$B,"&lt;="&amp;$B193))</f>
        <v>0.16693650793650794</v>
      </c>
      <c r="Y193">
        <f>IF(COUNTIFS(monthly!Q:Q,"",monthly!$A:$A,"&gt;="&amp;$A193,monthly!$B:$B,"&lt;="&amp;$B193)&gt;0,"NA",AVERAGEIFS(monthly!Q:Q,monthly!$A:$A,"&gt;="&amp;$A193,monthly!$B:$B,"&lt;="&amp;$B193))</f>
        <v>2.6386666666666669</v>
      </c>
      <c r="Z193">
        <f>IF(COUNTIFS(monthly!R:R,"",monthly!$A:$A,"&gt;="&amp;$A193,monthly!$B:$B,"&lt;="&amp;$B193)&gt;0,"NA",AVERAGEIFS(monthly!R:R,monthly!$A:$A,"&gt;="&amp;$A193,monthly!$B:$B,"&lt;="&amp;$B193))</f>
        <v>2.3719444444444444</v>
      </c>
      <c r="AA193">
        <f>IF(COUNTIFS(monthly!S:S,"",monthly!$A:$A,"&gt;="&amp;$A193,monthly!$B:$B,"&lt;="&amp;$B193)&gt;0,"NA",AVERAGEIFS(monthly!S:S,monthly!$A:$A,"&gt;="&amp;$A193,monthly!$B:$B,"&lt;="&amp;$B193))</f>
        <v>0.26672222222222225</v>
      </c>
      <c r="AB193">
        <f>IF(COUNTIFS(monthly!T:T,"",monthly!$A:$A,"&gt;="&amp;$A193,monthly!$B:$B,"&lt;="&amp;$B193)&gt;0,"NA",AVERAGEIFS(monthly!T:T,monthly!$A:$A,"&gt;="&amp;$A193,monthly!$B:$B,"&lt;="&amp;$B193))</f>
        <v>10.310143578643578</v>
      </c>
      <c r="AC193">
        <f>IF(COUNTIFS(monthly!U:U,"",monthly!$A:$A,"&gt;="&amp;$A193,monthly!$B:$B,"&lt;="&amp;$B193)&gt;0,"NA",AVERAGEIFS(monthly!U:U,monthly!$A:$A,"&gt;="&amp;$A193,monthly!$B:$B,"&lt;="&amp;$B193))</f>
        <v>149.35020813572768</v>
      </c>
      <c r="AD193">
        <f>IF(COUNTIFS(monthly!V:V,"",monthly!$A:$A,"&gt;="&amp;$A193,monthly!$B:$B,"&lt;="&amp;$B193)&gt;0,"NA",AVERAGEIFS(monthly!V:V,monthly!$A:$A,"&gt;="&amp;$A193,monthly!$B:$B,"&lt;="&amp;$B193))</f>
        <v>84.396489473697429</v>
      </c>
      <c r="AE193">
        <f>IF(COUNTIFS(monthly!W:W,"",monthly!$A:$A,"&gt;="&amp;$A193,monthly!$B:$B,"&lt;="&amp;$B193)&gt;0,"NA",AVERAGEIFS(monthly!W:W,monthly!$A:$A,"&gt;="&amp;$A193,monthly!$B:$B,"&lt;="&amp;$B193))</f>
        <v>88.925280253092453</v>
      </c>
      <c r="AF193">
        <f>IF(COUNTIFS(monthly!X:X,"",monthly!$A:$A,"&gt;="&amp;$A193,monthly!$B:$B,"&lt;="&amp;$B193)&gt;0,"NA",AVERAGEIFS(monthly!X:X,monthly!$A:$A,"&gt;="&amp;$A193,monthly!$B:$B,"&lt;="&amp;$B193))</f>
        <v>103.02767690022786</v>
      </c>
      <c r="AG193">
        <f>IF(COUNTIFS(monthly!Y:Y,"",monthly!$A:$A,"&gt;="&amp;$A193,monthly!$B:$B,"&lt;="&amp;$B193)&gt;0,"NA",AVERAGEIFS(monthly!Y:Y,monthly!$A:$A,"&gt;="&amp;$A193,monthly!$B:$B,"&lt;="&amp;$B193))</f>
        <v>70.643450419108078</v>
      </c>
      <c r="AH193">
        <f>IF(COUNTIFS(monthly!Z:Z,"",monthly!$A:$A,"&gt;="&amp;$A193,monthly!$B:$B,"&lt;="&amp;$B193)&gt;0,"NA",AVERAGEIFS(monthly!Z:Z,monthly!$A:$A,"&gt;="&amp;$A193,monthly!$B:$B,"&lt;="&amp;$B193))</f>
        <v>7.4948945393164948E-2</v>
      </c>
    </row>
    <row r="194" spans="1:34" x14ac:dyDescent="0.2">
      <c r="A194" s="1">
        <v>43101</v>
      </c>
      <c r="B194" s="1">
        <v>43190</v>
      </c>
      <c r="C194">
        <f>IF(ISBLANK(VLOOKUP($A194,quarterly_data,MATCH(C$1,quarterly!$1:$1,FALSE),FALSE)),"NA",VLOOKUP($A194,quarterly_data,MATCH(C$1,quarterly!$1:$1,FALSE),FALSE))</f>
        <v>138.41548366331952</v>
      </c>
      <c r="D194">
        <f>IF(ISBLANK(VLOOKUP($A194,quarterly_data,MATCH(D$1,quarterly!$1:$1,FALSE),FALSE)),"NA",VLOOKUP($A194,quarterly_data,MATCH(D$1,quarterly!$1:$1,FALSE),FALSE))</f>
        <v>81.7</v>
      </c>
      <c r="E194">
        <f>IF(ISBLANK(VLOOKUP($A194,quarterly_data,MATCH(E$1,quarterly!$1:$1,FALSE),FALSE)),"NA",VLOOKUP($A194,quarterly_data,MATCH(E$1,quarterly!$1:$1,FALSE),FALSE))</f>
        <v>0.154691</v>
      </c>
      <c r="F194">
        <f>IF(ISBLANK(VLOOKUP($A194,quarterly_data,MATCH(F$1,quarterly!$1:$1,FALSE),FALSE)),"NA",VLOOKUP($A194,quarterly_data,MATCH(F$1,quarterly!$1:$1,FALSE),FALSE))</f>
        <v>5.95119E-2</v>
      </c>
      <c r="G194">
        <f>IF(ISBLANK(VLOOKUP($A194,quarterly_data,MATCH(G$1,quarterly!$1:$1,FALSE),FALSE)),"NA",VLOOKUP($A194,quarterly_data,MATCH(G$1,quarterly!$1:$1,FALSE),FALSE))</f>
        <v>20044.077000000001</v>
      </c>
      <c r="H194">
        <f>IF(ISBLANK(VLOOKUP($A194,quarterly_data,MATCH(H$1,quarterly!$1:$1,FALSE),FALSE)),"NA",VLOOKUP($A194,quarterly_data,MATCH(H$1,quarterly!$1:$1,FALSE),FALSE))</f>
        <v>590527</v>
      </c>
      <c r="I194">
        <f>IF(ISBLANK(VLOOKUP($A194,quarterly_data,MATCH(I$1,quarterly!$1:$1,FALSE),FALSE)),"NA",VLOOKUP($A194,quarterly_data,MATCH(I$1,quarterly!$1:$1,FALSE),FALSE))</f>
        <v>0.5</v>
      </c>
      <c r="J194">
        <f>IF(ISBLANK(VLOOKUP($A194,quarterly_data,MATCH(J$1,quarterly!$1:$1,FALSE),FALSE)),"NA",VLOOKUP($A194,quarterly_data,MATCH(J$1,quarterly!$1:$1,FALSE),FALSE))</f>
        <v>78.209999999999994</v>
      </c>
      <c r="K194">
        <f>IF(COUNTIFS(monthly!C:C,"",monthly!$A:$A,"&gt;="&amp;$A194,monthly!$B:$B,"&lt;="&amp;$B194)&gt;0,"NA",AVERAGEIFS(monthly!C:C,monthly!$A:$A,"&gt;="&amp;$A194,monthly!$B:$B,"&lt;="&amp;$B194))</f>
        <v>63.833333333333336</v>
      </c>
      <c r="L194">
        <f>IF(COUNTIFS(monthly!D:D,"",monthly!$A:$A,"&gt;="&amp;$A194,monthly!$B:$B,"&lt;="&amp;$B194)&gt;0,"NA",AVERAGEIFS(monthly!D:D,monthly!$A:$A,"&gt;="&amp;$A194,monthly!$B:$B,"&lt;="&amp;$B194))</f>
        <v>0.78433333333333322</v>
      </c>
      <c r="M194">
        <f>IF(COUNTIFS(monthly!E:E,"",monthly!$A:$A,"&gt;="&amp;$A194,monthly!$B:$B,"&lt;="&amp;$B194)&gt;0,"NA",AVERAGEIFS(monthly!E:E,monthly!$A:$A,"&gt;="&amp;$A194,monthly!$B:$B,"&lt;="&amp;$B194))</f>
        <v>75.106940923727777</v>
      </c>
      <c r="N194">
        <f>IF(COUNTIFS(monthly!F:F,"",monthly!$A:$A,"&gt;="&amp;$A194,monthly!$B:$B,"&lt;="&amp;$B194)&gt;0,"NA",AVERAGEIFS(monthly!F:F,monthly!$A:$A,"&gt;="&amp;$A194,monthly!$B:$B,"&lt;="&amp;$B194))</f>
        <v>77.925897109300365</v>
      </c>
      <c r="O194">
        <f>IF(COUNTIFS(monthly!G:G,"",monthly!$A:$A,"&gt;="&amp;$A194,monthly!$B:$B,"&lt;="&amp;$B194)&gt;0,"NA",AVERAGEIFS(monthly!G:G,monthly!$A:$A,"&gt;="&amp;$A194,monthly!$B:$B,"&lt;="&amp;$B194))</f>
        <v>74.733333333333334</v>
      </c>
      <c r="P194">
        <f>IF(COUNTIFS(monthly!H:H,"",monthly!$A:$A,"&gt;="&amp;$A194,monthly!$B:$B,"&lt;="&amp;$B194)&gt;0,"NA",AVERAGEIFS(monthly!H:H,monthly!$A:$A,"&gt;="&amp;$A194,monthly!$B:$B,"&lt;="&amp;$B194))</f>
        <v>103.06666666666666</v>
      </c>
      <c r="Q194">
        <f>IF(COUNTIFS(monthly!I:I,"",monthly!$A:$A,"&gt;="&amp;$A194,monthly!$B:$B,"&lt;="&amp;$B194)&gt;0,"NA",AVERAGEIFS(monthly!I:I,monthly!$A:$A,"&gt;="&amp;$A194,monthly!$B:$B,"&lt;="&amp;$B194))</f>
        <v>66.966666666666669</v>
      </c>
      <c r="R194">
        <f>IF(COUNTIFS(monthly!J:J,"",monthly!$A:$A,"&gt;="&amp;$A194,monthly!$B:$B,"&lt;="&amp;$B194)&gt;0,"NA",AVERAGEIFS(monthly!J:J,monthly!$A:$A,"&gt;="&amp;$A194,monthly!$B:$B,"&lt;="&amp;$B194))</f>
        <v>9.76</v>
      </c>
      <c r="S194">
        <f>IF(COUNTIFS(monthly!K:K,"",monthly!$A:$A,"&gt;="&amp;$A194,monthly!$B:$B,"&lt;="&amp;$B194)&gt;0,"NA",AVERAGEIFS(monthly!K:K,monthly!$A:$A,"&gt;="&amp;$A194,monthly!$B:$B,"&lt;="&amp;$B194))</f>
        <v>1.5</v>
      </c>
      <c r="T194">
        <f>IF(COUNTIFS(monthly!L:L,"",monthly!$A:$A,"&gt;="&amp;$A194,monthly!$B:$B,"&lt;="&amp;$B194)&gt;0,"NA",AVERAGEIFS(monthly!L:L,monthly!$A:$A,"&gt;="&amp;$A194,monthly!$B:$B,"&lt;="&amp;$B194))</f>
        <v>1.4460483870967746</v>
      </c>
      <c r="U194">
        <f>IF(COUNTIFS(monthly!M:M,"",monthly!$A:$A,"&gt;="&amp;$A194,monthly!$B:$B,"&lt;="&amp;$B194)&gt;0,"NA",AVERAGEIFS(monthly!M:M,monthly!$A:$A,"&gt;="&amp;$A194,monthly!$B:$B,"&lt;="&amp;$B194))</f>
        <v>5.3951612903225143E-2</v>
      </c>
      <c r="V194">
        <f>IF(COUNTIFS(monthly!N:N,"",monthly!$A:$A,"&gt;="&amp;$A194,monthly!$B:$B,"&lt;="&amp;$B194)&gt;0,"NA",AVERAGEIFS(monthly!N:N,monthly!$A:$A,"&gt;="&amp;$A194,monthly!$B:$B,"&lt;="&amp;$B194))</f>
        <v>1.9749999999999999</v>
      </c>
      <c r="W194">
        <f>IF(COUNTIFS(monthly!O:O,"",monthly!$A:$A,"&gt;="&amp;$A194,monthly!$B:$B,"&lt;="&amp;$B194)&gt;0,"NA",AVERAGEIFS(monthly!O:O,monthly!$A:$A,"&gt;="&amp;$A194,monthly!$B:$B,"&lt;="&amp;$B194))</f>
        <v>2.1609607351712614</v>
      </c>
      <c r="X194">
        <f>IF(COUNTIFS(monthly!P:P,"",monthly!$A:$A,"&gt;="&amp;$A194,monthly!$B:$B,"&lt;="&amp;$B194)&gt;0,"NA",AVERAGEIFS(monthly!P:P,monthly!$A:$A,"&gt;="&amp;$A194,monthly!$B:$B,"&lt;="&amp;$B194))</f>
        <v>-0.18596073517126155</v>
      </c>
      <c r="Y194">
        <f>IF(COUNTIFS(monthly!Q:Q,"",monthly!$A:$A,"&gt;="&amp;$A194,monthly!$B:$B,"&lt;="&amp;$B194)&gt;0,"NA",AVERAGEIFS(monthly!Q:Q,monthly!$A:$A,"&gt;="&amp;$A194,monthly!$B:$B,"&lt;="&amp;$B194))</f>
        <v>2.7683333333333331</v>
      </c>
      <c r="Z194">
        <f>IF(COUNTIFS(monthly!R:R,"",monthly!$A:$A,"&gt;="&amp;$A194,monthly!$B:$B,"&lt;="&amp;$B194)&gt;0,"NA",AVERAGEIFS(monthly!R:R,monthly!$A:$A,"&gt;="&amp;$A194,monthly!$B:$B,"&lt;="&amp;$B194))</f>
        <v>2.7617126148705098</v>
      </c>
      <c r="AA194">
        <f>IF(COUNTIFS(monthly!S:S,"",monthly!$A:$A,"&gt;="&amp;$A194,monthly!$B:$B,"&lt;="&amp;$B194)&gt;0,"NA",AVERAGEIFS(monthly!S:S,monthly!$A:$A,"&gt;="&amp;$A194,monthly!$B:$B,"&lt;="&amp;$B194))</f>
        <v>6.6207184628236009E-3</v>
      </c>
      <c r="AB194">
        <f>IF(COUNTIFS(monthly!T:T,"",monthly!$A:$A,"&gt;="&amp;$A194,monthly!$B:$B,"&lt;="&amp;$B194)&gt;0,"NA",AVERAGEIFS(monthly!T:T,monthly!$A:$A,"&gt;="&amp;$A194,monthly!$B:$B,"&lt;="&amp;$B194))</f>
        <v>17.516975772765246</v>
      </c>
      <c r="AC194">
        <f>IF(COUNTIFS(monthly!U:U,"",monthly!$A:$A,"&gt;="&amp;$A194,monthly!$B:$B,"&lt;="&amp;$B194)&gt;0,"NA",AVERAGEIFS(monthly!U:U,monthly!$A:$A,"&gt;="&amp;$A194,monthly!$B:$B,"&lt;="&amp;$B194))</f>
        <v>159.83260770639777</v>
      </c>
      <c r="AD194">
        <f>IF(COUNTIFS(monthly!V:V,"",monthly!$A:$A,"&gt;="&amp;$A194,monthly!$B:$B,"&lt;="&amp;$B194)&gt;0,"NA",AVERAGEIFS(monthly!V:V,monthly!$A:$A,"&gt;="&amp;$A194,monthly!$B:$B,"&lt;="&amp;$B194))</f>
        <v>66.969606224448782</v>
      </c>
      <c r="AE194">
        <f>IF(COUNTIFS(monthly!W:W,"",monthly!$A:$A,"&gt;="&amp;$A194,monthly!$B:$B,"&lt;="&amp;$B194)&gt;0,"NA",AVERAGEIFS(monthly!W:W,monthly!$A:$A,"&gt;="&amp;$A194,monthly!$B:$B,"&lt;="&amp;$B194))</f>
        <v>89.626818339029953</v>
      </c>
      <c r="AF194">
        <f>IF(COUNTIFS(monthly!X:X,"",monthly!$A:$A,"&gt;="&amp;$A194,monthly!$B:$B,"&lt;="&amp;$B194)&gt;0,"NA",AVERAGEIFS(monthly!X:X,monthly!$A:$A,"&gt;="&amp;$A194,monthly!$B:$B,"&lt;="&amp;$B194))</f>
        <v>109.75150299072266</v>
      </c>
      <c r="AG194">
        <f>IF(COUNTIFS(monthly!Y:Y,"",monthly!$A:$A,"&gt;="&amp;$A194,monthly!$B:$B,"&lt;="&amp;$B194)&gt;0,"NA",AVERAGEIFS(monthly!Y:Y,monthly!$A:$A,"&gt;="&amp;$A194,monthly!$B:$B,"&lt;="&amp;$B194))</f>
        <v>64.075359344482422</v>
      </c>
      <c r="AH194">
        <f>IF(COUNTIFS(monthly!Z:Z,"",monthly!$A:$A,"&gt;="&amp;$A194,monthly!$B:$B,"&lt;="&amp;$B194)&gt;0,"NA",AVERAGEIFS(monthly!Z:Z,monthly!$A:$A,"&gt;="&amp;$A194,monthly!$B:$B,"&lt;="&amp;$B194))</f>
        <v>9.0428558488686875E-2</v>
      </c>
    </row>
    <row r="195" spans="1:34" x14ac:dyDescent="0.2">
      <c r="A195" s="1">
        <v>43191</v>
      </c>
      <c r="B195" s="1">
        <v>43281</v>
      </c>
      <c r="C195">
        <f>IF(ISBLANK(VLOOKUP($A195,quarterly_data,MATCH(C$1,quarterly!$1:$1,FALSE),FALSE)),"NA",VLOOKUP($A195,quarterly_data,MATCH(C$1,quarterly!$1:$1,FALSE),FALSE))</f>
        <v>134.93589851309173</v>
      </c>
      <c r="D195">
        <f>IF(ISBLANK(VLOOKUP($A195,quarterly_data,MATCH(D$1,quarterly!$1:$1,FALSE),FALSE)),"NA",VLOOKUP($A195,quarterly_data,MATCH(D$1,quarterly!$1:$1,FALSE),FALSE))</f>
        <v>82.1</v>
      </c>
      <c r="E195">
        <f>IF(ISBLANK(VLOOKUP($A195,quarterly_data,MATCH(E$1,quarterly!$1:$1,FALSE),FALSE)),"NA",VLOOKUP($A195,quarterly_data,MATCH(E$1,quarterly!$1:$1,FALSE),FALSE))</f>
        <v>7.8186099999999994E-2</v>
      </c>
      <c r="F195">
        <f>IF(ISBLANK(VLOOKUP($A195,quarterly_data,MATCH(F$1,quarterly!$1:$1,FALSE),FALSE)),"NA",VLOOKUP($A195,quarterly_data,MATCH(F$1,quarterly!$1:$1,FALSE),FALSE))</f>
        <v>3.6953199999999999E-2</v>
      </c>
      <c r="G195">
        <f>IF(ISBLANK(VLOOKUP($A195,quarterly_data,MATCH(G$1,quarterly!$1:$1,FALSE),FALSE)),"NA",VLOOKUP($A195,quarterly_data,MATCH(G$1,quarterly!$1:$1,FALSE),FALSE))</f>
        <v>20150.475999999999</v>
      </c>
      <c r="H195">
        <f>IF(ISBLANK(VLOOKUP($A195,quarterly_data,MATCH(H$1,quarterly!$1:$1,FALSE),FALSE)),"NA",VLOOKUP($A195,quarterly_data,MATCH(H$1,quarterly!$1:$1,FALSE),FALSE))</f>
        <v>594694</v>
      </c>
      <c r="I195">
        <f>IF(ISBLANK(VLOOKUP($A195,quarterly_data,MATCH(I$1,quarterly!$1:$1,FALSE),FALSE)),"NA",VLOOKUP($A195,quarterly_data,MATCH(I$1,quarterly!$1:$1,FALSE),FALSE))</f>
        <v>0.4</v>
      </c>
      <c r="J195">
        <f>IF(ISBLANK(VLOOKUP($A195,quarterly_data,MATCH(J$1,quarterly!$1:$1,FALSE),FALSE)),"NA",VLOOKUP($A195,quarterly_data,MATCH(J$1,quarterly!$1:$1,FALSE),FALSE))</f>
        <v>78.489999999999995</v>
      </c>
      <c r="K195">
        <f>IF(COUNTIFS(monthly!C:C,"",monthly!$A:$A,"&gt;="&amp;$A195,monthly!$B:$B,"&lt;="&amp;$B195)&gt;0,"NA",AVERAGEIFS(monthly!C:C,monthly!$A:$A,"&gt;="&amp;$A195,monthly!$B:$B,"&lt;="&amp;$B195))</f>
        <v>62.5</v>
      </c>
      <c r="L195">
        <f>IF(COUNTIFS(monthly!D:D,"",monthly!$A:$A,"&gt;="&amp;$A195,monthly!$B:$B,"&lt;="&amp;$B195)&gt;0,"NA",AVERAGEIFS(monthly!D:D,monthly!$A:$A,"&gt;="&amp;$A195,monthly!$B:$B,"&lt;="&amp;$B195))</f>
        <v>0.75083333333333335</v>
      </c>
      <c r="M195">
        <f>IF(COUNTIFS(monthly!E:E,"",monthly!$A:$A,"&gt;="&amp;$A195,monthly!$B:$B,"&lt;="&amp;$B195)&gt;0,"NA",AVERAGEIFS(monthly!E:E,monthly!$A:$A,"&gt;="&amp;$A195,monthly!$B:$B,"&lt;="&amp;$B195))</f>
        <v>74.045227395850461</v>
      </c>
      <c r="N195">
        <f>IF(COUNTIFS(monthly!F:F,"",monthly!$A:$A,"&gt;="&amp;$A195,monthly!$B:$B,"&lt;="&amp;$B195)&gt;0,"NA",AVERAGEIFS(monthly!F:F,monthly!$A:$A,"&gt;="&amp;$A195,monthly!$B:$B,"&lt;="&amp;$B195))</f>
        <v>74.797117729351072</v>
      </c>
      <c r="O195">
        <f>IF(COUNTIFS(monthly!G:G,"",monthly!$A:$A,"&gt;="&amp;$A195,monthly!$B:$B,"&lt;="&amp;$B195)&gt;0,"NA",AVERAGEIFS(monthly!G:G,monthly!$A:$A,"&gt;="&amp;$A195,monthly!$B:$B,"&lt;="&amp;$B195))</f>
        <v>65.633333333333326</v>
      </c>
      <c r="P195">
        <f>IF(COUNTIFS(monthly!H:H,"",monthly!$A:$A,"&gt;="&amp;$A195,monthly!$B:$B,"&lt;="&amp;$B195)&gt;0,"NA",AVERAGEIFS(monthly!H:H,monthly!$A:$A,"&gt;="&amp;$A195,monthly!$B:$B,"&lt;="&amp;$B195))</f>
        <v>104.43333333333334</v>
      </c>
      <c r="Q195">
        <f>IF(COUNTIFS(monthly!I:I,"",monthly!$A:$A,"&gt;="&amp;$A195,monthly!$B:$B,"&lt;="&amp;$B195)&gt;0,"NA",AVERAGEIFS(monthly!I:I,monthly!$A:$A,"&gt;="&amp;$A195,monthly!$B:$B,"&lt;="&amp;$B195))</f>
        <v>74.5</v>
      </c>
      <c r="R195">
        <f>IF(COUNTIFS(monthly!J:J,"",monthly!$A:$A,"&gt;="&amp;$A195,monthly!$B:$B,"&lt;="&amp;$B195)&gt;0,"NA",AVERAGEIFS(monthly!J:J,monthly!$A:$A,"&gt;="&amp;$A195,monthly!$B:$B,"&lt;="&amp;$B195))</f>
        <v>10.26</v>
      </c>
      <c r="S195">
        <f>IF(COUNTIFS(monthly!K:K,"",monthly!$A:$A,"&gt;="&amp;$A195,monthly!$B:$B,"&lt;="&amp;$B195)&gt;0,"NA",AVERAGEIFS(monthly!K:K,monthly!$A:$A,"&gt;="&amp;$A195,monthly!$B:$B,"&lt;="&amp;$B195))</f>
        <v>1.5</v>
      </c>
      <c r="T195">
        <f>IF(COUNTIFS(monthly!L:L,"",monthly!$A:$A,"&gt;="&amp;$A195,monthly!$B:$B,"&lt;="&amp;$B195)&gt;0,"NA",AVERAGEIFS(monthly!L:L,monthly!$A:$A,"&gt;="&amp;$A195,monthly!$B:$B,"&lt;="&amp;$B195))</f>
        <v>1.7373333333333338</v>
      </c>
      <c r="U195">
        <f>IF(COUNTIFS(monthly!M:M,"",monthly!$A:$A,"&gt;="&amp;$A195,monthly!$B:$B,"&lt;="&amp;$B195)&gt;0,"NA",AVERAGEIFS(monthly!M:M,monthly!$A:$A,"&gt;="&amp;$A195,monthly!$B:$B,"&lt;="&amp;$B195))</f>
        <v>-0.23733333333333376</v>
      </c>
      <c r="V195">
        <f>IF(COUNTIFS(monthly!N:N,"",monthly!$A:$A,"&gt;="&amp;$A195,monthly!$B:$B,"&lt;="&amp;$B195)&gt;0,"NA",AVERAGEIFS(monthly!N:N,monthly!$A:$A,"&gt;="&amp;$A195,monthly!$B:$B,"&lt;="&amp;$B195))</f>
        <v>2.0486666666666666</v>
      </c>
      <c r="W195">
        <f>IF(COUNTIFS(monthly!O:O,"",monthly!$A:$A,"&gt;="&amp;$A195,monthly!$B:$B,"&lt;="&amp;$B195)&gt;0,"NA",AVERAGEIFS(monthly!O:O,monthly!$A:$A,"&gt;="&amp;$A195,monthly!$B:$B,"&lt;="&amp;$B195))</f>
        <v>2.4764790764790772</v>
      </c>
      <c r="X195">
        <f>IF(COUNTIFS(monthly!P:P,"",monthly!$A:$A,"&gt;="&amp;$A195,monthly!$B:$B,"&lt;="&amp;$B195)&gt;0,"NA",AVERAGEIFS(monthly!P:P,monthly!$A:$A,"&gt;="&amp;$A195,monthly!$B:$B,"&lt;="&amp;$B195))</f>
        <v>-0.42781240981241025</v>
      </c>
      <c r="Y195">
        <f>IF(COUNTIFS(monthly!Q:Q,"",monthly!$A:$A,"&gt;="&amp;$A195,monthly!$B:$B,"&lt;="&amp;$B195)&gt;0,"NA",AVERAGEIFS(monthly!Q:Q,monthly!$A:$A,"&gt;="&amp;$A195,monthly!$B:$B,"&lt;="&amp;$B195))</f>
        <v>2.7403333333333335</v>
      </c>
      <c r="Z195">
        <f>IF(COUNTIFS(monthly!R:R,"",monthly!$A:$A,"&gt;="&amp;$A195,monthly!$B:$B,"&lt;="&amp;$B195)&gt;0,"NA",AVERAGEIFS(monthly!R:R,monthly!$A:$A,"&gt;="&amp;$A195,monthly!$B:$B,"&lt;="&amp;$B195))</f>
        <v>2.9197186147186152</v>
      </c>
      <c r="AA195">
        <f>IF(COUNTIFS(monthly!S:S,"",monthly!$A:$A,"&gt;="&amp;$A195,monthly!$B:$B,"&lt;="&amp;$B195)&gt;0,"NA",AVERAGEIFS(monthly!S:S,monthly!$A:$A,"&gt;="&amp;$A195,monthly!$B:$B,"&lt;="&amp;$B195))</f>
        <v>-0.17938528138528151</v>
      </c>
      <c r="AB195">
        <f>IF(COUNTIFS(monthly!T:T,"",monthly!$A:$A,"&gt;="&amp;$A195,monthly!$B:$B,"&lt;="&amp;$B195)&gt;0,"NA",AVERAGEIFS(monthly!T:T,monthly!$A:$A,"&gt;="&amp;$A195,monthly!$B:$B,"&lt;="&amp;$B195))</f>
        <v>15.356753246753248</v>
      </c>
      <c r="AC195">
        <f>IF(COUNTIFS(monthly!U:U,"",monthly!$A:$A,"&gt;="&amp;$A195,monthly!$B:$B,"&lt;="&amp;$B195)&gt;0,"NA",AVERAGEIFS(monthly!U:U,monthly!$A:$A,"&gt;="&amp;$A195,monthly!$B:$B,"&lt;="&amp;$B195))</f>
        <v>165.61246006885912</v>
      </c>
      <c r="AD195">
        <f>IF(COUNTIFS(monthly!V:V,"",monthly!$A:$A,"&gt;="&amp;$A195,monthly!$B:$B,"&lt;="&amp;$B195)&gt;0,"NA",AVERAGEIFS(monthly!V:V,monthly!$A:$A,"&gt;="&amp;$A195,monthly!$B:$B,"&lt;="&amp;$B195))</f>
        <v>72.097326538332652</v>
      </c>
      <c r="AE195">
        <f>IF(COUNTIFS(monthly!W:W,"",monthly!$A:$A,"&gt;="&amp;$A195,monthly!$B:$B,"&lt;="&amp;$B195)&gt;0,"NA",AVERAGEIFS(monthly!W:W,monthly!$A:$A,"&gt;="&amp;$A195,monthly!$B:$B,"&lt;="&amp;$B195))</f>
        <v>117.63289388020833</v>
      </c>
      <c r="AF195">
        <f>IF(COUNTIFS(monthly!X:X,"",monthly!$A:$A,"&gt;="&amp;$A195,monthly!$B:$B,"&lt;="&amp;$B195)&gt;0,"NA",AVERAGEIFS(monthly!X:X,monthly!$A:$A,"&gt;="&amp;$A195,monthly!$B:$B,"&lt;="&amp;$B195))</f>
        <v>151.87894185384116</v>
      </c>
      <c r="AG195">
        <f>IF(COUNTIFS(monthly!Y:Y,"",monthly!$A:$A,"&gt;="&amp;$A195,monthly!$B:$B,"&lt;="&amp;$B195)&gt;0,"NA",AVERAGEIFS(monthly!Y:Y,monthly!$A:$A,"&gt;="&amp;$A195,monthly!$B:$B,"&lt;="&amp;$B195))</f>
        <v>71.388064066569015</v>
      </c>
      <c r="AH195">
        <f>IF(COUNTIFS(monthly!Z:Z,"",monthly!$A:$A,"&gt;="&amp;$A195,monthly!$B:$B,"&lt;="&amp;$B195)&gt;0,"NA",AVERAGEIFS(monthly!Z:Z,monthly!$A:$A,"&gt;="&amp;$A195,monthly!$B:$B,"&lt;="&amp;$B195))</f>
        <v>9.7990048428376511E-2</v>
      </c>
    </row>
    <row r="196" spans="1:34" x14ac:dyDescent="0.2">
      <c r="A196" s="1">
        <v>43282</v>
      </c>
      <c r="B196" s="1">
        <v>43373</v>
      </c>
      <c r="C196">
        <f>IF(ISBLANK(VLOOKUP($A196,quarterly_data,MATCH(C$1,quarterly!$1:$1,FALSE),FALSE)),"NA",VLOOKUP($A196,quarterly_data,MATCH(C$1,quarterly!$1:$1,FALSE),FALSE))</f>
        <v>135.22946782142296</v>
      </c>
      <c r="D196">
        <f>IF(ISBLANK(VLOOKUP($A196,quarterly_data,MATCH(D$1,quarterly!$1:$1,FALSE),FALSE)),"NA",VLOOKUP($A196,quarterly_data,MATCH(D$1,quarterly!$1:$1,FALSE),FALSE))</f>
        <v>83.4</v>
      </c>
      <c r="E196">
        <f>IF(ISBLANK(VLOOKUP($A196,quarterly_data,MATCH(E$1,quarterly!$1:$1,FALSE),FALSE)),"NA",VLOOKUP($A196,quarterly_data,MATCH(E$1,quarterly!$1:$1,FALSE),FALSE))</f>
        <v>0.21821360000000001</v>
      </c>
      <c r="F196">
        <f>IF(ISBLANK(VLOOKUP($A196,quarterly_data,MATCH(F$1,quarterly!$1:$1,FALSE),FALSE)),"NA",VLOOKUP($A196,quarterly_data,MATCH(F$1,quarterly!$1:$1,FALSE),FALSE))</f>
        <v>5.66177E-2</v>
      </c>
      <c r="G196">
        <f>IF(ISBLANK(VLOOKUP($A196,quarterly_data,MATCH(G$1,quarterly!$1:$1,FALSE),FALSE)),"NA",VLOOKUP($A196,quarterly_data,MATCH(G$1,quarterly!$1:$1,FALSE),FALSE))</f>
        <v>20276.153999999999</v>
      </c>
      <c r="H196">
        <f>IF(ISBLANK(VLOOKUP($A196,quarterly_data,MATCH(H$1,quarterly!$1:$1,FALSE),FALSE)),"NA",VLOOKUP($A196,quarterly_data,MATCH(H$1,quarterly!$1:$1,FALSE),FALSE))</f>
        <v>596975</v>
      </c>
      <c r="I196">
        <f>IF(ISBLANK(VLOOKUP($A196,quarterly_data,MATCH(I$1,quarterly!$1:$1,FALSE),FALSE)),"NA",VLOOKUP($A196,quarterly_data,MATCH(I$1,quarterly!$1:$1,FALSE),FALSE))</f>
        <v>0.4</v>
      </c>
      <c r="J196">
        <f>IF(ISBLANK(VLOOKUP($A196,quarterly_data,MATCH(J$1,quarterly!$1:$1,FALSE),FALSE)),"NA",VLOOKUP($A196,quarterly_data,MATCH(J$1,quarterly!$1:$1,FALSE),FALSE))</f>
        <v>78.83</v>
      </c>
      <c r="K196">
        <f>IF(COUNTIFS(monthly!C:C,"",monthly!$A:$A,"&gt;="&amp;$A196,monthly!$B:$B,"&lt;="&amp;$B196)&gt;0,"NA",AVERAGEIFS(monthly!C:C,monthly!$A:$A,"&gt;="&amp;$A196,monthly!$B:$B,"&lt;="&amp;$B196))</f>
        <v>62.633333333333333</v>
      </c>
      <c r="L196">
        <f>IF(COUNTIFS(monthly!D:D,"",monthly!$A:$A,"&gt;="&amp;$A196,monthly!$B:$B,"&lt;="&amp;$B196)&gt;0,"NA",AVERAGEIFS(monthly!D:D,monthly!$A:$A,"&gt;="&amp;$A196,monthly!$B:$B,"&lt;="&amp;$B196))</f>
        <v>0.73043333333333338</v>
      </c>
      <c r="M196">
        <f>IF(COUNTIFS(monthly!E:E,"",monthly!$A:$A,"&gt;="&amp;$A196,monthly!$B:$B,"&lt;="&amp;$B196)&gt;0,"NA",AVERAGEIFS(monthly!E:E,monthly!$A:$A,"&gt;="&amp;$A196,monthly!$B:$B,"&lt;="&amp;$B196))</f>
        <v>76.99474452011097</v>
      </c>
      <c r="N196">
        <f>IF(COUNTIFS(monthly!F:F,"",monthly!$A:$A,"&gt;="&amp;$A196,monthly!$B:$B,"&lt;="&amp;$B196)&gt;0,"NA",AVERAGEIFS(monthly!F:F,monthly!$A:$A,"&gt;="&amp;$A196,monthly!$B:$B,"&lt;="&amp;$B196))</f>
        <v>77.910228507050405</v>
      </c>
      <c r="O196">
        <f>IF(COUNTIFS(monthly!G:G,"",monthly!$A:$A,"&gt;="&amp;$A196,monthly!$B:$B,"&lt;="&amp;$B196)&gt;0,"NA",AVERAGEIFS(monthly!G:G,monthly!$A:$A,"&gt;="&amp;$A196,monthly!$B:$B,"&lt;="&amp;$B196))</f>
        <v>66.733333333333334</v>
      </c>
      <c r="P196">
        <f>IF(COUNTIFS(monthly!H:H,"",monthly!$A:$A,"&gt;="&amp;$A196,monthly!$B:$B,"&lt;="&amp;$B196)&gt;0,"NA",AVERAGEIFS(monthly!H:H,monthly!$A:$A,"&gt;="&amp;$A196,monthly!$B:$B,"&lt;="&amp;$B196))</f>
        <v>117.03333333333332</v>
      </c>
      <c r="Q196">
        <f>IF(COUNTIFS(monthly!I:I,"",monthly!$A:$A,"&gt;="&amp;$A196,monthly!$B:$B,"&lt;="&amp;$B196)&gt;0,"NA",AVERAGEIFS(monthly!I:I,monthly!$A:$A,"&gt;="&amp;$A196,monthly!$B:$B,"&lt;="&amp;$B196))</f>
        <v>75.466666666666669</v>
      </c>
      <c r="R196">
        <f>IF(COUNTIFS(monthly!J:J,"",monthly!$A:$A,"&gt;="&amp;$A196,monthly!$B:$B,"&lt;="&amp;$B196)&gt;0,"NA",AVERAGEIFS(monthly!J:J,monthly!$A:$A,"&gt;="&amp;$A196,monthly!$B:$B,"&lt;="&amp;$B196))</f>
        <v>10.873333333333335</v>
      </c>
      <c r="S196">
        <f>IF(COUNTIFS(monthly!K:K,"",monthly!$A:$A,"&gt;="&amp;$A196,monthly!$B:$B,"&lt;="&amp;$B196)&gt;0,"NA",AVERAGEIFS(monthly!K:K,monthly!$A:$A,"&gt;="&amp;$A196,monthly!$B:$B,"&lt;="&amp;$B196))</f>
        <v>1.5</v>
      </c>
      <c r="T196">
        <f>IF(COUNTIFS(monthly!L:L,"",monthly!$A:$A,"&gt;="&amp;$A196,monthly!$B:$B,"&lt;="&amp;$B196)&gt;0,"NA",AVERAGEIFS(monthly!L:L,monthly!$A:$A,"&gt;="&amp;$A196,monthly!$B:$B,"&lt;="&amp;$B196))</f>
        <v>1.9265017921146954</v>
      </c>
      <c r="U196">
        <f>IF(COUNTIFS(monthly!M:M,"",monthly!$A:$A,"&gt;="&amp;$A196,monthly!$B:$B,"&lt;="&amp;$B196)&gt;0,"NA",AVERAGEIFS(monthly!M:M,monthly!$A:$A,"&gt;="&amp;$A196,monthly!$B:$B,"&lt;="&amp;$B196))</f>
        <v>-0.42650179211469524</v>
      </c>
      <c r="V196">
        <f>IF(COUNTIFS(monthly!N:N,"",monthly!$A:$A,"&gt;="&amp;$A196,monthly!$B:$B,"&lt;="&amp;$B196)&gt;0,"NA",AVERAGEIFS(monthly!N:N,monthly!$A:$A,"&gt;="&amp;$A196,monthly!$B:$B,"&lt;="&amp;$B196))</f>
        <v>2.0146666666666664</v>
      </c>
      <c r="W196">
        <f>IF(COUNTIFS(monthly!O:O,"",monthly!$A:$A,"&gt;="&amp;$A196,monthly!$B:$B,"&lt;="&amp;$B196)&gt;0,"NA",AVERAGEIFS(monthly!O:O,monthly!$A:$A,"&gt;="&amp;$A196,monthly!$B:$B,"&lt;="&amp;$B196))</f>
        <v>2.6700711924739386</v>
      </c>
      <c r="X196">
        <f>IF(COUNTIFS(monthly!P:P,"",monthly!$A:$A,"&gt;="&amp;$A196,monthly!$B:$B,"&lt;="&amp;$B196)&gt;0,"NA",AVERAGEIFS(monthly!P:P,monthly!$A:$A,"&gt;="&amp;$A196,monthly!$B:$B,"&lt;="&amp;$B196))</f>
        <v>-0.65540452580727215</v>
      </c>
      <c r="Y196">
        <f>IF(COUNTIFS(monthly!Q:Q,"",monthly!$A:$A,"&gt;="&amp;$A196,monthly!$B:$B,"&lt;="&amp;$B196)&gt;0,"NA",AVERAGEIFS(monthly!Q:Q,monthly!$A:$A,"&gt;="&amp;$A196,monthly!$B:$B,"&lt;="&amp;$B196))</f>
        <v>2.6193333333333335</v>
      </c>
      <c r="Z196">
        <f>IF(COUNTIFS(monthly!R:R,"",monthly!$A:$A,"&gt;="&amp;$A196,monthly!$B:$B,"&lt;="&amp;$B196)&gt;0,"NA",AVERAGEIFS(monthly!R:R,monthly!$A:$A,"&gt;="&amp;$A196,monthly!$B:$B,"&lt;="&amp;$B196))</f>
        <v>2.9274628600486725</v>
      </c>
      <c r="AA196">
        <f>IF(COUNTIFS(monthly!S:S,"",monthly!$A:$A,"&gt;="&amp;$A196,monthly!$B:$B,"&lt;="&amp;$B196)&gt;0,"NA",AVERAGEIFS(monthly!S:S,monthly!$A:$A,"&gt;="&amp;$A196,monthly!$B:$B,"&lt;="&amp;$B196))</f>
        <v>-0.30812952671533927</v>
      </c>
      <c r="AB196">
        <f>IF(COUNTIFS(monthly!T:T,"",monthly!$A:$A,"&gt;="&amp;$A196,monthly!$B:$B,"&lt;="&amp;$B196)&gt;0,"NA",AVERAGEIFS(monthly!T:T,monthly!$A:$A,"&gt;="&amp;$A196,monthly!$B:$B,"&lt;="&amp;$B196))</f>
        <v>12.868367295049216</v>
      </c>
      <c r="AC196">
        <f>IF(COUNTIFS(monthly!U:U,"",monthly!$A:$A,"&gt;="&amp;$A196,monthly!$B:$B,"&lt;="&amp;$B196)&gt;0,"NA",AVERAGEIFS(monthly!U:U,monthly!$A:$A,"&gt;="&amp;$A196,monthly!$B:$B,"&lt;="&amp;$B196))</f>
        <v>195.70846586136972</v>
      </c>
      <c r="AD196">
        <f>IF(COUNTIFS(monthly!V:V,"",monthly!$A:$A,"&gt;="&amp;$A196,monthly!$B:$B,"&lt;="&amp;$B196)&gt;0,"NA",AVERAGEIFS(monthly!V:V,monthly!$A:$A,"&gt;="&amp;$A196,monthly!$B:$B,"&lt;="&amp;$B196))</f>
        <v>92.2578842363543</v>
      </c>
      <c r="AE196">
        <f>IF(COUNTIFS(monthly!W:W,"",monthly!$A:$A,"&gt;="&amp;$A196,monthly!$B:$B,"&lt;="&amp;$B196)&gt;0,"NA",AVERAGEIFS(monthly!W:W,monthly!$A:$A,"&gt;="&amp;$A196,monthly!$B:$B,"&lt;="&amp;$B196))</f>
        <v>99.274673461914062</v>
      </c>
      <c r="AF196">
        <f>IF(COUNTIFS(monthly!X:X,"",monthly!$A:$A,"&gt;="&amp;$A196,monthly!$B:$B,"&lt;="&amp;$B196)&gt;0,"NA",AVERAGEIFS(monthly!X:X,monthly!$A:$A,"&gt;="&amp;$A196,monthly!$B:$B,"&lt;="&amp;$B196))</f>
        <v>120.94668579101562</v>
      </c>
      <c r="AG196">
        <f>IF(COUNTIFS(monthly!Y:Y,"",monthly!$A:$A,"&gt;="&amp;$A196,monthly!$B:$B,"&lt;="&amp;$B196)&gt;0,"NA",AVERAGEIFS(monthly!Y:Y,monthly!$A:$A,"&gt;="&amp;$A196,monthly!$B:$B,"&lt;="&amp;$B196))</f>
        <v>68.049326578776046</v>
      </c>
      <c r="AH196">
        <f>IF(COUNTIFS(monthly!Z:Z,"",monthly!$A:$A,"&gt;="&amp;$A196,monthly!$B:$B,"&lt;="&amp;$B196)&gt;0,"NA",AVERAGEIFS(monthly!Z:Z,monthly!$A:$A,"&gt;="&amp;$A196,monthly!$B:$B,"&lt;="&amp;$B196))</f>
        <v>8.3845523496468857E-2</v>
      </c>
    </row>
    <row r="197" spans="1:34" x14ac:dyDescent="0.2">
      <c r="A197" s="1">
        <v>43374</v>
      </c>
      <c r="B197" s="1">
        <v>43465</v>
      </c>
      <c r="C197">
        <f>IF(ISBLANK(VLOOKUP($A197,quarterly_data,MATCH(C$1,quarterly!$1:$1,FALSE),FALSE)),"NA",VLOOKUP($A197,quarterly_data,MATCH(C$1,quarterly!$1:$1,FALSE),FALSE))</f>
        <v>134.27027717069117</v>
      </c>
      <c r="D197">
        <f>IF(ISBLANK(VLOOKUP($A197,quarterly_data,MATCH(D$1,quarterly!$1:$1,FALSE),FALSE)),"NA",VLOOKUP($A197,quarterly_data,MATCH(D$1,quarterly!$1:$1,FALSE),FALSE))</f>
        <v>85.1</v>
      </c>
      <c r="E197">
        <f>IF(ISBLANK(VLOOKUP($A197,quarterly_data,MATCH(E$1,quarterly!$1:$1,FALSE),FALSE)),"NA",VLOOKUP($A197,quarterly_data,MATCH(E$1,quarterly!$1:$1,FALSE),FALSE))</f>
        <v>0.23766139999999999</v>
      </c>
      <c r="F197">
        <f>IF(ISBLANK(VLOOKUP($A197,quarterly_data,MATCH(F$1,quarterly!$1:$1,FALSE),FALSE)),"NA",VLOOKUP($A197,quarterly_data,MATCH(F$1,quarterly!$1:$1,FALSE),FALSE))</f>
        <v>7.1959800000000004E-2</v>
      </c>
      <c r="G197">
        <f>IF(ISBLANK(VLOOKUP($A197,quarterly_data,MATCH(G$1,quarterly!$1:$1,FALSE),FALSE)),"NA",VLOOKUP($A197,quarterly_data,MATCH(G$1,quarterly!$1:$1,FALSE),FALSE))</f>
        <v>20304.874</v>
      </c>
      <c r="H197">
        <f>IF(ISBLANK(VLOOKUP($A197,quarterly_data,MATCH(H$1,quarterly!$1:$1,FALSE),FALSE)),"NA",VLOOKUP($A197,quarterly_data,MATCH(H$1,quarterly!$1:$1,FALSE),FALSE))</f>
        <v>598406</v>
      </c>
      <c r="I197">
        <f>IF(ISBLANK(VLOOKUP($A197,quarterly_data,MATCH(I$1,quarterly!$1:$1,FALSE),FALSE)),"NA",VLOOKUP($A197,quarterly_data,MATCH(I$1,quarterly!$1:$1,FALSE),FALSE))</f>
        <v>0.5</v>
      </c>
      <c r="J197">
        <f>IF(ISBLANK(VLOOKUP($A197,quarterly_data,MATCH(J$1,quarterly!$1:$1,FALSE),FALSE)),"NA",VLOOKUP($A197,quarterly_data,MATCH(J$1,quarterly!$1:$1,FALSE),FALSE))</f>
        <v>79.239999999999995</v>
      </c>
      <c r="K197">
        <f>IF(COUNTIFS(monthly!C:C,"",monthly!$A:$A,"&gt;="&amp;$A197,monthly!$B:$B,"&lt;="&amp;$B197)&gt;0,"NA",AVERAGEIFS(monthly!C:C,monthly!$A:$A,"&gt;="&amp;$A197,monthly!$B:$B,"&lt;="&amp;$B197))</f>
        <v>61.966666666666661</v>
      </c>
      <c r="L197">
        <f>IF(COUNTIFS(monthly!D:D,"",monthly!$A:$A,"&gt;="&amp;$A197,monthly!$B:$B,"&lt;="&amp;$B197)&gt;0,"NA",AVERAGEIFS(monthly!D:D,monthly!$A:$A,"&gt;="&amp;$A197,monthly!$B:$B,"&lt;="&amp;$B197))</f>
        <v>0.71530000000000005</v>
      </c>
      <c r="M197">
        <f>IF(COUNTIFS(monthly!E:E,"",monthly!$A:$A,"&gt;="&amp;$A197,monthly!$B:$B,"&lt;="&amp;$B197)&gt;0,"NA",AVERAGEIFS(monthly!E:E,monthly!$A:$A,"&gt;="&amp;$A197,monthly!$B:$B,"&lt;="&amp;$B197))</f>
        <v>79.781612818625035</v>
      </c>
      <c r="N197">
        <f>IF(COUNTIFS(monthly!F:F,"",monthly!$A:$A,"&gt;="&amp;$A197,monthly!$B:$B,"&lt;="&amp;$B197)&gt;0,"NA",AVERAGEIFS(monthly!F:F,monthly!$A:$A,"&gt;="&amp;$A197,monthly!$B:$B,"&lt;="&amp;$B197))</f>
        <v>81.865729392913138</v>
      </c>
      <c r="O197">
        <f>IF(COUNTIFS(monthly!G:G,"",monthly!$A:$A,"&gt;="&amp;$A197,monthly!$B:$B,"&lt;="&amp;$B197)&gt;0,"NA",AVERAGEIFS(monthly!G:G,monthly!$A:$A,"&gt;="&amp;$A197,monthly!$B:$B,"&lt;="&amp;$B197))</f>
        <v>71.966666666666654</v>
      </c>
      <c r="P197">
        <f>IF(COUNTIFS(monthly!H:H,"",monthly!$A:$A,"&gt;="&amp;$A197,monthly!$B:$B,"&lt;="&amp;$B197)&gt;0,"NA",AVERAGEIFS(monthly!H:H,monthly!$A:$A,"&gt;="&amp;$A197,monthly!$B:$B,"&lt;="&amp;$B197))</f>
        <v>103.60000000000001</v>
      </c>
      <c r="Q197">
        <f>IF(COUNTIFS(monthly!I:I,"",monthly!$A:$A,"&gt;="&amp;$A197,monthly!$B:$B,"&lt;="&amp;$B197)&gt;0,"NA",AVERAGEIFS(monthly!I:I,monthly!$A:$A,"&gt;="&amp;$A197,monthly!$B:$B,"&lt;="&amp;$B197))</f>
        <v>67.399999999999991</v>
      </c>
      <c r="R197">
        <f>IF(COUNTIFS(monthly!J:J,"",monthly!$A:$A,"&gt;="&amp;$A197,monthly!$B:$B,"&lt;="&amp;$B197)&gt;0,"NA",AVERAGEIFS(monthly!J:J,monthly!$A:$A,"&gt;="&amp;$A197,monthly!$B:$B,"&lt;="&amp;$B197))</f>
        <v>11.786666666666667</v>
      </c>
      <c r="S197">
        <f>IF(COUNTIFS(monthly!K:K,"",monthly!$A:$A,"&gt;="&amp;$A197,monthly!$B:$B,"&lt;="&amp;$B197)&gt;0,"NA",AVERAGEIFS(monthly!K:K,monthly!$A:$A,"&gt;="&amp;$A197,monthly!$B:$B,"&lt;="&amp;$B197))</f>
        <v>1.5</v>
      </c>
      <c r="T197">
        <f>IF(COUNTIFS(monthly!L:L,"",monthly!$A:$A,"&gt;="&amp;$A197,monthly!$B:$B,"&lt;="&amp;$B197)&gt;0,"NA",AVERAGEIFS(monthly!L:L,monthly!$A:$A,"&gt;="&amp;$A197,monthly!$B:$B,"&lt;="&amp;$B197))</f>
        <v>2.2198673835125455</v>
      </c>
      <c r="U197">
        <f>IF(COUNTIFS(monthly!M:M,"",monthly!$A:$A,"&gt;="&amp;$A197,monthly!$B:$B,"&lt;="&amp;$B197)&gt;0,"NA",AVERAGEIFS(monthly!M:M,monthly!$A:$A,"&gt;="&amp;$A197,monthly!$B:$B,"&lt;="&amp;$B197))</f>
        <v>-0.71986738351254553</v>
      </c>
      <c r="V197">
        <f>IF(COUNTIFS(monthly!N:N,"",monthly!$A:$A,"&gt;="&amp;$A197,monthly!$B:$B,"&lt;="&amp;$B197)&gt;0,"NA",AVERAGEIFS(monthly!N:N,monthly!$A:$A,"&gt;="&amp;$A197,monthly!$B:$B,"&lt;="&amp;$B197))</f>
        <v>1.9950000000000001</v>
      </c>
      <c r="W197">
        <f>IF(COUNTIFS(monthly!O:O,"",monthly!$A:$A,"&gt;="&amp;$A197,monthly!$B:$B,"&lt;="&amp;$B197)&gt;0,"NA",AVERAGEIFS(monthly!O:O,monthly!$A:$A,"&gt;="&amp;$A197,monthly!$B:$B,"&lt;="&amp;$B197))</f>
        <v>2.7987416267942584</v>
      </c>
      <c r="X197">
        <f>IF(COUNTIFS(monthly!P:P,"",monthly!$A:$A,"&gt;="&amp;$A197,monthly!$B:$B,"&lt;="&amp;$B197)&gt;0,"NA",AVERAGEIFS(monthly!P:P,monthly!$A:$A,"&gt;="&amp;$A197,monthly!$B:$B,"&lt;="&amp;$B197))</f>
        <v>-0.80374162679425876</v>
      </c>
      <c r="Y197">
        <f>IF(COUNTIFS(monthly!Q:Q,"",monthly!$A:$A,"&gt;="&amp;$A197,monthly!$B:$B,"&lt;="&amp;$B197)&gt;0,"NA",AVERAGEIFS(monthly!Q:Q,monthly!$A:$A,"&gt;="&amp;$A197,monthly!$B:$B,"&lt;="&amp;$B197))</f>
        <v>2.5986666666666669</v>
      </c>
      <c r="Z197">
        <f>IF(COUNTIFS(monthly!R:R,"",monthly!$A:$A,"&gt;="&amp;$A197,monthly!$B:$B,"&lt;="&amp;$B197)&gt;0,"NA",AVERAGEIFS(monthly!R:R,monthly!$A:$A,"&gt;="&amp;$A197,monthly!$B:$B,"&lt;="&amp;$B197))</f>
        <v>3.033968102073366</v>
      </c>
      <c r="AA197">
        <f>IF(COUNTIFS(monthly!S:S,"",monthly!$A:$A,"&gt;="&amp;$A197,monthly!$B:$B,"&lt;="&amp;$B197)&gt;0,"NA",AVERAGEIFS(monthly!S:S,monthly!$A:$A,"&gt;="&amp;$A197,monthly!$B:$B,"&lt;="&amp;$B197))</f>
        <v>-0.43530143540669908</v>
      </c>
      <c r="AB197">
        <f>IF(COUNTIFS(monthly!T:T,"",monthly!$A:$A,"&gt;="&amp;$A197,monthly!$B:$B,"&lt;="&amp;$B197)&gt;0,"NA",AVERAGEIFS(monthly!T:T,monthly!$A:$A,"&gt;="&amp;$A197,monthly!$B:$B,"&lt;="&amp;$B197))</f>
        <v>21.231459808942645</v>
      </c>
      <c r="AC197">
        <f>IF(COUNTIFS(monthly!U:U,"",monthly!$A:$A,"&gt;="&amp;$A197,monthly!$B:$B,"&lt;="&amp;$B197)&gt;0,"NA",AVERAGEIFS(monthly!U:U,monthly!$A:$A,"&gt;="&amp;$A197,monthly!$B:$B,"&lt;="&amp;$B197))</f>
        <v>225.05196123725818</v>
      </c>
      <c r="AD197">
        <f>IF(COUNTIFS(monthly!V:V,"",monthly!$A:$A,"&gt;="&amp;$A197,monthly!$B:$B,"&lt;="&amp;$B197)&gt;0,"NA",AVERAGEIFS(monthly!V:V,monthly!$A:$A,"&gt;="&amp;$A197,monthly!$B:$B,"&lt;="&amp;$B197))</f>
        <v>91.695577320801206</v>
      </c>
      <c r="AE197">
        <f>IF(COUNTIFS(monthly!W:W,"",monthly!$A:$A,"&gt;="&amp;$A197,monthly!$B:$B,"&lt;="&amp;$B197)&gt;0,"NA",AVERAGEIFS(monthly!W:W,monthly!$A:$A,"&gt;="&amp;$A197,monthly!$B:$B,"&lt;="&amp;$B197))</f>
        <v>87.677243550618485</v>
      </c>
      <c r="AF197">
        <f>IF(COUNTIFS(monthly!X:X,"",monthly!$A:$A,"&gt;="&amp;$A197,monthly!$B:$B,"&lt;="&amp;$B197)&gt;0,"NA",AVERAGEIFS(monthly!X:X,monthly!$A:$A,"&gt;="&amp;$A197,monthly!$B:$B,"&lt;="&amp;$B197))</f>
        <v>108.81390126546223</v>
      </c>
      <c r="AG197">
        <f>IF(COUNTIFS(monthly!Y:Y,"",monthly!$A:$A,"&gt;="&amp;$A197,monthly!$B:$B,"&lt;="&amp;$B197)&gt;0,"NA",AVERAGEIFS(monthly!Y:Y,monthly!$A:$A,"&gt;="&amp;$A197,monthly!$B:$B,"&lt;="&amp;$B197))</f>
        <v>58.264523824055992</v>
      </c>
      <c r="AH197">
        <f>IF(COUNTIFS(monthly!Z:Z,"",monthly!$A:$A,"&gt;="&amp;$A197,monthly!$B:$B,"&lt;="&amp;$B197)&gt;0,"NA",AVERAGEIFS(monthly!Z:Z,monthly!$A:$A,"&gt;="&amp;$A197,monthly!$B:$B,"&lt;="&amp;$B197))</f>
        <v>0.10929754128058751</v>
      </c>
    </row>
    <row r="198" spans="1:34" x14ac:dyDescent="0.2">
      <c r="A198" s="1">
        <v>43466</v>
      </c>
      <c r="B198" s="1">
        <v>43555</v>
      </c>
      <c r="C198">
        <f>IF(ISBLANK(VLOOKUP($A198,quarterly_data,MATCH(C$1,quarterly!$1:$1,FALSE),FALSE)),"NA",VLOOKUP($A198,quarterly_data,MATCH(C$1,quarterly!$1:$1,FALSE),FALSE))</f>
        <v>131.16969567731013</v>
      </c>
      <c r="D198">
        <f>IF(ISBLANK(VLOOKUP($A198,quarterly_data,MATCH(D$1,quarterly!$1:$1,FALSE),FALSE)),"NA",VLOOKUP($A198,quarterly_data,MATCH(D$1,quarterly!$1:$1,FALSE),FALSE))</f>
        <v>86.1</v>
      </c>
      <c r="E198">
        <f>IF(ISBLANK(VLOOKUP($A198,quarterly_data,MATCH(E$1,quarterly!$1:$1,FALSE),FALSE)),"NA",VLOOKUP($A198,quarterly_data,MATCH(E$1,quarterly!$1:$1,FALSE),FALSE))</f>
        <v>0.14846709999999999</v>
      </c>
      <c r="F198">
        <f>IF(ISBLANK(VLOOKUP($A198,quarterly_data,MATCH(F$1,quarterly!$1:$1,FALSE),FALSE)),"NA",VLOOKUP($A198,quarterly_data,MATCH(F$1,quarterly!$1:$1,FALSE),FALSE))</f>
        <v>6.0733299999999997E-2</v>
      </c>
      <c r="G198">
        <f>IF(ISBLANK(VLOOKUP($A198,quarterly_data,MATCH(G$1,quarterly!$1:$1,FALSE),FALSE)),"NA",VLOOKUP($A198,quarterly_data,MATCH(G$1,quarterly!$1:$1,FALSE),FALSE))</f>
        <v>20431.641</v>
      </c>
      <c r="H198">
        <f>IF(ISBLANK(VLOOKUP($A198,quarterly_data,MATCH(H$1,quarterly!$1:$1,FALSE),FALSE)),"NA",VLOOKUP($A198,quarterly_data,MATCH(H$1,quarterly!$1:$1,FALSE),FALSE))</f>
        <v>603121</v>
      </c>
      <c r="I198">
        <f>IF(ISBLANK(VLOOKUP($A198,quarterly_data,MATCH(I$1,quarterly!$1:$1,FALSE),FALSE)),"NA",VLOOKUP($A198,quarterly_data,MATCH(I$1,quarterly!$1:$1,FALSE),FALSE))</f>
        <v>0.3</v>
      </c>
      <c r="J198">
        <f>IF(ISBLANK(VLOOKUP($A198,quarterly_data,MATCH(J$1,quarterly!$1:$1,FALSE),FALSE)),"NA",VLOOKUP($A198,quarterly_data,MATCH(J$1,quarterly!$1:$1,FALSE),FALSE))</f>
        <v>79.23</v>
      </c>
      <c r="K198">
        <f>IF(COUNTIFS(monthly!C:C,"",monthly!$A:$A,"&gt;="&amp;$A198,monthly!$B:$B,"&lt;="&amp;$B198)&gt;0,"NA",AVERAGEIFS(monthly!C:C,monthly!$A:$A,"&gt;="&amp;$A198,monthly!$B:$B,"&lt;="&amp;$B198))</f>
        <v>60.933333333333337</v>
      </c>
      <c r="L198">
        <f>IF(COUNTIFS(monthly!D:D,"",monthly!$A:$A,"&gt;="&amp;$A198,monthly!$B:$B,"&lt;="&amp;$B198)&gt;0,"NA",AVERAGEIFS(monthly!D:D,monthly!$A:$A,"&gt;="&amp;$A198,monthly!$B:$B,"&lt;="&amp;$B198))</f>
        <v>0.7167</v>
      </c>
      <c r="M198">
        <f>IF(COUNTIFS(monthly!E:E,"",monthly!$A:$A,"&gt;="&amp;$A198,monthly!$B:$B,"&lt;="&amp;$B198)&gt;0,"NA",AVERAGEIFS(monthly!E:E,monthly!$A:$A,"&gt;="&amp;$A198,monthly!$B:$B,"&lt;="&amp;$B198))</f>
        <v>82.680551975798764</v>
      </c>
      <c r="N198">
        <f>IF(COUNTIFS(monthly!F:F,"",monthly!$A:$A,"&gt;="&amp;$A198,monthly!$B:$B,"&lt;="&amp;$B198)&gt;0,"NA",AVERAGEIFS(monthly!F:F,monthly!$A:$A,"&gt;="&amp;$A198,monthly!$B:$B,"&lt;="&amp;$B198))</f>
        <v>83.767294426399772</v>
      </c>
      <c r="O198">
        <f>IF(COUNTIFS(monthly!G:G,"",monthly!$A:$A,"&gt;="&amp;$A198,monthly!$B:$B,"&lt;="&amp;$B198)&gt;0,"NA",AVERAGEIFS(monthly!G:G,monthly!$A:$A,"&gt;="&amp;$A198,monthly!$B:$B,"&lt;="&amp;$B198))</f>
        <v>83.63333333333334</v>
      </c>
      <c r="P198">
        <f>IF(COUNTIFS(monthly!H:H,"",monthly!$A:$A,"&gt;="&amp;$A198,monthly!$B:$B,"&lt;="&amp;$B198)&gt;0,"NA",AVERAGEIFS(monthly!H:H,monthly!$A:$A,"&gt;="&amp;$A198,monthly!$B:$B,"&lt;="&amp;$B198))</f>
        <v>95.7</v>
      </c>
      <c r="Q198">
        <f>IF(COUNTIFS(monthly!I:I,"",monthly!$A:$A,"&gt;="&amp;$A198,monthly!$B:$B,"&lt;="&amp;$B198)&gt;0,"NA",AVERAGEIFS(monthly!I:I,monthly!$A:$A,"&gt;="&amp;$A198,monthly!$B:$B,"&lt;="&amp;$B198))</f>
        <v>63.266666666666673</v>
      </c>
      <c r="R198">
        <f>IF(COUNTIFS(monthly!J:J,"",monthly!$A:$A,"&gt;="&amp;$A198,monthly!$B:$B,"&lt;="&amp;$B198)&gt;0,"NA",AVERAGEIFS(monthly!J:J,monthly!$A:$A,"&gt;="&amp;$A198,monthly!$B:$B,"&lt;="&amp;$B198))</f>
        <v>11.703333333333333</v>
      </c>
      <c r="S198">
        <f>IF(COUNTIFS(monthly!K:K,"",monthly!$A:$A,"&gt;="&amp;$A198,monthly!$B:$B,"&lt;="&amp;$B198)&gt;0,"NA",AVERAGEIFS(monthly!K:K,monthly!$A:$A,"&gt;="&amp;$A198,monthly!$B:$B,"&lt;="&amp;$B198))</f>
        <v>1.5</v>
      </c>
      <c r="T198">
        <f>IF(COUNTIFS(monthly!L:L,"",monthly!$A:$A,"&gt;="&amp;$A198,monthly!$B:$B,"&lt;="&amp;$B198)&gt;0,"NA",AVERAGEIFS(monthly!L:L,monthly!$A:$A,"&gt;="&amp;$A198,monthly!$B:$B,"&lt;="&amp;$B198))</f>
        <v>2.401720430107527</v>
      </c>
      <c r="U198">
        <f>IF(COUNTIFS(monthly!M:M,"",monthly!$A:$A,"&gt;="&amp;$A198,monthly!$B:$B,"&lt;="&amp;$B198)&gt;0,"NA",AVERAGEIFS(monthly!M:M,monthly!$A:$A,"&gt;="&amp;$A198,monthly!$B:$B,"&lt;="&amp;$B198))</f>
        <v>-0.90172043010752667</v>
      </c>
      <c r="V198">
        <f>IF(COUNTIFS(monthly!N:N,"",monthly!$A:$A,"&gt;="&amp;$A198,monthly!$B:$B,"&lt;="&amp;$B198)&gt;0,"NA",AVERAGEIFS(monthly!N:N,monthly!$A:$A,"&gt;="&amp;$A198,monthly!$B:$B,"&lt;="&amp;$B198))</f>
        <v>1.7256666666666665</v>
      </c>
      <c r="W198">
        <f>IF(COUNTIFS(monthly!O:O,"",monthly!$A:$A,"&gt;="&amp;$A198,monthly!$B:$B,"&lt;="&amp;$B198)&gt;0,"NA",AVERAGEIFS(monthly!O:O,monthly!$A:$A,"&gt;="&amp;$A198,monthly!$B:$B,"&lt;="&amp;$B198))</f>
        <v>2.4856892230576442</v>
      </c>
      <c r="X198">
        <f>IF(COUNTIFS(monthly!P:P,"",monthly!$A:$A,"&gt;="&amp;$A198,monthly!$B:$B,"&lt;="&amp;$B198)&gt;0,"NA",AVERAGEIFS(monthly!P:P,monthly!$A:$A,"&gt;="&amp;$A198,monthly!$B:$B,"&lt;="&amp;$B198))</f>
        <v>-0.76002255639097749</v>
      </c>
      <c r="Y198">
        <f>IF(COUNTIFS(monthly!Q:Q,"",monthly!$A:$A,"&gt;="&amp;$A198,monthly!$B:$B,"&lt;="&amp;$B198)&gt;0,"NA",AVERAGEIFS(monthly!Q:Q,monthly!$A:$A,"&gt;="&amp;$A198,monthly!$B:$B,"&lt;="&amp;$B198))</f>
        <v>2.1179999999999999</v>
      </c>
      <c r="Z198">
        <f>IF(COUNTIFS(monthly!R:R,"",monthly!$A:$A,"&gt;="&amp;$A198,monthly!$B:$B,"&lt;="&amp;$B198)&gt;0,"NA",AVERAGEIFS(monthly!R:R,monthly!$A:$A,"&gt;="&amp;$A198,monthly!$B:$B,"&lt;="&amp;$B198))</f>
        <v>2.6536925647451963</v>
      </c>
      <c r="AA198">
        <f>IF(COUNTIFS(monthly!S:S,"",monthly!$A:$A,"&gt;="&amp;$A198,monthly!$B:$B,"&lt;="&amp;$B198)&gt;0,"NA",AVERAGEIFS(monthly!S:S,monthly!$A:$A,"&gt;="&amp;$A198,monthly!$B:$B,"&lt;="&amp;$B198))</f>
        <v>-0.53569256474519633</v>
      </c>
      <c r="AB198">
        <f>IF(COUNTIFS(monthly!T:T,"",monthly!$A:$A,"&gt;="&amp;$A198,monthly!$B:$B,"&lt;="&amp;$B198)&gt;0,"NA",AVERAGEIFS(monthly!T:T,monthly!$A:$A,"&gt;="&amp;$A198,monthly!$B:$B,"&lt;="&amp;$B198))</f>
        <v>16.430785296574768</v>
      </c>
      <c r="AC198">
        <f>IF(COUNTIFS(monthly!U:U,"",monthly!$A:$A,"&gt;="&amp;$A198,monthly!$B:$B,"&lt;="&amp;$B198)&gt;0,"NA",AVERAGEIFS(monthly!U:U,monthly!$A:$A,"&gt;="&amp;$A198,monthly!$B:$B,"&lt;="&amp;$B198))</f>
        <v>217.37760540357735</v>
      </c>
      <c r="AD198">
        <f>IF(COUNTIFS(monthly!V:V,"",monthly!$A:$A,"&gt;="&amp;$A198,monthly!$B:$B,"&lt;="&amp;$B198)&gt;0,"NA",AVERAGEIFS(monthly!V:V,monthly!$A:$A,"&gt;="&amp;$A198,monthly!$B:$B,"&lt;="&amp;$B198))</f>
        <v>117.19146655699183</v>
      </c>
      <c r="AE198">
        <f>IF(COUNTIFS(monthly!W:W,"",monthly!$A:$A,"&gt;="&amp;$A198,monthly!$B:$B,"&lt;="&amp;$B198)&gt;0,"NA",AVERAGEIFS(monthly!W:W,monthly!$A:$A,"&gt;="&amp;$A198,monthly!$B:$B,"&lt;="&amp;$B198))</f>
        <v>88.850852966308594</v>
      </c>
      <c r="AF198">
        <f>IF(COUNTIFS(monthly!X:X,"",monthly!$A:$A,"&gt;="&amp;$A198,monthly!$B:$B,"&lt;="&amp;$B198)&gt;0,"NA",AVERAGEIFS(monthly!X:X,monthly!$A:$A,"&gt;="&amp;$A198,monthly!$B:$B,"&lt;="&amp;$B198))</f>
        <v>110.54249064127605</v>
      </c>
      <c r="AG198">
        <f>IF(COUNTIFS(monthly!Y:Y,"",monthly!$A:$A,"&gt;="&amp;$A198,monthly!$B:$B,"&lt;="&amp;$B198)&gt;0,"NA",AVERAGEIFS(monthly!Y:Y,monthly!$A:$A,"&gt;="&amp;$A198,monthly!$B:$B,"&lt;="&amp;$B198))</f>
        <v>59.962137858072914</v>
      </c>
      <c r="AH198">
        <f>IF(COUNTIFS(monthly!Z:Z,"",monthly!$A:$A,"&gt;="&amp;$A198,monthly!$B:$B,"&lt;="&amp;$B198)&gt;0,"NA",AVERAGEIFS(monthly!Z:Z,monthly!$A:$A,"&gt;="&amp;$A198,monthly!$B:$B,"&lt;="&amp;$B198))</f>
        <v>0.13557155678669611</v>
      </c>
    </row>
    <row r="199" spans="1:34" x14ac:dyDescent="0.2">
      <c r="A199" s="1">
        <v>43556</v>
      </c>
      <c r="B199" s="1">
        <v>43646</v>
      </c>
      <c r="C199">
        <f>IF(ISBLANK(VLOOKUP($A199,quarterly_data,MATCH(C$1,quarterly!$1:$1,FALSE),FALSE)),"NA",VLOOKUP($A199,quarterly_data,MATCH(C$1,quarterly!$1:$1,FALSE),FALSE))</f>
        <v>130.11626275303917</v>
      </c>
      <c r="D199">
        <f>IF(ISBLANK(VLOOKUP($A199,quarterly_data,MATCH(D$1,quarterly!$1:$1,FALSE),FALSE)),"NA",VLOOKUP($A199,quarterly_data,MATCH(D$1,quarterly!$1:$1,FALSE),FALSE))</f>
        <v>89</v>
      </c>
      <c r="E199">
        <f>IF(ISBLANK(VLOOKUP($A199,quarterly_data,MATCH(E$1,quarterly!$1:$1,FALSE),FALSE)),"NA",VLOOKUP($A199,quarterly_data,MATCH(E$1,quarterly!$1:$1,FALSE),FALSE))</f>
        <v>0.39590900000000001</v>
      </c>
      <c r="F199">
        <f>IF(ISBLANK(VLOOKUP($A199,quarterly_data,MATCH(F$1,quarterly!$1:$1,FALSE),FALSE)),"NA",VLOOKUP($A199,quarterly_data,MATCH(F$1,quarterly!$1:$1,FALSE),FALSE))</f>
        <v>0.1019505</v>
      </c>
      <c r="G199">
        <f>IF(ISBLANK(VLOOKUP($A199,quarterly_data,MATCH(G$1,quarterly!$1:$1,FALSE),FALSE)),"NA",VLOOKUP($A199,quarterly_data,MATCH(G$1,quarterly!$1:$1,FALSE),FALSE))</f>
        <v>20602.275000000001</v>
      </c>
      <c r="H199">
        <f>IF(ISBLANK(VLOOKUP($A199,quarterly_data,MATCH(H$1,quarterly!$1:$1,FALSE),FALSE)),"NA",VLOOKUP($A199,quarterly_data,MATCH(H$1,quarterly!$1:$1,FALSE),FALSE))</f>
        <v>604669</v>
      </c>
      <c r="I199">
        <f>IF(ISBLANK(VLOOKUP($A199,quarterly_data,MATCH(I$1,quarterly!$1:$1,FALSE),FALSE)),"NA",VLOOKUP($A199,quarterly_data,MATCH(I$1,quarterly!$1:$1,FALSE),FALSE))</f>
        <v>0.4</v>
      </c>
      <c r="J199">
        <f>IF(ISBLANK(VLOOKUP($A199,quarterly_data,MATCH(J$1,quarterly!$1:$1,FALSE),FALSE)),"NA",VLOOKUP($A199,quarterly_data,MATCH(J$1,quarterly!$1:$1,FALSE),FALSE))</f>
        <v>79.7</v>
      </c>
      <c r="K199">
        <f>IF(COUNTIFS(monthly!C:C,"",monthly!$A:$A,"&gt;="&amp;$A199,monthly!$B:$B,"&lt;="&amp;$B199)&gt;0,"NA",AVERAGEIFS(monthly!C:C,monthly!$A:$A,"&gt;="&amp;$A199,monthly!$B:$B,"&lt;="&amp;$B199))</f>
        <v>60.199999999999996</v>
      </c>
      <c r="L199">
        <f>IF(COUNTIFS(monthly!D:D,"",monthly!$A:$A,"&gt;="&amp;$A199,monthly!$B:$B,"&lt;="&amp;$B199)&gt;0,"NA",AVERAGEIFS(monthly!D:D,monthly!$A:$A,"&gt;="&amp;$A199,monthly!$B:$B,"&lt;="&amp;$B199))</f>
        <v>0.6989333333333333</v>
      </c>
      <c r="M199">
        <f>IF(COUNTIFS(monthly!E:E,"",monthly!$A:$A,"&gt;="&amp;$A199,monthly!$B:$B,"&lt;="&amp;$B199)&gt;0,"NA",AVERAGEIFS(monthly!E:E,monthly!$A:$A,"&gt;="&amp;$A199,monthly!$B:$B,"&lt;="&amp;$B199))</f>
        <v>83.852908559532864</v>
      </c>
      <c r="N199">
        <f>IF(COUNTIFS(monthly!F:F,"",monthly!$A:$A,"&gt;="&amp;$A199,monthly!$B:$B,"&lt;="&amp;$B199)&gt;0,"NA",AVERAGEIFS(monthly!F:F,monthly!$A:$A,"&gt;="&amp;$A199,monthly!$B:$B,"&lt;="&amp;$B199))</f>
        <v>84.800840125276025</v>
      </c>
      <c r="O199">
        <f>IF(COUNTIFS(monthly!G:G,"",monthly!$A:$A,"&gt;="&amp;$A199,monthly!$B:$B,"&lt;="&amp;$B199)&gt;0,"NA",AVERAGEIFS(monthly!G:G,monthly!$A:$A,"&gt;="&amp;$A199,monthly!$B:$B,"&lt;="&amp;$B199))</f>
        <v>100.93333333333334</v>
      </c>
      <c r="P199">
        <f>IF(COUNTIFS(monthly!H:H,"",monthly!$A:$A,"&gt;="&amp;$A199,monthly!$B:$B,"&lt;="&amp;$B199)&gt;0,"NA",AVERAGEIFS(monthly!H:H,monthly!$A:$A,"&gt;="&amp;$A199,monthly!$B:$B,"&lt;="&amp;$B199))</f>
        <v>80.533333333333331</v>
      </c>
      <c r="Q199">
        <f>IF(COUNTIFS(monthly!I:I,"",monthly!$A:$A,"&gt;="&amp;$A199,monthly!$B:$B,"&lt;="&amp;$B199)&gt;0,"NA",AVERAGEIFS(monthly!I:I,monthly!$A:$A,"&gt;="&amp;$A199,monthly!$B:$B,"&lt;="&amp;$B199))</f>
        <v>68.333333333333329</v>
      </c>
      <c r="R199">
        <f>IF(COUNTIFS(monthly!J:J,"",monthly!$A:$A,"&gt;="&amp;$A199,monthly!$B:$B,"&lt;="&amp;$B199)&gt;0,"NA",AVERAGEIFS(monthly!J:J,monthly!$A:$A,"&gt;="&amp;$A199,monthly!$B:$B,"&lt;="&amp;$B199))</f>
        <v>10.153333333333334</v>
      </c>
      <c r="S199">
        <f>IF(COUNTIFS(monthly!K:K,"",monthly!$A:$A,"&gt;="&amp;$A199,monthly!$B:$B,"&lt;="&amp;$B199)&gt;0,"NA",AVERAGEIFS(monthly!K:K,monthly!$A:$A,"&gt;="&amp;$A199,monthly!$B:$B,"&lt;="&amp;$B199))</f>
        <v>1.4266666666666667</v>
      </c>
      <c r="T199">
        <f>IF(COUNTIFS(monthly!L:L,"",monthly!$A:$A,"&gt;="&amp;$A199,monthly!$B:$B,"&lt;="&amp;$B199)&gt;0,"NA",AVERAGEIFS(monthly!L:L,monthly!$A:$A,"&gt;="&amp;$A199,monthly!$B:$B,"&lt;="&amp;$B199))</f>
        <v>2.3974336917562731</v>
      </c>
      <c r="U199">
        <f>IF(COUNTIFS(monthly!M:M,"",monthly!$A:$A,"&gt;="&amp;$A199,monthly!$B:$B,"&lt;="&amp;$B199)&gt;0,"NA",AVERAGEIFS(monthly!M:M,monthly!$A:$A,"&gt;="&amp;$A199,monthly!$B:$B,"&lt;="&amp;$B199))</f>
        <v>-0.97076702508960633</v>
      </c>
      <c r="V199">
        <f>IF(COUNTIFS(monthly!N:N,"",monthly!$A:$A,"&gt;="&amp;$A199,monthly!$B:$B,"&lt;="&amp;$B199)&gt;0,"NA",AVERAGEIFS(monthly!N:N,monthly!$A:$A,"&gt;="&amp;$A199,monthly!$B:$B,"&lt;="&amp;$B199))</f>
        <v>1.2333333333333334</v>
      </c>
      <c r="W199">
        <f>IF(COUNTIFS(monthly!O:O,"",monthly!$A:$A,"&gt;="&amp;$A199,monthly!$B:$B,"&lt;="&amp;$B199)&gt;0,"NA",AVERAGEIFS(monthly!O:O,monthly!$A:$A,"&gt;="&amp;$A199,monthly!$B:$B,"&lt;="&amp;$B199))</f>
        <v>2.1217085137085134</v>
      </c>
      <c r="X199">
        <f>IF(COUNTIFS(monthly!P:P,"",monthly!$A:$A,"&gt;="&amp;$A199,monthly!$B:$B,"&lt;="&amp;$B199)&gt;0,"NA",AVERAGEIFS(monthly!P:P,monthly!$A:$A,"&gt;="&amp;$A199,monthly!$B:$B,"&lt;="&amp;$B199))</f>
        <v>-0.88837518037518015</v>
      </c>
      <c r="Y199">
        <f>IF(COUNTIFS(monthly!Q:Q,"",monthly!$A:$A,"&gt;="&amp;$A199,monthly!$B:$B,"&lt;="&amp;$B199)&gt;0,"NA",AVERAGEIFS(monthly!Q:Q,monthly!$A:$A,"&gt;="&amp;$A199,monthly!$B:$B,"&lt;="&amp;$B199))</f>
        <v>1.6353333333333333</v>
      </c>
      <c r="Z199">
        <f>IF(COUNTIFS(monthly!R:R,"",monthly!$A:$A,"&gt;="&amp;$A199,monthly!$B:$B,"&lt;="&amp;$B199)&gt;0,"NA",AVERAGEIFS(monthly!R:R,monthly!$A:$A,"&gt;="&amp;$A199,monthly!$B:$B,"&lt;="&amp;$B199))</f>
        <v>2.3337936507936505</v>
      </c>
      <c r="AA199">
        <f>IF(COUNTIFS(monthly!S:S,"",monthly!$A:$A,"&gt;="&amp;$A199,monthly!$B:$B,"&lt;="&amp;$B199)&gt;0,"NA",AVERAGEIFS(monthly!S:S,monthly!$A:$A,"&gt;="&amp;$A199,monthly!$B:$B,"&lt;="&amp;$B199))</f>
        <v>-0.69846031746031745</v>
      </c>
      <c r="AB199">
        <f>IF(COUNTIFS(monthly!T:T,"",monthly!$A:$A,"&gt;="&amp;$A199,monthly!$B:$B,"&lt;="&amp;$B199)&gt;0,"NA",AVERAGEIFS(monthly!T:T,monthly!$A:$A,"&gt;="&amp;$A199,monthly!$B:$B,"&lt;="&amp;$B199))</f>
        <v>15.168955266955265</v>
      </c>
      <c r="AC199">
        <f>IF(COUNTIFS(monthly!U:U,"",monthly!$A:$A,"&gt;="&amp;$A199,monthly!$B:$B,"&lt;="&amp;$B199)&gt;0,"NA",AVERAGEIFS(monthly!U:U,monthly!$A:$A,"&gt;="&amp;$A199,monthly!$B:$B,"&lt;="&amp;$B199))</f>
        <v>242.33480810712749</v>
      </c>
      <c r="AD199">
        <f>IF(COUNTIFS(monthly!V:V,"",monthly!$A:$A,"&gt;="&amp;$A199,monthly!$B:$B,"&lt;="&amp;$B199)&gt;0,"NA",AVERAGEIFS(monthly!V:V,monthly!$A:$A,"&gt;="&amp;$A199,monthly!$B:$B,"&lt;="&amp;$B199))</f>
        <v>131.00241872703475</v>
      </c>
      <c r="AE199">
        <f>IF(COUNTIFS(monthly!W:W,"",monthly!$A:$A,"&gt;="&amp;$A199,monthly!$B:$B,"&lt;="&amp;$B199)&gt;0,"NA",AVERAGEIFS(monthly!W:W,monthly!$A:$A,"&gt;="&amp;$A199,monthly!$B:$B,"&lt;="&amp;$B199))</f>
        <v>97.437934875488281</v>
      </c>
      <c r="AF199">
        <f>IF(COUNTIFS(monthly!X:X,"",monthly!$A:$A,"&gt;="&amp;$A199,monthly!$B:$B,"&lt;="&amp;$B199)&gt;0,"NA",AVERAGEIFS(monthly!X:X,monthly!$A:$A,"&gt;="&amp;$A199,monthly!$B:$B,"&lt;="&amp;$B199))</f>
        <v>124.36046854654948</v>
      </c>
      <c r="AG199">
        <f>IF(COUNTIFS(monthly!Y:Y,"",monthly!$A:$A,"&gt;="&amp;$A199,monthly!$B:$B,"&lt;="&amp;$B199)&gt;0,"NA",AVERAGEIFS(monthly!Y:Y,monthly!$A:$A,"&gt;="&amp;$A199,monthly!$B:$B,"&lt;="&amp;$B199))</f>
        <v>58.533201853434242</v>
      </c>
      <c r="AH199">
        <f>IF(COUNTIFS(monthly!Z:Z,"",monthly!$A:$A,"&gt;="&amp;$A199,monthly!$B:$B,"&lt;="&amp;$B199)&gt;0,"NA",AVERAGEIFS(monthly!Z:Z,monthly!$A:$A,"&gt;="&amp;$A199,monthly!$B:$B,"&lt;="&amp;$B199))</f>
        <v>0.13063246508439383</v>
      </c>
    </row>
    <row r="200" spans="1:34" x14ac:dyDescent="0.2">
      <c r="A200" s="1">
        <v>43647</v>
      </c>
      <c r="B200" s="1">
        <v>43738</v>
      </c>
      <c r="C200">
        <f>IF(ISBLANK(VLOOKUP($A200,quarterly_data,MATCH(C$1,quarterly!$1:$1,FALSE),FALSE)),"NA",VLOOKUP($A200,quarterly_data,MATCH(C$1,quarterly!$1:$1,FALSE),FALSE))</f>
        <v>128.67526476787475</v>
      </c>
      <c r="D200">
        <f>IF(ISBLANK(VLOOKUP($A200,quarterly_data,MATCH(D$1,quarterly!$1:$1,FALSE),FALSE)),"NA",VLOOKUP($A200,quarterly_data,MATCH(D$1,quarterly!$1:$1,FALSE),FALSE))</f>
        <v>89.8</v>
      </c>
      <c r="E200">
        <f>IF(ISBLANK(VLOOKUP($A200,quarterly_data,MATCH(E$1,quarterly!$1:$1,FALSE),FALSE)),"NA",VLOOKUP($A200,quarterly_data,MATCH(E$1,quarterly!$1:$1,FALSE),FALSE))</f>
        <v>0.31880130000000001</v>
      </c>
      <c r="F200">
        <f>IF(ISBLANK(VLOOKUP($A200,quarterly_data,MATCH(F$1,quarterly!$1:$1,FALSE),FALSE)),"NA",VLOOKUP($A200,quarterly_data,MATCH(F$1,quarterly!$1:$1,FALSE),FALSE))</f>
        <v>0.1083001</v>
      </c>
      <c r="G200">
        <f>IF(ISBLANK(VLOOKUP($A200,quarterly_data,MATCH(G$1,quarterly!$1:$1,FALSE),FALSE)),"NA",VLOOKUP($A200,quarterly_data,MATCH(G$1,quarterly!$1:$1,FALSE),FALSE))</f>
        <v>20843.322</v>
      </c>
      <c r="H200">
        <f>IF(ISBLANK(VLOOKUP($A200,quarterly_data,MATCH(H$1,quarterly!$1:$1,FALSE),FALSE)),"NA",VLOOKUP($A200,quarterly_data,MATCH(H$1,quarterly!$1:$1,FALSE),FALSE))</f>
        <v>608155</v>
      </c>
      <c r="I200">
        <f>IF(ISBLANK(VLOOKUP($A200,quarterly_data,MATCH(I$1,quarterly!$1:$1,FALSE),FALSE)),"NA",VLOOKUP($A200,quarterly_data,MATCH(I$1,quarterly!$1:$1,FALSE),FALSE))</f>
        <v>0.4</v>
      </c>
      <c r="J200">
        <f>IF(ISBLANK(VLOOKUP($A200,quarterly_data,MATCH(J$1,quarterly!$1:$1,FALSE),FALSE)),"NA",VLOOKUP($A200,quarterly_data,MATCH(J$1,quarterly!$1:$1,FALSE),FALSE))</f>
        <v>80.150000000000006</v>
      </c>
      <c r="K200">
        <f>IF(COUNTIFS(monthly!C:C,"",monthly!$A:$A,"&gt;="&amp;$A200,monthly!$B:$B,"&lt;="&amp;$B200)&gt;0,"NA",AVERAGEIFS(monthly!C:C,monthly!$A:$A,"&gt;="&amp;$A200,monthly!$B:$B,"&lt;="&amp;$B200))</f>
        <v>59.20000000000001</v>
      </c>
      <c r="L200">
        <f>IF(COUNTIFS(monthly!D:D,"",monthly!$A:$A,"&gt;="&amp;$A200,monthly!$B:$B,"&lt;="&amp;$B200)&gt;0,"NA",AVERAGEIFS(monthly!D:D,monthly!$A:$A,"&gt;="&amp;$A200,monthly!$B:$B,"&lt;="&amp;$B200))</f>
        <v>0.67870000000000008</v>
      </c>
      <c r="M200">
        <f>IF(COUNTIFS(monthly!E:E,"",monthly!$A:$A,"&gt;="&amp;$A200,monthly!$B:$B,"&lt;="&amp;$B200)&gt;0,"NA",AVERAGEIFS(monthly!E:E,monthly!$A:$A,"&gt;="&amp;$A200,monthly!$B:$B,"&lt;="&amp;$B200))</f>
        <v>83.865931403557525</v>
      </c>
      <c r="N200">
        <f>IF(COUNTIFS(monthly!F:F,"",monthly!$A:$A,"&gt;="&amp;$A200,monthly!$B:$B,"&lt;="&amp;$B200)&gt;0,"NA",AVERAGEIFS(monthly!F:F,monthly!$A:$A,"&gt;="&amp;$A200,monthly!$B:$B,"&lt;="&amp;$B200))</f>
        <v>81.669875477991297</v>
      </c>
      <c r="O200">
        <f>IF(COUNTIFS(monthly!G:G,"",monthly!$A:$A,"&gt;="&amp;$A200,monthly!$B:$B,"&lt;="&amp;$B200)&gt;0,"NA",AVERAGEIFS(monthly!G:G,monthly!$A:$A,"&gt;="&amp;$A200,monthly!$B:$B,"&lt;="&amp;$B200))</f>
        <v>102.13333333333333</v>
      </c>
      <c r="P200">
        <f>IF(COUNTIFS(monthly!H:H,"",monthly!$A:$A,"&gt;="&amp;$A200,monthly!$B:$B,"&lt;="&amp;$B200)&gt;0,"NA",AVERAGEIFS(monthly!H:H,monthly!$A:$A,"&gt;="&amp;$A200,monthly!$B:$B,"&lt;="&amp;$B200))</f>
        <v>67.899999999999991</v>
      </c>
      <c r="Q200">
        <f>IF(COUNTIFS(monthly!I:I,"",monthly!$A:$A,"&gt;="&amp;$A200,monthly!$B:$B,"&lt;="&amp;$B200)&gt;0,"NA",AVERAGEIFS(monthly!I:I,monthly!$A:$A,"&gt;="&amp;$A200,monthly!$B:$B,"&lt;="&amp;$B200))</f>
        <v>61.866666666666667</v>
      </c>
      <c r="R200">
        <f>IF(COUNTIFS(monthly!J:J,"",monthly!$A:$A,"&gt;="&amp;$A200,monthly!$B:$B,"&lt;="&amp;$B200)&gt;0,"NA",AVERAGEIFS(monthly!J:J,monthly!$A:$A,"&gt;="&amp;$A200,monthly!$B:$B,"&lt;="&amp;$B200))</f>
        <v>10.376666666666667</v>
      </c>
      <c r="S200">
        <f>IF(COUNTIFS(monthly!K:K,"",monthly!$A:$A,"&gt;="&amp;$A200,monthly!$B:$B,"&lt;="&amp;$B200)&gt;0,"NA",AVERAGEIFS(monthly!K:K,monthly!$A:$A,"&gt;="&amp;$A200,monthly!$B:$B,"&lt;="&amp;$B200))</f>
        <v>1.0066666666666666</v>
      </c>
      <c r="T200">
        <f>IF(COUNTIFS(monthly!L:L,"",monthly!$A:$A,"&gt;="&amp;$A200,monthly!$B:$B,"&lt;="&amp;$B200)&gt;0,"NA",AVERAGEIFS(monthly!L:L,monthly!$A:$A,"&gt;="&amp;$A200,monthly!$B:$B,"&lt;="&amp;$B200))</f>
        <v>2.1905698924731176</v>
      </c>
      <c r="U200">
        <f>IF(COUNTIFS(monthly!M:M,"",monthly!$A:$A,"&gt;="&amp;$A200,monthly!$B:$B,"&lt;="&amp;$B200)&gt;0,"NA",AVERAGEIFS(monthly!M:M,monthly!$A:$A,"&gt;="&amp;$A200,monthly!$B:$B,"&lt;="&amp;$B200))</f>
        <v>-1.1839032258064512</v>
      </c>
      <c r="V200">
        <f>IF(COUNTIFS(monthly!N:N,"",monthly!$A:$A,"&gt;="&amp;$A200,monthly!$B:$B,"&lt;="&amp;$B200)&gt;0,"NA",AVERAGEIFS(monthly!N:N,monthly!$A:$A,"&gt;="&amp;$A200,monthly!$B:$B,"&lt;="&amp;$B200))</f>
        <v>0.82233333333333336</v>
      </c>
      <c r="W200">
        <f>IF(COUNTIFS(monthly!O:O,"",monthly!$A:$A,"&gt;="&amp;$A200,monthly!$B:$B,"&lt;="&amp;$B200)&gt;0,"NA",AVERAGEIFS(monthly!O:O,monthly!$A:$A,"&gt;="&amp;$A200,monthly!$B:$B,"&lt;="&amp;$B200))</f>
        <v>1.6847878787878787</v>
      </c>
      <c r="X200">
        <f>IF(COUNTIFS(monthly!P:P,"",monthly!$A:$A,"&gt;="&amp;$A200,monthly!$B:$B,"&lt;="&amp;$B200)&gt;0,"NA",AVERAGEIFS(monthly!P:P,monthly!$A:$A,"&gt;="&amp;$A200,monthly!$B:$B,"&lt;="&amp;$B200))</f>
        <v>-0.86245454545454547</v>
      </c>
      <c r="Y200">
        <f>IF(COUNTIFS(monthly!Q:Q,"",monthly!$A:$A,"&gt;="&amp;$A200,monthly!$B:$B,"&lt;="&amp;$B200)&gt;0,"NA",AVERAGEIFS(monthly!Q:Q,monthly!$A:$A,"&gt;="&amp;$A200,monthly!$B:$B,"&lt;="&amp;$B200))</f>
        <v>1.1046666666666667</v>
      </c>
      <c r="Z200">
        <f>IF(COUNTIFS(monthly!R:R,"",monthly!$A:$A,"&gt;="&amp;$A200,monthly!$B:$B,"&lt;="&amp;$B200)&gt;0,"NA",AVERAGEIFS(monthly!R:R,monthly!$A:$A,"&gt;="&amp;$A200,monthly!$B:$B,"&lt;="&amp;$B200))</f>
        <v>1.7949848484848483</v>
      </c>
      <c r="AA200">
        <f>IF(COUNTIFS(monthly!S:S,"",monthly!$A:$A,"&gt;="&amp;$A200,monthly!$B:$B,"&lt;="&amp;$B200)&gt;0,"NA",AVERAGEIFS(monthly!S:S,monthly!$A:$A,"&gt;="&amp;$A200,monthly!$B:$B,"&lt;="&amp;$B200))</f>
        <v>-0.69031818181818183</v>
      </c>
      <c r="AB200">
        <f>IF(COUNTIFS(monthly!T:T,"",monthly!$A:$A,"&gt;="&amp;$A200,monthly!$B:$B,"&lt;="&amp;$B200)&gt;0,"NA",AVERAGEIFS(monthly!T:T,monthly!$A:$A,"&gt;="&amp;$A200,monthly!$B:$B,"&lt;="&amp;$B200))</f>
        <v>15.948</v>
      </c>
      <c r="AC200">
        <f>IF(COUNTIFS(monthly!U:U,"",monthly!$A:$A,"&gt;="&amp;$A200,monthly!$B:$B,"&lt;="&amp;$B200)&gt;0,"NA",AVERAGEIFS(monthly!U:U,monthly!$A:$A,"&gt;="&amp;$A200,monthly!$B:$B,"&lt;="&amp;$B200))</f>
        <v>256.97490294215055</v>
      </c>
      <c r="AD200">
        <f>IF(COUNTIFS(monthly!V:V,"",monthly!$A:$A,"&gt;="&amp;$A200,monthly!$B:$B,"&lt;="&amp;$B200)&gt;0,"NA",AVERAGEIFS(monthly!V:V,monthly!$A:$A,"&gt;="&amp;$A200,monthly!$B:$B,"&lt;="&amp;$B200))</f>
        <v>138.8659285601056</v>
      </c>
      <c r="AE200">
        <f>IF(COUNTIFS(monthly!W:W,"",monthly!$A:$A,"&gt;="&amp;$A200,monthly!$B:$B,"&lt;="&amp;$B200)&gt;0,"NA",AVERAGEIFS(monthly!W:W,monthly!$A:$A,"&gt;="&amp;$A200,monthly!$B:$B,"&lt;="&amp;$B200))</f>
        <v>95.76455434163411</v>
      </c>
      <c r="AF200">
        <f>IF(COUNTIFS(monthly!X:X,"",monthly!$A:$A,"&gt;="&amp;$A200,monthly!$B:$B,"&lt;="&amp;$B200)&gt;0,"NA",AVERAGEIFS(monthly!X:X,monthly!$A:$A,"&gt;="&amp;$A200,monthly!$B:$B,"&lt;="&amp;$B200))</f>
        <v>120.84238179524739</v>
      </c>
      <c r="AG200">
        <f>IF(COUNTIFS(monthly!Y:Y,"",monthly!$A:$A,"&gt;="&amp;$A200,monthly!$B:$B,"&lt;="&amp;$B200)&gt;0,"NA",AVERAGEIFS(monthly!Y:Y,monthly!$A:$A,"&gt;="&amp;$A200,monthly!$B:$B,"&lt;="&amp;$B200))</f>
        <v>61.775511423746742</v>
      </c>
      <c r="AH200">
        <f>IF(COUNTIFS(monthly!Z:Z,"",monthly!$A:$A,"&gt;="&amp;$A200,monthly!$B:$B,"&lt;="&amp;$B200)&gt;0,"NA",AVERAGEIFS(monthly!Z:Z,monthly!$A:$A,"&gt;="&amp;$A200,monthly!$B:$B,"&lt;="&amp;$B200))</f>
        <v>0.14751562724510828</v>
      </c>
    </row>
    <row r="201" spans="1:34" x14ac:dyDescent="0.2">
      <c r="A201" s="1">
        <v>43739</v>
      </c>
      <c r="B201" s="1">
        <v>43830</v>
      </c>
      <c r="C201">
        <f>IF(ISBLANK(VLOOKUP($A201,quarterly_data,MATCH(C$1,quarterly!$1:$1,FALSE),FALSE)),"NA",VLOOKUP($A201,quarterly_data,MATCH(C$1,quarterly!$1:$1,FALSE),FALSE))</f>
        <v>128.22981331854919</v>
      </c>
      <c r="D201">
        <f>IF(ISBLANK(VLOOKUP($A201,quarterly_data,MATCH(D$1,quarterly!$1:$1,FALSE),FALSE)),"NA",VLOOKUP($A201,quarterly_data,MATCH(D$1,quarterly!$1:$1,FALSE),FALSE))</f>
        <v>85</v>
      </c>
      <c r="E201">
        <f>IF(ISBLANK(VLOOKUP($A201,quarterly_data,MATCH(E$1,quarterly!$1:$1,FALSE),FALSE)),"NA",VLOOKUP($A201,quarterly_data,MATCH(E$1,quarterly!$1:$1,FALSE),FALSE))</f>
        <v>0</v>
      </c>
      <c r="F201">
        <f>IF(ISBLANK(VLOOKUP($A201,quarterly_data,MATCH(F$1,quarterly!$1:$1,FALSE),FALSE)),"NA",VLOOKUP($A201,quarterly_data,MATCH(F$1,quarterly!$1:$1,FALSE),FALSE))</f>
        <v>4.5077100000000002E-2</v>
      </c>
      <c r="G201">
        <f>IF(ISBLANK(VLOOKUP($A201,quarterly_data,MATCH(G$1,quarterly!$1:$1,FALSE),FALSE)),"NA",VLOOKUP($A201,quarterly_data,MATCH(G$1,quarterly!$1:$1,FALSE),FALSE))</f>
        <v>20985.448</v>
      </c>
      <c r="H201">
        <f>IF(ISBLANK(VLOOKUP($A201,quarterly_data,MATCH(H$1,quarterly!$1:$1,FALSE),FALSE)),"NA",VLOOKUP($A201,quarterly_data,MATCH(H$1,quarterly!$1:$1,FALSE),FALSE))</f>
        <v>611732</v>
      </c>
      <c r="I201">
        <f>IF(ISBLANK(VLOOKUP($A201,quarterly_data,MATCH(I$1,quarterly!$1:$1,FALSE),FALSE)),"NA",VLOOKUP($A201,quarterly_data,MATCH(I$1,quarterly!$1:$1,FALSE),FALSE))</f>
        <v>0.4</v>
      </c>
      <c r="J201">
        <f>IF(ISBLANK(VLOOKUP($A201,quarterly_data,MATCH(J$1,quarterly!$1:$1,FALSE),FALSE)),"NA",VLOOKUP($A201,quarterly_data,MATCH(J$1,quarterly!$1:$1,FALSE),FALSE))</f>
        <v>80.7</v>
      </c>
      <c r="K201">
        <f>IF(COUNTIFS(monthly!C:C,"",monthly!$A:$A,"&gt;="&amp;$A201,monthly!$B:$B,"&lt;="&amp;$B201)&gt;0,"NA",AVERAGEIFS(monthly!C:C,monthly!$A:$A,"&gt;="&amp;$A201,monthly!$B:$B,"&lt;="&amp;$B201))</f>
        <v>59.766666666666673</v>
      </c>
      <c r="L201">
        <f>IF(COUNTIFS(monthly!D:D,"",monthly!$A:$A,"&gt;="&amp;$A201,monthly!$B:$B,"&lt;="&amp;$B201)&gt;0,"NA",AVERAGEIFS(monthly!D:D,monthly!$A:$A,"&gt;="&amp;$A201,monthly!$B:$B,"&lt;="&amp;$B201))</f>
        <v>0.69030000000000002</v>
      </c>
      <c r="M201">
        <f>IF(COUNTIFS(monthly!E:E,"",monthly!$A:$A,"&gt;="&amp;$A201,monthly!$B:$B,"&lt;="&amp;$B201)&gt;0,"NA",AVERAGEIFS(monthly!E:E,monthly!$A:$A,"&gt;="&amp;$A201,monthly!$B:$B,"&lt;="&amp;$B201))</f>
        <v>77.353022885594669</v>
      </c>
      <c r="N201">
        <f>IF(COUNTIFS(monthly!F:F,"",monthly!$A:$A,"&gt;="&amp;$A201,monthly!$B:$B,"&lt;="&amp;$B201)&gt;0,"NA",AVERAGEIFS(monthly!F:F,monthly!$A:$A,"&gt;="&amp;$A201,monthly!$B:$B,"&lt;="&amp;$B201))</f>
        <v>76.288689200236391</v>
      </c>
      <c r="O201">
        <f>IF(COUNTIFS(monthly!G:G,"",monthly!$A:$A,"&gt;="&amp;$A201,monthly!$B:$B,"&lt;="&amp;$B201)&gt;0,"NA",AVERAGEIFS(monthly!G:G,monthly!$A:$A,"&gt;="&amp;$A201,monthly!$B:$B,"&lt;="&amp;$B201))</f>
        <v>88.733333333333334</v>
      </c>
      <c r="P201">
        <f>IF(COUNTIFS(monthly!H:H,"",monthly!$A:$A,"&gt;="&amp;$A201,monthly!$B:$B,"&lt;="&amp;$B201)&gt;0,"NA",AVERAGEIFS(monthly!H:H,monthly!$A:$A,"&gt;="&amp;$A201,monthly!$B:$B,"&lt;="&amp;$B201))</f>
        <v>67.466666666666654</v>
      </c>
      <c r="Q201">
        <f>IF(COUNTIFS(monthly!I:I,"",monthly!$A:$A,"&gt;="&amp;$A201,monthly!$B:$B,"&lt;="&amp;$B201)&gt;0,"NA",AVERAGEIFS(monthly!I:I,monthly!$A:$A,"&gt;="&amp;$A201,monthly!$B:$B,"&lt;="&amp;$B201))</f>
        <v>62.666666666666664</v>
      </c>
      <c r="R201">
        <f>IF(COUNTIFS(monthly!J:J,"",monthly!$A:$A,"&gt;="&amp;$A201,monthly!$B:$B,"&lt;="&amp;$B201)&gt;0,"NA",AVERAGEIFS(monthly!J:J,monthly!$A:$A,"&gt;="&amp;$A201,monthly!$B:$B,"&lt;="&amp;$B201))</f>
        <v>10.026666666666666</v>
      </c>
      <c r="S201">
        <f>IF(COUNTIFS(monthly!K:K,"",monthly!$A:$A,"&gt;="&amp;$A201,monthly!$B:$B,"&lt;="&amp;$B201)&gt;0,"NA",AVERAGEIFS(monthly!K:K,monthly!$A:$A,"&gt;="&amp;$A201,monthly!$B:$B,"&lt;="&amp;$B201))</f>
        <v>0.7533333333333333</v>
      </c>
      <c r="T201">
        <f>IF(COUNTIFS(monthly!L:L,"",monthly!$A:$A,"&gt;="&amp;$A201,monthly!$B:$B,"&lt;="&amp;$B201)&gt;0,"NA",AVERAGEIFS(monthly!L:L,monthly!$A:$A,"&gt;="&amp;$A201,monthly!$B:$B,"&lt;="&amp;$B201))</f>
        <v>1.6446594982078848</v>
      </c>
      <c r="U201">
        <f>IF(COUNTIFS(monthly!M:M,"",monthly!$A:$A,"&gt;="&amp;$A201,monthly!$B:$B,"&lt;="&amp;$B201)&gt;0,"NA",AVERAGEIFS(monthly!M:M,monthly!$A:$A,"&gt;="&amp;$A201,monthly!$B:$B,"&lt;="&amp;$B201))</f>
        <v>-0.89132616487455163</v>
      </c>
      <c r="V201">
        <f>IF(COUNTIFS(monthly!N:N,"",monthly!$A:$A,"&gt;="&amp;$A201,monthly!$B:$B,"&lt;="&amp;$B201)&gt;0,"NA",AVERAGEIFS(monthly!N:N,monthly!$A:$A,"&gt;="&amp;$A201,monthly!$B:$B,"&lt;="&amp;$B201))</f>
        <v>0.76900000000000002</v>
      </c>
      <c r="W201">
        <f>IF(COUNTIFS(monthly!O:O,"",monthly!$A:$A,"&gt;="&amp;$A201,monthly!$B:$B,"&lt;="&amp;$B201)&gt;0,"NA",AVERAGEIFS(monthly!O:O,monthly!$A:$A,"&gt;="&amp;$A201,monthly!$B:$B,"&lt;="&amp;$B201))</f>
        <v>1.5924428495481129</v>
      </c>
      <c r="X201">
        <f>IF(COUNTIFS(monthly!P:P,"",monthly!$A:$A,"&gt;="&amp;$A201,monthly!$B:$B,"&lt;="&amp;$B201)&gt;0,"NA",AVERAGEIFS(monthly!P:P,monthly!$A:$A,"&gt;="&amp;$A201,monthly!$B:$B,"&lt;="&amp;$B201))</f>
        <v>-0.82344284954811275</v>
      </c>
      <c r="Y201">
        <f>IF(COUNTIFS(monthly!Q:Q,"",monthly!$A:$A,"&gt;="&amp;$A201,monthly!$B:$B,"&lt;="&amp;$B201)&gt;0,"NA",AVERAGEIFS(monthly!Q:Q,monthly!$A:$A,"&gt;="&amp;$A201,monthly!$B:$B,"&lt;="&amp;$B201))</f>
        <v>1.1303333333333334</v>
      </c>
      <c r="Z201">
        <f>IF(COUNTIFS(monthly!R:R,"",monthly!$A:$A,"&gt;="&amp;$A201,monthly!$B:$B,"&lt;="&amp;$B201)&gt;0,"NA",AVERAGEIFS(monthly!R:R,monthly!$A:$A,"&gt;="&amp;$A201,monthly!$B:$B,"&lt;="&amp;$B201))</f>
        <v>1.7939268626110731</v>
      </c>
      <c r="AA201">
        <f>IF(COUNTIFS(monthly!S:S,"",monthly!$A:$A,"&gt;="&amp;$A201,monthly!$B:$B,"&lt;="&amp;$B201)&gt;0,"NA",AVERAGEIFS(monthly!S:S,monthly!$A:$A,"&gt;="&amp;$A201,monthly!$B:$B,"&lt;="&amp;$B201))</f>
        <v>-0.66359352927773996</v>
      </c>
      <c r="AB201">
        <f>IF(COUNTIFS(monthly!T:T,"",monthly!$A:$A,"&gt;="&amp;$A201,monthly!$B:$B,"&lt;="&amp;$B201)&gt;0,"NA",AVERAGEIFS(monthly!T:T,monthly!$A:$A,"&gt;="&amp;$A201,monthly!$B:$B,"&lt;="&amp;$B201))</f>
        <v>13.915562801932367</v>
      </c>
      <c r="AC201">
        <f>IF(COUNTIFS(monthly!U:U,"",monthly!$A:$A,"&gt;="&amp;$A201,monthly!$B:$B,"&lt;="&amp;$B201)&gt;0,"NA",AVERAGEIFS(monthly!U:U,monthly!$A:$A,"&gt;="&amp;$A201,monthly!$B:$B,"&lt;="&amp;$B201))</f>
        <v>224.09019606643474</v>
      </c>
      <c r="AD201">
        <f>IF(COUNTIFS(monthly!V:V,"",monthly!$A:$A,"&gt;="&amp;$A201,monthly!$B:$B,"&lt;="&amp;$B201)&gt;0,"NA",AVERAGEIFS(monthly!V:V,monthly!$A:$A,"&gt;="&amp;$A201,monthly!$B:$B,"&lt;="&amp;$B201))</f>
        <v>127.0818532741783</v>
      </c>
      <c r="AE201">
        <f>IF(COUNTIFS(monthly!W:W,"",monthly!$A:$A,"&gt;="&amp;$A201,monthly!$B:$B,"&lt;="&amp;$B201)&gt;0,"NA",AVERAGEIFS(monthly!W:W,monthly!$A:$A,"&gt;="&amp;$A201,monthly!$B:$B,"&lt;="&amp;$B201))</f>
        <v>81.731669108072921</v>
      </c>
      <c r="AF201">
        <f>IF(COUNTIFS(monthly!X:X,"",monthly!$A:$A,"&gt;="&amp;$A201,monthly!$B:$B,"&lt;="&amp;$B201)&gt;0,"NA",AVERAGEIFS(monthly!X:X,monthly!$A:$A,"&gt;="&amp;$A201,monthly!$B:$B,"&lt;="&amp;$B201))</f>
        <v>95.336372375488281</v>
      </c>
      <c r="AG201">
        <f>IF(COUNTIFS(monthly!Y:Y,"",monthly!$A:$A,"&gt;="&amp;$A201,monthly!$B:$B,"&lt;="&amp;$B201)&gt;0,"NA",AVERAGEIFS(monthly!Y:Y,monthly!$A:$A,"&gt;="&amp;$A201,monthly!$B:$B,"&lt;="&amp;$B201))</f>
        <v>62.110155741373696</v>
      </c>
      <c r="AH201">
        <f>IF(COUNTIFS(monthly!Z:Z,"",monthly!$A:$A,"&gt;="&amp;$A201,monthly!$B:$B,"&lt;="&amp;$B201)&gt;0,"NA",AVERAGEIFS(monthly!Z:Z,monthly!$A:$A,"&gt;="&amp;$A201,monthly!$B:$B,"&lt;="&amp;$B201))</f>
        <v>0.10478783150513966</v>
      </c>
    </row>
    <row r="202" spans="1:34" x14ac:dyDescent="0.2">
      <c r="A202" s="1">
        <v>43831</v>
      </c>
      <c r="B202" s="1">
        <v>43921</v>
      </c>
      <c r="C202">
        <f>IF(ISBLANK(VLOOKUP($A202,quarterly_data,MATCH(C$1,quarterly!$1:$1,FALSE),FALSE)),"NA",VLOOKUP($A202,quarterly_data,MATCH(C$1,quarterly!$1:$1,FALSE),FALSE))</f>
        <v>124.0362984990514</v>
      </c>
      <c r="D202">
        <f>IF(ISBLANK(VLOOKUP($A202,quarterly_data,MATCH(D$1,quarterly!$1:$1,FALSE),FALSE)),"NA",VLOOKUP($A202,quarterly_data,MATCH(D$1,quarterly!$1:$1,FALSE),FALSE))</f>
        <v>85</v>
      </c>
      <c r="E202">
        <f>IF(ISBLANK(VLOOKUP($A202,quarterly_data,MATCH(E$1,quarterly!$1:$1,FALSE),FALSE)),"NA",VLOOKUP($A202,quarterly_data,MATCH(E$1,quarterly!$1:$1,FALSE),FALSE))</f>
        <v>0.38568340000000001</v>
      </c>
      <c r="F202">
        <f>IF(ISBLANK(VLOOKUP($A202,quarterly_data,MATCH(F$1,quarterly!$1:$1,FALSE),FALSE)),"NA",VLOOKUP($A202,quarterly_data,MATCH(F$1,quarterly!$1:$1,FALSE),FALSE))</f>
        <v>8.7763400000000005E-2</v>
      </c>
      <c r="G202">
        <f>IF(ISBLANK(VLOOKUP($A202,quarterly_data,MATCH(G$1,quarterly!$1:$1,FALSE),FALSE)),"NA",VLOOKUP($A202,quarterly_data,MATCH(G$1,quarterly!$1:$1,FALSE),FALSE))</f>
        <v>20709.212</v>
      </c>
      <c r="H202">
        <f>IF(ISBLANK(VLOOKUP($A202,quarterly_data,MATCH(H$1,quarterly!$1:$1,FALSE),FALSE)),"NA",VLOOKUP($A202,quarterly_data,MATCH(H$1,quarterly!$1:$1,FALSE),FALSE))</f>
        <v>610772</v>
      </c>
      <c r="I202">
        <f>IF(ISBLANK(VLOOKUP($A202,quarterly_data,MATCH(I$1,quarterly!$1:$1,FALSE),FALSE)),"NA",VLOOKUP($A202,quarterly_data,MATCH(I$1,quarterly!$1:$1,FALSE),FALSE))</f>
        <v>0.5</v>
      </c>
      <c r="J202">
        <f>IF(ISBLANK(VLOOKUP($A202,quarterly_data,MATCH(J$1,quarterly!$1:$1,FALSE),FALSE)),"NA",VLOOKUP($A202,quarterly_data,MATCH(J$1,quarterly!$1:$1,FALSE),FALSE))</f>
        <v>81</v>
      </c>
      <c r="K202">
        <f>IF(COUNTIFS(monthly!C:C,"",monthly!$A:$A,"&gt;="&amp;$A202,monthly!$B:$B,"&lt;="&amp;$B202)&gt;0,"NA",AVERAGEIFS(monthly!C:C,monthly!$A:$A,"&gt;="&amp;$A202,monthly!$B:$B,"&lt;="&amp;$B202))</f>
        <v>56.6</v>
      </c>
      <c r="L202">
        <f>IF(COUNTIFS(monthly!D:D,"",monthly!$A:$A,"&gt;="&amp;$A202,monthly!$B:$B,"&lt;="&amp;$B202)&gt;0,"NA",AVERAGEIFS(monthly!D:D,monthly!$A:$A,"&gt;="&amp;$A202,monthly!$B:$B,"&lt;="&amp;$B202))</f>
        <v>0.64743333333333331</v>
      </c>
      <c r="M202">
        <f>IF(COUNTIFS(monthly!E:E,"",monthly!$A:$A,"&gt;="&amp;$A202,monthly!$B:$B,"&lt;="&amp;$B202)&gt;0,"NA",AVERAGEIFS(monthly!E:E,monthly!$A:$A,"&gt;="&amp;$A202,monthly!$B:$B,"&lt;="&amp;$B202))</f>
        <v>77.211705862201072</v>
      </c>
      <c r="N202">
        <f>IF(COUNTIFS(monthly!F:F,"",monthly!$A:$A,"&gt;="&amp;$A202,monthly!$B:$B,"&lt;="&amp;$B202)&gt;0,"NA",AVERAGEIFS(monthly!F:F,monthly!$A:$A,"&gt;="&amp;$A202,monthly!$B:$B,"&lt;="&amp;$B202))</f>
        <v>78.057512846010766</v>
      </c>
      <c r="O202">
        <f>IF(COUNTIFS(monthly!G:G,"",monthly!$A:$A,"&gt;="&amp;$A202,monthly!$B:$B,"&lt;="&amp;$B202)&gt;0,"NA",AVERAGEIFS(monthly!G:G,monthly!$A:$A,"&gt;="&amp;$A202,monthly!$B:$B,"&lt;="&amp;$B202))</f>
        <v>90.833333333333329</v>
      </c>
      <c r="P202">
        <f>IF(COUNTIFS(monthly!H:H,"",monthly!$A:$A,"&gt;="&amp;$A202,monthly!$B:$B,"&lt;="&amp;$B202)&gt;0,"NA",AVERAGEIFS(monthly!H:H,monthly!$A:$A,"&gt;="&amp;$A202,monthly!$B:$B,"&lt;="&amp;$B202))</f>
        <v>68</v>
      </c>
      <c r="Q202">
        <f>IF(COUNTIFS(monthly!I:I,"",monthly!$A:$A,"&gt;="&amp;$A202,monthly!$B:$B,"&lt;="&amp;$B202)&gt;0,"NA",AVERAGEIFS(monthly!I:I,monthly!$A:$A,"&gt;="&amp;$A202,monthly!$B:$B,"&lt;="&amp;$B202))</f>
        <v>50.533333333333331</v>
      </c>
      <c r="R202">
        <f>IF(COUNTIFS(monthly!J:J,"",monthly!$A:$A,"&gt;="&amp;$A202,monthly!$B:$B,"&lt;="&amp;$B202)&gt;0,"NA",AVERAGEIFS(monthly!J:J,monthly!$A:$A,"&gt;="&amp;$A202,monthly!$B:$B,"&lt;="&amp;$B202))</f>
        <v>9.9966666666666679</v>
      </c>
      <c r="S202">
        <f>IF(COUNTIFS(monthly!K:K,"",monthly!$A:$A,"&gt;="&amp;$A202,monthly!$B:$B,"&lt;="&amp;$B202)&gt;0,"NA",AVERAGEIFS(monthly!K:K,monthly!$A:$A,"&gt;="&amp;$A202,monthly!$B:$B,"&lt;="&amp;$B202))</f>
        <v>0.64333333333333331</v>
      </c>
      <c r="T202">
        <f>IF(COUNTIFS(monthly!L:L,"",monthly!$A:$A,"&gt;="&amp;$A202,monthly!$B:$B,"&lt;="&amp;$B202)&gt;0,"NA",AVERAGEIFS(monthly!L:L,monthly!$A:$A,"&gt;="&amp;$A202,monthly!$B:$B,"&lt;="&amp;$B202))</f>
        <v>1.2620022246941041</v>
      </c>
      <c r="U202">
        <f>IF(COUNTIFS(monthly!M:M,"",monthly!$A:$A,"&gt;="&amp;$A202,monthly!$B:$B,"&lt;="&amp;$B202)&gt;0,"NA",AVERAGEIFS(monthly!M:M,monthly!$A:$A,"&gt;="&amp;$A202,monthly!$B:$B,"&lt;="&amp;$B202))</f>
        <v>-0.61866889136077075</v>
      </c>
      <c r="V202">
        <f>IF(COUNTIFS(monthly!N:N,"",monthly!$A:$A,"&gt;="&amp;$A202,monthly!$B:$B,"&lt;="&amp;$B202)&gt;0,"NA",AVERAGEIFS(monthly!N:N,monthly!$A:$A,"&gt;="&amp;$A202,monthly!$B:$B,"&lt;="&amp;$B202))</f>
        <v>0.6153333333333334</v>
      </c>
      <c r="W202">
        <f>IF(COUNTIFS(monthly!O:O,"",monthly!$A:$A,"&gt;="&amp;$A202,monthly!$B:$B,"&lt;="&amp;$B202)&gt;0,"NA",AVERAGEIFS(monthly!O:O,monthly!$A:$A,"&gt;="&amp;$A202,monthly!$B:$B,"&lt;="&amp;$B202))</f>
        <v>1.0994273562694616</v>
      </c>
      <c r="X202">
        <f>IF(COUNTIFS(monthly!P:P,"",monthly!$A:$A,"&gt;="&amp;$A202,monthly!$B:$B,"&lt;="&amp;$B202)&gt;0,"NA",AVERAGEIFS(monthly!P:P,monthly!$A:$A,"&gt;="&amp;$A202,monthly!$B:$B,"&lt;="&amp;$B202))</f>
        <v>-0.48409402293612835</v>
      </c>
      <c r="Y202">
        <f>IF(COUNTIFS(monthly!Q:Q,"",monthly!$A:$A,"&gt;="&amp;$A202,monthly!$B:$B,"&lt;="&amp;$B202)&gt;0,"NA",AVERAGEIFS(monthly!Q:Q,monthly!$A:$A,"&gt;="&amp;$A202,monthly!$B:$B,"&lt;="&amp;$B202))</f>
        <v>1.0089999999999999</v>
      </c>
      <c r="Z202">
        <f>IF(COUNTIFS(monthly!R:R,"",monthly!$A:$A,"&gt;="&amp;$A202,monthly!$B:$B,"&lt;="&amp;$B202)&gt;0,"NA",AVERAGEIFS(monthly!R:R,monthly!$A:$A,"&gt;="&amp;$A202,monthly!$B:$B,"&lt;="&amp;$B202))</f>
        <v>1.3772765246449457</v>
      </c>
      <c r="AA202">
        <f>IF(COUNTIFS(monthly!S:S,"",monthly!$A:$A,"&gt;="&amp;$A202,monthly!$B:$B,"&lt;="&amp;$B202)&gt;0,"NA",AVERAGEIFS(monthly!S:S,monthly!$A:$A,"&gt;="&amp;$A202,monthly!$B:$B,"&lt;="&amp;$B202))</f>
        <v>-0.36827652464494554</v>
      </c>
      <c r="AB202">
        <f>IF(COUNTIFS(monthly!T:T,"",monthly!$A:$A,"&gt;="&amp;$A202,monthly!$B:$B,"&lt;="&amp;$B202)&gt;0,"NA",AVERAGEIFS(monthly!T:T,monthly!$A:$A,"&gt;="&amp;$A202,monthly!$B:$B,"&lt;="&amp;$B202))</f>
        <v>30.435572643730534</v>
      </c>
      <c r="AC202">
        <f>IF(COUNTIFS(monthly!U:U,"",monthly!$A:$A,"&gt;="&amp;$A202,monthly!$B:$B,"&lt;="&amp;$B202)&gt;0,"NA",AVERAGEIFS(monthly!U:U,monthly!$A:$A,"&gt;="&amp;$A202,monthly!$B:$B,"&lt;="&amp;$B202))</f>
        <v>233.48681388301023</v>
      </c>
      <c r="AD202">
        <f>IF(COUNTIFS(monthly!V:V,"",monthly!$A:$A,"&gt;="&amp;$A202,monthly!$B:$B,"&lt;="&amp;$B202)&gt;0,"NA",AVERAGEIFS(monthly!V:V,monthly!$A:$A,"&gt;="&amp;$A202,monthly!$B:$B,"&lt;="&amp;$B202))</f>
        <v>185.95996967463398</v>
      </c>
      <c r="AE202">
        <f>IF(COUNTIFS(monthly!W:W,"",monthly!$A:$A,"&gt;="&amp;$A202,monthly!$B:$B,"&lt;="&amp;$B202)&gt;0,"NA",AVERAGEIFS(monthly!W:W,monthly!$A:$A,"&gt;="&amp;$A202,monthly!$B:$B,"&lt;="&amp;$B202))</f>
        <v>98.638844807942704</v>
      </c>
      <c r="AF202">
        <f>IF(COUNTIFS(monthly!X:X,"",monthly!$A:$A,"&gt;="&amp;$A202,monthly!$B:$B,"&lt;="&amp;$B202)&gt;0,"NA",AVERAGEIFS(monthly!X:X,monthly!$A:$A,"&gt;="&amp;$A202,monthly!$B:$B,"&lt;="&amp;$B202))</f>
        <v>125.03229522705078</v>
      </c>
      <c r="AG202">
        <f>IF(COUNTIFS(monthly!Y:Y,"",monthly!$A:$A,"&gt;="&amp;$A202,monthly!$B:$B,"&lt;="&amp;$B202)&gt;0,"NA",AVERAGEIFS(monthly!Y:Y,monthly!$A:$A,"&gt;="&amp;$A202,monthly!$B:$B,"&lt;="&amp;$B202))</f>
        <v>67.079992930094406</v>
      </c>
      <c r="AH202">
        <f>IF(COUNTIFS(monthly!Z:Z,"",monthly!$A:$A,"&gt;="&amp;$A202,monthly!$B:$B,"&lt;="&amp;$B202)&gt;0,"NA",AVERAGEIFS(monthly!Z:Z,monthly!$A:$A,"&gt;="&amp;$A202,monthly!$B:$B,"&lt;="&amp;$B202))</f>
        <v>0.1327922691901525</v>
      </c>
    </row>
    <row r="203" spans="1:34" x14ac:dyDescent="0.2">
      <c r="A203" s="1">
        <v>43922</v>
      </c>
      <c r="B203" s="1">
        <v>44012</v>
      </c>
      <c r="C203">
        <f>IF(ISBLANK(VLOOKUP($A203,quarterly_data,MATCH(C$1,quarterly!$1:$1,FALSE),FALSE)),"NA",VLOOKUP($A203,quarterly_data,MATCH(C$1,quarterly!$1:$1,FALSE),FALSE))</f>
        <v>125.0594035473481</v>
      </c>
      <c r="D203">
        <f>IF(ISBLANK(VLOOKUP($A203,quarterly_data,MATCH(D$1,quarterly!$1:$1,FALSE),FALSE)),"NA",VLOOKUP($A203,quarterly_data,MATCH(D$1,quarterly!$1:$1,FALSE),FALSE))</f>
        <v>86.4</v>
      </c>
      <c r="E203">
        <f>IF(ISBLANK(VLOOKUP($A203,quarterly_data,MATCH(E$1,quarterly!$1:$1,FALSE),FALSE)),"NA",VLOOKUP($A203,quarterly_data,MATCH(E$1,quarterly!$1:$1,FALSE),FALSE))</f>
        <v>0.12780639999999999</v>
      </c>
      <c r="F203">
        <f>IF(ISBLANK(VLOOKUP($A203,quarterly_data,MATCH(F$1,quarterly!$1:$1,FALSE),FALSE)),"NA",VLOOKUP($A203,quarterly_data,MATCH(F$1,quarterly!$1:$1,FALSE),FALSE))</f>
        <v>6.4129599999999995E-2</v>
      </c>
      <c r="G203">
        <f>IF(ISBLANK(VLOOKUP($A203,quarterly_data,MATCH(G$1,quarterly!$1:$1,FALSE),FALSE)),"NA",VLOOKUP($A203,quarterly_data,MATCH(G$1,quarterly!$1:$1,FALSE),FALSE))</f>
        <v>19077.991999999998</v>
      </c>
      <c r="H203">
        <f>IF(ISBLANK(VLOOKUP($A203,quarterly_data,MATCH(H$1,quarterly!$1:$1,FALSE),FALSE)),"NA",VLOOKUP($A203,quarterly_data,MATCH(H$1,quarterly!$1:$1,FALSE),FALSE))</f>
        <v>569303</v>
      </c>
      <c r="I203">
        <f>IF(ISBLANK(VLOOKUP($A203,quarterly_data,MATCH(I$1,quarterly!$1:$1,FALSE),FALSE)),"NA",VLOOKUP($A203,quarterly_data,MATCH(I$1,quarterly!$1:$1,FALSE),FALSE))</f>
        <v>0</v>
      </c>
      <c r="J203">
        <f>IF(ISBLANK(VLOOKUP($A203,quarterly_data,MATCH(J$1,quarterly!$1:$1,FALSE),FALSE)),"NA",VLOOKUP($A203,quarterly_data,MATCH(J$1,quarterly!$1:$1,FALSE),FALSE))</f>
        <v>79.44</v>
      </c>
      <c r="K203">
        <f>IF(COUNTIFS(monthly!C:C,"",monthly!$A:$A,"&gt;="&amp;$A203,monthly!$B:$B,"&lt;="&amp;$B203)&gt;0,"NA",AVERAGEIFS(monthly!C:C,monthly!$A:$A,"&gt;="&amp;$A203,monthly!$B:$B,"&lt;="&amp;$B203))</f>
        <v>58.866666666666667</v>
      </c>
      <c r="L203">
        <f>IF(COUNTIFS(monthly!D:D,"",monthly!$A:$A,"&gt;="&amp;$A203,monthly!$B:$B,"&lt;="&amp;$B203)&gt;0,"NA",AVERAGEIFS(monthly!D:D,monthly!$A:$A,"&gt;="&amp;$A203,monthly!$B:$B,"&lt;="&amp;$B203))</f>
        <v>0.66959999999999997</v>
      </c>
      <c r="M203">
        <f>IF(COUNTIFS(monthly!E:E,"",monthly!$A:$A,"&gt;="&amp;$A203,monthly!$B:$B,"&lt;="&amp;$B203)&gt;0,"NA",AVERAGEIFS(monthly!E:E,monthly!$A:$A,"&gt;="&amp;$A203,monthly!$B:$B,"&lt;="&amp;$B203))</f>
        <v>74.543895462873238</v>
      </c>
      <c r="N203">
        <f>IF(COUNTIFS(monthly!F:F,"",monthly!$A:$A,"&gt;="&amp;$A203,monthly!$B:$B,"&lt;="&amp;$B203)&gt;0,"NA",AVERAGEIFS(monthly!F:F,monthly!$A:$A,"&gt;="&amp;$A203,monthly!$B:$B,"&lt;="&amp;$B203))</f>
        <v>72.751169109357306</v>
      </c>
      <c r="O203">
        <f>IF(COUNTIFS(monthly!G:G,"",monthly!$A:$A,"&gt;="&amp;$A203,monthly!$B:$B,"&lt;="&amp;$B203)&gt;0,"NA",AVERAGEIFS(monthly!G:G,monthly!$A:$A,"&gt;="&amp;$A203,monthly!$B:$B,"&lt;="&amp;$B203))</f>
        <v>93.899999999999991</v>
      </c>
      <c r="P203">
        <f>IF(COUNTIFS(monthly!H:H,"",monthly!$A:$A,"&gt;="&amp;$A203,monthly!$B:$B,"&lt;="&amp;$B203)&gt;0,"NA",AVERAGEIFS(monthly!H:H,monthly!$A:$A,"&gt;="&amp;$A203,monthly!$B:$B,"&lt;="&amp;$B203))</f>
        <v>54.433333333333337</v>
      </c>
      <c r="Q203">
        <f>IF(COUNTIFS(monthly!I:I,"",monthly!$A:$A,"&gt;="&amp;$A203,monthly!$B:$B,"&lt;="&amp;$B203)&gt;0,"NA",AVERAGEIFS(monthly!I:I,monthly!$A:$A,"&gt;="&amp;$A203,monthly!$B:$B,"&lt;="&amp;$B203))</f>
        <v>31.399999999999995</v>
      </c>
      <c r="R203">
        <f>IF(COUNTIFS(monthly!J:J,"",monthly!$A:$A,"&gt;="&amp;$A203,monthly!$B:$B,"&lt;="&amp;$B203)&gt;0,"NA",AVERAGEIFS(monthly!J:J,monthly!$A:$A,"&gt;="&amp;$A203,monthly!$B:$B,"&lt;="&amp;$B203))</f>
        <v>9.6866666666666674</v>
      </c>
      <c r="S203">
        <f>IF(COUNTIFS(monthly!K:K,"",monthly!$A:$A,"&gt;="&amp;$A203,monthly!$B:$B,"&lt;="&amp;$B203)&gt;0,"NA",AVERAGEIFS(monthly!K:K,monthly!$A:$A,"&gt;="&amp;$A203,monthly!$B:$B,"&lt;="&amp;$B203))</f>
        <v>0.1466666666666667</v>
      </c>
      <c r="T203">
        <f>IF(COUNTIFS(monthly!L:L,"",monthly!$A:$A,"&gt;="&amp;$A203,monthly!$B:$B,"&lt;="&amp;$B203)&gt;0,"NA",AVERAGEIFS(monthly!L:L,monthly!$A:$A,"&gt;="&amp;$A203,monthly!$B:$B,"&lt;="&amp;$B203))</f>
        <v>5.8888888888888914E-2</v>
      </c>
      <c r="U203">
        <f>IF(COUNTIFS(monthly!M:M,"",monthly!$A:$A,"&gt;="&amp;$A203,monthly!$B:$B,"&lt;="&amp;$B203)&gt;0,"NA",AVERAGEIFS(monthly!M:M,monthly!$A:$A,"&gt;="&amp;$A203,monthly!$B:$B,"&lt;="&amp;$B203))</f>
        <v>8.7777777777777746E-2</v>
      </c>
      <c r="V203">
        <f>IF(COUNTIFS(monthly!N:N,"",monthly!$A:$A,"&gt;="&amp;$A203,monthly!$B:$B,"&lt;="&amp;$B203)&gt;0,"NA",AVERAGEIFS(monthly!N:N,monthly!$A:$A,"&gt;="&amp;$A203,monthly!$B:$B,"&lt;="&amp;$B203))</f>
        <v>0.24433333333333332</v>
      </c>
      <c r="W203">
        <f>IF(COUNTIFS(monthly!O:O,"",monthly!$A:$A,"&gt;="&amp;$A203,monthly!$B:$B,"&lt;="&amp;$B203)&gt;0,"NA",AVERAGEIFS(monthly!O:O,monthly!$A:$A,"&gt;="&amp;$A203,monthly!$B:$B,"&lt;="&amp;$B203))</f>
        <v>0.19342063492063497</v>
      </c>
      <c r="X203">
        <f>IF(COUNTIFS(monthly!P:P,"",monthly!$A:$A,"&gt;="&amp;$A203,monthly!$B:$B,"&lt;="&amp;$B203)&gt;0,"NA",AVERAGEIFS(monthly!P:P,monthly!$A:$A,"&gt;="&amp;$A203,monthly!$B:$B,"&lt;="&amp;$B203))</f>
        <v>5.0912698412698389E-2</v>
      </c>
      <c r="Y203">
        <f>IF(COUNTIFS(monthly!Q:Q,"",monthly!$A:$A,"&gt;="&amp;$A203,monthly!$B:$B,"&lt;="&amp;$B203)&gt;0,"NA",AVERAGEIFS(monthly!Q:Q,monthly!$A:$A,"&gt;="&amp;$A203,monthly!$B:$B,"&lt;="&amp;$B203))</f>
        <v>0.89500000000000002</v>
      </c>
      <c r="Z203">
        <f>IF(COUNTIFS(monthly!R:R,"",monthly!$A:$A,"&gt;="&amp;$A203,monthly!$B:$B,"&lt;="&amp;$B203)&gt;0,"NA",AVERAGEIFS(monthly!R:R,monthly!$A:$A,"&gt;="&amp;$A203,monthly!$B:$B,"&lt;="&amp;$B203))</f>
        <v>0.68675180375180378</v>
      </c>
      <c r="AA203">
        <f>IF(COUNTIFS(monthly!S:S,"",monthly!$A:$A,"&gt;="&amp;$A203,monthly!$B:$B,"&lt;="&amp;$B203)&gt;0,"NA",AVERAGEIFS(monthly!S:S,monthly!$A:$A,"&gt;="&amp;$A203,monthly!$B:$B,"&lt;="&amp;$B203))</f>
        <v>0.20824819624819627</v>
      </c>
      <c r="AB203">
        <f>IF(COUNTIFS(monthly!T:T,"",monthly!$A:$A,"&gt;="&amp;$A203,monthly!$B:$B,"&lt;="&amp;$B203)&gt;0,"NA",AVERAGEIFS(monthly!T:T,monthly!$A:$A,"&gt;="&amp;$A203,monthly!$B:$B,"&lt;="&amp;$B203))</f>
        <v>34.490118326118328</v>
      </c>
      <c r="AC203">
        <f>IF(COUNTIFS(monthly!U:U,"",monthly!$A:$A,"&gt;="&amp;$A203,monthly!$B:$B,"&lt;="&amp;$B203)&gt;0,"NA",AVERAGEIFS(monthly!U:U,monthly!$A:$A,"&gt;="&amp;$A203,monthly!$B:$B,"&lt;="&amp;$B203))</f>
        <v>347.45210953290439</v>
      </c>
      <c r="AD203">
        <f>IF(COUNTIFS(monthly!V:V,"",monthly!$A:$A,"&gt;="&amp;$A203,monthly!$B:$B,"&lt;="&amp;$B203)&gt;0,"NA",AVERAGEIFS(monthly!V:V,monthly!$A:$A,"&gt;="&amp;$A203,monthly!$B:$B,"&lt;="&amp;$B203))</f>
        <v>193.13448126212799</v>
      </c>
      <c r="AE203">
        <f>IF(COUNTIFS(monthly!W:W,"",monthly!$A:$A,"&gt;="&amp;$A203,monthly!$B:$B,"&lt;="&amp;$B203)&gt;0,"NA",AVERAGEIFS(monthly!W:W,monthly!$A:$A,"&gt;="&amp;$A203,monthly!$B:$B,"&lt;="&amp;$B203))</f>
        <v>69.691492716471359</v>
      </c>
      <c r="AF203">
        <f>IF(COUNTIFS(monthly!X:X,"",monthly!$A:$A,"&gt;="&amp;$A203,monthly!$B:$B,"&lt;="&amp;$B203)&gt;0,"NA",AVERAGEIFS(monthly!X:X,monthly!$A:$A,"&gt;="&amp;$A203,monthly!$B:$B,"&lt;="&amp;$B203))</f>
        <v>83.660964965820312</v>
      </c>
      <c r="AG203">
        <f>IF(COUNTIFS(monthly!Y:Y,"",monthly!$A:$A,"&gt;="&amp;$A203,monthly!$B:$B,"&lt;="&amp;$B203)&gt;0,"NA",AVERAGEIFS(monthly!Y:Y,monthly!$A:$A,"&gt;="&amp;$A203,monthly!$B:$B,"&lt;="&amp;$B203))</f>
        <v>46.549226125081383</v>
      </c>
      <c r="AH203">
        <f>IF(COUNTIFS(monthly!Z:Z,"",monthly!$A:$A,"&gt;="&amp;$A203,monthly!$B:$B,"&lt;="&amp;$B203)&gt;0,"NA",AVERAGEIFS(monthly!Z:Z,monthly!$A:$A,"&gt;="&amp;$A203,monthly!$B:$B,"&lt;="&amp;$B203))</f>
        <v>0.105186827480793</v>
      </c>
    </row>
    <row r="204" spans="1:34" x14ac:dyDescent="0.2">
      <c r="A204" s="1">
        <v>44013</v>
      </c>
      <c r="B204" s="1">
        <v>44104</v>
      </c>
      <c r="C204">
        <f>IF(ISBLANK(VLOOKUP($A204,quarterly_data,MATCH(C$1,quarterly!$1:$1,FALSE),FALSE)),"NA",VLOOKUP($A204,quarterly_data,MATCH(C$1,quarterly!$1:$1,FALSE),FALSE))</f>
        <v>133.02608794508859</v>
      </c>
      <c r="D204">
        <f>IF(ISBLANK(VLOOKUP($A204,quarterly_data,MATCH(D$1,quarterly!$1:$1,FALSE),FALSE)),"NA",VLOOKUP($A204,quarterly_data,MATCH(D$1,quarterly!$1:$1,FALSE),FALSE))</f>
        <v>87.3</v>
      </c>
      <c r="E204">
        <f>IF(ISBLANK(VLOOKUP($A204,quarterly_data,MATCH(E$1,quarterly!$1:$1,FALSE),FALSE)),"NA",VLOOKUP($A204,quarterly_data,MATCH(E$1,quarterly!$1:$1,FALSE),FALSE))</f>
        <v>0.3702724</v>
      </c>
      <c r="F204">
        <f>IF(ISBLANK(VLOOKUP($A204,quarterly_data,MATCH(F$1,quarterly!$1:$1,FALSE),FALSE)),"NA",VLOOKUP($A204,quarterly_data,MATCH(F$1,quarterly!$1:$1,FALSE),FALSE))</f>
        <v>9.9691199999999994E-2</v>
      </c>
      <c r="G204">
        <f>IF(ISBLANK(VLOOKUP($A204,quarterly_data,MATCH(G$1,quarterly!$1:$1,FALSE),FALSE)),"NA",VLOOKUP($A204,quarterly_data,MATCH(G$1,quarterly!$1:$1,FALSE),FALSE))</f>
        <v>20558.879000000001</v>
      </c>
      <c r="H204">
        <f>IF(ISBLANK(VLOOKUP($A204,quarterly_data,MATCH(H$1,quarterly!$1:$1,FALSE),FALSE)),"NA",VLOOKUP($A204,quarterly_data,MATCH(H$1,quarterly!$1:$1,FALSE),FALSE))</f>
        <v>588877</v>
      </c>
      <c r="I204">
        <f>IF(ISBLANK(VLOOKUP($A204,quarterly_data,MATCH(I$1,quarterly!$1:$1,FALSE),FALSE)),"NA",VLOOKUP($A204,quarterly_data,MATCH(I$1,quarterly!$1:$1,FALSE),FALSE))</f>
        <v>0.3</v>
      </c>
      <c r="J204">
        <f>IF(ISBLANK(VLOOKUP($A204,quarterly_data,MATCH(J$1,quarterly!$1:$1,FALSE),FALSE)),"NA",VLOOKUP($A204,quarterly_data,MATCH(J$1,quarterly!$1:$1,FALSE),FALSE))</f>
        <v>80.67</v>
      </c>
      <c r="K204">
        <f>IF(COUNTIFS(monthly!C:C,"",monthly!$A:$A,"&gt;="&amp;$A204,monthly!$B:$B,"&lt;="&amp;$B204)&gt;0,"NA",AVERAGEIFS(monthly!C:C,monthly!$A:$A,"&gt;="&amp;$A204,monthly!$B:$B,"&lt;="&amp;$B204))</f>
        <v>61.733333333333327</v>
      </c>
      <c r="L204">
        <f>IF(COUNTIFS(monthly!D:D,"",monthly!$A:$A,"&gt;="&amp;$A204,monthly!$B:$B,"&lt;="&amp;$B204)&gt;0,"NA",AVERAGEIFS(monthly!D:D,monthly!$A:$A,"&gt;="&amp;$A204,monthly!$B:$B,"&lt;="&amp;$B204))</f>
        <v>0.72250000000000003</v>
      </c>
      <c r="M204">
        <f>IF(COUNTIFS(monthly!E:E,"",monthly!$A:$A,"&gt;="&amp;$A204,monthly!$B:$B,"&lt;="&amp;$B204)&gt;0,"NA",AVERAGEIFS(monthly!E:E,monthly!$A:$A,"&gt;="&amp;$A204,monthly!$B:$B,"&lt;="&amp;$B204))</f>
        <v>74.510670491220893</v>
      </c>
      <c r="N204">
        <f>IF(COUNTIFS(monthly!F:F,"",monthly!$A:$A,"&gt;="&amp;$A204,monthly!$B:$B,"&lt;="&amp;$B204)&gt;0,"NA",AVERAGEIFS(monthly!F:F,monthly!$A:$A,"&gt;="&amp;$A204,monthly!$B:$B,"&lt;="&amp;$B204))</f>
        <v>75.341499647137368</v>
      </c>
      <c r="O204">
        <f>IF(COUNTIFS(monthly!G:G,"",monthly!$A:$A,"&gt;="&amp;$A204,monthly!$B:$B,"&lt;="&amp;$B204)&gt;0,"NA",AVERAGEIFS(monthly!G:G,monthly!$A:$A,"&gt;="&amp;$A204,monthly!$B:$B,"&lt;="&amp;$B204))</f>
        <v>117.8</v>
      </c>
      <c r="P204">
        <f>IF(COUNTIFS(monthly!H:H,"",monthly!$A:$A,"&gt;="&amp;$A204,monthly!$B:$B,"&lt;="&amp;$B204)&gt;0,"NA",AVERAGEIFS(monthly!H:H,monthly!$A:$A,"&gt;="&amp;$A204,monthly!$B:$B,"&lt;="&amp;$B204))</f>
        <v>52.1</v>
      </c>
      <c r="Q204">
        <f>IF(COUNTIFS(monthly!I:I,"",monthly!$A:$A,"&gt;="&amp;$A204,monthly!$B:$B,"&lt;="&amp;$B204)&gt;0,"NA",AVERAGEIFS(monthly!I:I,monthly!$A:$A,"&gt;="&amp;$A204,monthly!$B:$B,"&lt;="&amp;$B204))</f>
        <v>42.733333333333327</v>
      </c>
      <c r="R204">
        <f>IF(COUNTIFS(monthly!J:J,"",monthly!$A:$A,"&gt;="&amp;$A204,monthly!$B:$B,"&lt;="&amp;$B204)&gt;0,"NA",AVERAGEIFS(monthly!J:J,monthly!$A:$A,"&gt;="&amp;$A204,monthly!$B:$B,"&lt;="&amp;$B204))</f>
        <v>6.669999999999999</v>
      </c>
      <c r="S204">
        <f>IF(COUNTIFS(monthly!K:K,"",monthly!$A:$A,"&gt;="&amp;$A204,monthly!$B:$B,"&lt;="&amp;$B204)&gt;0,"NA",AVERAGEIFS(monthly!K:K,monthly!$A:$A,"&gt;="&amp;$A204,monthly!$B:$B,"&lt;="&amp;$B204))</f>
        <v>0.13</v>
      </c>
      <c r="T204">
        <f>IF(COUNTIFS(monthly!L:L,"",monthly!$A:$A,"&gt;="&amp;$A204,monthly!$B:$B,"&lt;="&amp;$B204)&gt;0,"NA",AVERAGEIFS(monthly!L:L,monthly!$A:$A,"&gt;="&amp;$A204,monthly!$B:$B,"&lt;="&amp;$B204))</f>
        <v>9.2580645161290318E-2</v>
      </c>
      <c r="U204">
        <f>IF(COUNTIFS(monthly!M:M,"",monthly!$A:$A,"&gt;="&amp;$A204,monthly!$B:$B,"&lt;="&amp;$B204)&gt;0,"NA",AVERAGEIFS(monthly!M:M,monthly!$A:$A,"&gt;="&amp;$A204,monthly!$B:$B,"&lt;="&amp;$B204))</f>
        <v>3.741935483870968E-2</v>
      </c>
      <c r="V204">
        <f>IF(COUNTIFS(monthly!N:N,"",monthly!$A:$A,"&gt;="&amp;$A204,monthly!$B:$B,"&lt;="&amp;$B204)&gt;0,"NA",AVERAGEIFS(monthly!N:N,monthly!$A:$A,"&gt;="&amp;$A204,monthly!$B:$B,"&lt;="&amp;$B204))</f>
        <v>0.25133333333333335</v>
      </c>
      <c r="W204">
        <f>IF(COUNTIFS(monthly!O:O,"",monthly!$A:$A,"&gt;="&amp;$A204,monthly!$B:$B,"&lt;="&amp;$B204)&gt;0,"NA",AVERAGEIFS(monthly!O:O,monthly!$A:$A,"&gt;="&amp;$A204,monthly!$B:$B,"&lt;="&amp;$B204))</f>
        <v>0.14082251082251085</v>
      </c>
      <c r="X204">
        <f>IF(COUNTIFS(monthly!P:P,"",monthly!$A:$A,"&gt;="&amp;$A204,monthly!$B:$B,"&lt;="&amp;$B204)&gt;0,"NA",AVERAGEIFS(monthly!P:P,monthly!$A:$A,"&gt;="&amp;$A204,monthly!$B:$B,"&lt;="&amp;$B204))</f>
        <v>0.11051082251082249</v>
      </c>
      <c r="Y204">
        <f>IF(COUNTIFS(monthly!Q:Q,"",monthly!$A:$A,"&gt;="&amp;$A204,monthly!$B:$B,"&lt;="&amp;$B204)&gt;0,"NA",AVERAGEIFS(monthly!Q:Q,monthly!$A:$A,"&gt;="&amp;$A204,monthly!$B:$B,"&lt;="&amp;$B204))</f>
        <v>0.89866666666666672</v>
      </c>
      <c r="Z204">
        <f>IF(COUNTIFS(monthly!R:R,"",monthly!$A:$A,"&gt;="&amp;$A204,monthly!$B:$B,"&lt;="&amp;$B204)&gt;0,"NA",AVERAGEIFS(monthly!R:R,monthly!$A:$A,"&gt;="&amp;$A204,monthly!$B:$B,"&lt;="&amp;$B204))</f>
        <v>0.651053391053391</v>
      </c>
      <c r="AA204">
        <f>IF(COUNTIFS(monthly!S:S,"",monthly!$A:$A,"&gt;="&amp;$A204,monthly!$B:$B,"&lt;="&amp;$B204)&gt;0,"NA",AVERAGEIFS(monthly!S:S,monthly!$A:$A,"&gt;="&amp;$A204,monthly!$B:$B,"&lt;="&amp;$B204))</f>
        <v>0.24761327561327573</v>
      </c>
      <c r="AB204">
        <f>IF(COUNTIFS(monthly!T:T,"",monthly!$A:$A,"&gt;="&amp;$A204,monthly!$B:$B,"&lt;="&amp;$B204)&gt;0,"NA",AVERAGEIFS(monthly!T:T,monthly!$A:$A,"&gt;="&amp;$A204,monthly!$B:$B,"&lt;="&amp;$B204))</f>
        <v>25.792532467532467</v>
      </c>
      <c r="AC204">
        <f>IF(COUNTIFS(monthly!U:U,"",monthly!$A:$A,"&gt;="&amp;$A204,monthly!$B:$B,"&lt;="&amp;$B204)&gt;0,"NA",AVERAGEIFS(monthly!U:U,monthly!$A:$A,"&gt;="&amp;$A204,monthly!$B:$B,"&lt;="&amp;$B204))</f>
        <v>300.25668065235232</v>
      </c>
      <c r="AD204">
        <f>IF(COUNTIFS(monthly!V:V,"",monthly!$A:$A,"&gt;="&amp;$A204,monthly!$B:$B,"&lt;="&amp;$B204)&gt;0,"NA",AVERAGEIFS(monthly!V:V,monthly!$A:$A,"&gt;="&amp;$A204,monthly!$B:$B,"&lt;="&amp;$B204))</f>
        <v>187.04040251953151</v>
      </c>
      <c r="AE204">
        <f>IF(COUNTIFS(monthly!W:W,"",monthly!$A:$A,"&gt;="&amp;$A204,monthly!$B:$B,"&lt;="&amp;$B204)&gt;0,"NA",AVERAGEIFS(monthly!W:W,monthly!$A:$A,"&gt;="&amp;$A204,monthly!$B:$B,"&lt;="&amp;$B204))</f>
        <v>70.772237141927079</v>
      </c>
      <c r="AF204">
        <f>IF(COUNTIFS(monthly!X:X,"",monthly!$A:$A,"&gt;="&amp;$A204,monthly!$B:$B,"&lt;="&amp;$B204)&gt;0,"NA",AVERAGEIFS(monthly!X:X,monthly!$A:$A,"&gt;="&amp;$A204,monthly!$B:$B,"&lt;="&amp;$B204))</f>
        <v>93.334912618001297</v>
      </c>
      <c r="AG204">
        <f>IF(COUNTIFS(monthly!Y:Y,"",monthly!$A:$A,"&gt;="&amp;$A204,monthly!$B:$B,"&lt;="&amp;$B204)&gt;0,"NA",AVERAGEIFS(monthly!Y:Y,monthly!$A:$A,"&gt;="&amp;$A204,monthly!$B:$B,"&lt;="&amp;$B204))</f>
        <v>38.074930826822914</v>
      </c>
      <c r="AH204">
        <f>IF(COUNTIFS(monthly!Z:Z,"",monthly!$A:$A,"&gt;="&amp;$A204,monthly!$B:$B,"&lt;="&amp;$B204)&gt;0,"NA",AVERAGEIFS(monthly!Z:Z,monthly!$A:$A,"&gt;="&amp;$A204,monthly!$B:$B,"&lt;="&amp;$B204))</f>
        <v>0.16303298870722452</v>
      </c>
    </row>
    <row r="205" spans="1:34" x14ac:dyDescent="0.2">
      <c r="A205" s="1">
        <v>44105</v>
      </c>
      <c r="B205" s="1">
        <v>44196</v>
      </c>
      <c r="C205">
        <f>IF(ISBLANK(VLOOKUP($A205,quarterly_data,MATCH(C$1,quarterly!$1:$1,FALSE),FALSE)),"NA",VLOOKUP($A205,quarterly_data,MATCH(C$1,quarterly!$1:$1,FALSE),FALSE))</f>
        <v>132.59731928761528</v>
      </c>
      <c r="D205">
        <f>IF(ISBLANK(VLOOKUP($A205,quarterly_data,MATCH(D$1,quarterly!$1:$1,FALSE),FALSE)),"NA",VLOOKUP($A205,quarterly_data,MATCH(D$1,quarterly!$1:$1,FALSE),FALSE))</f>
        <v>90.3</v>
      </c>
      <c r="E205">
        <f>IF(ISBLANK(VLOOKUP($A205,quarterly_data,MATCH(E$1,quarterly!$1:$1,FALSE),FALSE)),"NA",VLOOKUP($A205,quarterly_data,MATCH(E$1,quarterly!$1:$1,FALSE),FALSE))</f>
        <v>0.37380380000000002</v>
      </c>
      <c r="F205">
        <f>IF(ISBLANK(VLOOKUP($A205,quarterly_data,MATCH(F$1,quarterly!$1:$1,FALSE),FALSE)),"NA",VLOOKUP($A205,quarterly_data,MATCH(F$1,quarterly!$1:$1,FALSE),FALSE))</f>
        <v>0.1160482</v>
      </c>
      <c r="G205">
        <f>IF(ISBLANK(VLOOKUP($A205,quarterly_data,MATCH(G$1,quarterly!$1:$1,FALSE),FALSE)),"NA",VLOOKUP($A205,quarterly_data,MATCH(G$1,quarterly!$1:$1,FALSE),FALSE))</f>
        <v>20791.917000000001</v>
      </c>
      <c r="H205">
        <f>IF(ISBLANK(VLOOKUP($A205,quarterly_data,MATCH(H$1,quarterly!$1:$1,FALSE),FALSE)),"NA",VLOOKUP($A205,quarterly_data,MATCH(H$1,quarterly!$1:$1,FALSE),FALSE))</f>
        <v>609061</v>
      </c>
      <c r="I205">
        <f>IF(ISBLANK(VLOOKUP($A205,quarterly_data,MATCH(I$1,quarterly!$1:$1,FALSE),FALSE)),"NA",VLOOKUP($A205,quarterly_data,MATCH(I$1,quarterly!$1:$1,FALSE),FALSE))</f>
        <v>0.5</v>
      </c>
      <c r="J205">
        <f>IF(ISBLANK(VLOOKUP($A205,quarterly_data,MATCH(J$1,quarterly!$1:$1,FALSE),FALSE)),"NA",VLOOKUP($A205,quarterly_data,MATCH(J$1,quarterly!$1:$1,FALSE),FALSE))</f>
        <v>81.400000000000006</v>
      </c>
      <c r="K205">
        <f>IF(COUNTIFS(monthly!C:C,"",monthly!$A:$A,"&gt;="&amp;$A205,monthly!$B:$B,"&lt;="&amp;$B205)&gt;0,"NA",AVERAGEIFS(monthly!C:C,monthly!$A:$A,"&gt;="&amp;$A205,monthly!$B:$B,"&lt;="&amp;$B205))</f>
        <v>61.466666666666669</v>
      </c>
      <c r="L205">
        <f>IF(COUNTIFS(monthly!D:D,"",monthly!$A:$A,"&gt;="&amp;$A205,monthly!$B:$B,"&lt;="&amp;$B205)&gt;0,"NA",AVERAGEIFS(monthly!D:D,monthly!$A:$A,"&gt;="&amp;$A205,monthly!$B:$B,"&lt;="&amp;$B205))</f>
        <v>0.73796666666666655</v>
      </c>
      <c r="M205">
        <f>IF(COUNTIFS(monthly!E:E,"",monthly!$A:$A,"&gt;="&amp;$A205,monthly!$B:$B,"&lt;="&amp;$B205)&gt;0,"NA",AVERAGEIFS(monthly!E:E,monthly!$A:$A,"&gt;="&amp;$A205,monthly!$B:$B,"&lt;="&amp;$B205))</f>
        <v>81.446518353614593</v>
      </c>
      <c r="N205">
        <f>IF(COUNTIFS(monthly!F:F,"",monthly!$A:$A,"&gt;="&amp;$A205,monthly!$B:$B,"&lt;="&amp;$B205)&gt;0,"NA",AVERAGEIFS(monthly!F:F,monthly!$A:$A,"&gt;="&amp;$A205,monthly!$B:$B,"&lt;="&amp;$B205))</f>
        <v>82.382410047566864</v>
      </c>
      <c r="O205">
        <f>IF(COUNTIFS(monthly!G:G,"",monthly!$A:$A,"&gt;="&amp;$A205,monthly!$B:$B,"&lt;="&amp;$B205)&gt;0,"NA",AVERAGEIFS(monthly!G:G,monthly!$A:$A,"&gt;="&amp;$A205,monthly!$B:$B,"&lt;="&amp;$B205))</f>
        <v>133.20000000000002</v>
      </c>
      <c r="P205">
        <f>IF(COUNTIFS(monthly!H:H,"",monthly!$A:$A,"&gt;="&amp;$A205,monthly!$B:$B,"&lt;="&amp;$B205)&gt;0,"NA",AVERAGEIFS(monthly!H:H,monthly!$A:$A,"&gt;="&amp;$A205,monthly!$B:$B,"&lt;="&amp;$B205))</f>
        <v>68.600000000000009</v>
      </c>
      <c r="Q205">
        <f>IF(COUNTIFS(monthly!I:I,"",monthly!$A:$A,"&gt;="&amp;$A205,monthly!$B:$B,"&lt;="&amp;$B205)&gt;0,"NA",AVERAGEIFS(monthly!I:I,monthly!$A:$A,"&gt;="&amp;$A205,monthly!$B:$B,"&lt;="&amp;$B205))</f>
        <v>44.533333333333331</v>
      </c>
      <c r="R205">
        <f>IF(COUNTIFS(monthly!J:J,"",monthly!$A:$A,"&gt;="&amp;$A205,monthly!$B:$B,"&lt;="&amp;$B205)&gt;0,"NA",AVERAGEIFS(monthly!J:J,monthly!$A:$A,"&gt;="&amp;$A205,monthly!$B:$B,"&lt;="&amp;$B205))</f>
        <v>6.8999999999999995</v>
      </c>
      <c r="S205">
        <f>IF(COUNTIFS(monthly!K:K,"",monthly!$A:$A,"&gt;="&amp;$A205,monthly!$B:$B,"&lt;="&amp;$B205)&gt;0,"NA",AVERAGEIFS(monthly!K:K,monthly!$A:$A,"&gt;="&amp;$A205,monthly!$B:$B,"&lt;="&amp;$B205))</f>
        <v>7.6666666666666675E-2</v>
      </c>
      <c r="T205">
        <f>IF(COUNTIFS(monthly!L:L,"",monthly!$A:$A,"&gt;="&amp;$A205,monthly!$B:$B,"&lt;="&amp;$B205)&gt;0,"NA",AVERAGEIFS(monthly!L:L,monthly!$A:$A,"&gt;="&amp;$A205,monthly!$B:$B,"&lt;="&amp;$B205))</f>
        <v>8.8777777777777775E-2</v>
      </c>
      <c r="U205">
        <f>IF(COUNTIFS(monthly!M:M,"",monthly!$A:$A,"&gt;="&amp;$A205,monthly!$B:$B,"&lt;="&amp;$B205)&gt;0,"NA",AVERAGEIFS(monthly!M:M,monthly!$A:$A,"&gt;="&amp;$A205,monthly!$B:$B,"&lt;="&amp;$B205))</f>
        <v>-1.2111111111111107E-2</v>
      </c>
      <c r="V205">
        <f>IF(COUNTIFS(monthly!N:N,"",monthly!$A:$A,"&gt;="&amp;$A205,monthly!$B:$B,"&lt;="&amp;$B205)&gt;0,"NA",AVERAGEIFS(monthly!N:N,monthly!$A:$A,"&gt;="&amp;$A205,monthly!$B:$B,"&lt;="&amp;$B205))</f>
        <v>0.10933333333333334</v>
      </c>
      <c r="W205">
        <f>IF(COUNTIFS(monthly!O:O,"",monthly!$A:$A,"&gt;="&amp;$A205,monthly!$B:$B,"&lt;="&amp;$B205)&gt;0,"NA",AVERAGEIFS(monthly!O:O,monthly!$A:$A,"&gt;="&amp;$A205,monthly!$B:$B,"&lt;="&amp;$B205))</f>
        <v>0.15040745803903699</v>
      </c>
      <c r="X205">
        <f>IF(COUNTIFS(monthly!P:P,"",monthly!$A:$A,"&gt;="&amp;$A205,monthly!$B:$B,"&lt;="&amp;$B205)&gt;0,"NA",AVERAGEIFS(monthly!P:P,monthly!$A:$A,"&gt;="&amp;$A205,monthly!$B:$B,"&lt;="&amp;$B205))</f>
        <v>-4.1074124705703659E-2</v>
      </c>
      <c r="Y205">
        <f>IF(COUNTIFS(monthly!Q:Q,"",monthly!$A:$A,"&gt;="&amp;$A205,monthly!$B:$B,"&lt;="&amp;$B205)&gt;0,"NA",AVERAGEIFS(monthly!Q:Q,monthly!$A:$A,"&gt;="&amp;$A205,monthly!$B:$B,"&lt;="&amp;$B205))</f>
        <v>0.878</v>
      </c>
      <c r="Z205">
        <f>IF(COUNTIFS(monthly!R:R,"",monthly!$A:$A,"&gt;="&amp;$A205,monthly!$B:$B,"&lt;="&amp;$B205)&gt;0,"NA",AVERAGEIFS(monthly!R:R,monthly!$A:$A,"&gt;="&amp;$A205,monthly!$B:$B,"&lt;="&amp;$B205))</f>
        <v>0.86359307359307358</v>
      </c>
      <c r="AA205">
        <f>IF(COUNTIFS(monthly!S:S,"",monthly!$A:$A,"&gt;="&amp;$A205,monthly!$B:$B,"&lt;="&amp;$B205)&gt;0,"NA",AVERAGEIFS(monthly!S:S,monthly!$A:$A,"&gt;="&amp;$A205,monthly!$B:$B,"&lt;="&amp;$B205))</f>
        <v>1.4406926406926424E-2</v>
      </c>
      <c r="AB205">
        <f>IF(COUNTIFS(monthly!T:T,"",monthly!$A:$A,"&gt;="&amp;$A205,monthly!$B:$B,"&lt;="&amp;$B205)&gt;0,"NA",AVERAGEIFS(monthly!T:T,monthly!$A:$A,"&gt;="&amp;$A205,monthly!$B:$B,"&lt;="&amp;$B205))</f>
        <v>25.602742424242422</v>
      </c>
      <c r="AC205">
        <f>IF(COUNTIFS(monthly!U:U,"",monthly!$A:$A,"&gt;="&amp;$A205,monthly!$B:$B,"&lt;="&amp;$B205)&gt;0,"NA",AVERAGEIFS(monthly!U:U,monthly!$A:$A,"&gt;="&amp;$A205,monthly!$B:$B,"&lt;="&amp;$B205))</f>
        <v>331.34844305284054</v>
      </c>
      <c r="AD205">
        <f>IF(COUNTIFS(monthly!V:V,"",monthly!$A:$A,"&gt;="&amp;$A205,monthly!$B:$B,"&lt;="&amp;$B205)&gt;0,"NA",AVERAGEIFS(monthly!V:V,monthly!$A:$A,"&gt;="&amp;$A205,monthly!$B:$B,"&lt;="&amp;$B205))</f>
        <v>162.9693905037303</v>
      </c>
      <c r="AE205">
        <f>IF(COUNTIFS(monthly!W:W,"",monthly!$A:$A,"&gt;="&amp;$A205,monthly!$B:$B,"&lt;="&amp;$B205)&gt;0,"NA",AVERAGEIFS(monthly!W:W,monthly!$A:$A,"&gt;="&amp;$A205,monthly!$B:$B,"&lt;="&amp;$B205))</f>
        <v>70.072642008463546</v>
      </c>
      <c r="AF205">
        <f>IF(COUNTIFS(monthly!X:X,"",monthly!$A:$A,"&gt;="&amp;$A205,monthly!$B:$B,"&lt;="&amp;$B205)&gt;0,"NA",AVERAGEIFS(monthly!X:X,monthly!$A:$A,"&gt;="&amp;$A205,monthly!$B:$B,"&lt;="&amp;$B205))</f>
        <v>87.834767659505204</v>
      </c>
      <c r="AG205">
        <f>IF(COUNTIFS(monthly!Y:Y,"",monthly!$A:$A,"&gt;="&amp;$A205,monthly!$B:$B,"&lt;="&amp;$B205)&gt;0,"NA",AVERAGEIFS(monthly!Y:Y,monthly!$A:$A,"&gt;="&amp;$A205,monthly!$B:$B,"&lt;="&amp;$B205))</f>
        <v>45.579938888549805</v>
      </c>
      <c r="AH205">
        <f>IF(COUNTIFS(monthly!Z:Z,"",monthly!$A:$A,"&gt;="&amp;$A205,monthly!$B:$B,"&lt;="&amp;$B205)&gt;0,"NA",AVERAGEIFS(monthly!Z:Z,monthly!$A:$A,"&gt;="&amp;$A205,monthly!$B:$B,"&lt;="&amp;$B205))</f>
        <v>8.7711592515309647E-2</v>
      </c>
    </row>
    <row r="206" spans="1:34" x14ac:dyDescent="0.2">
      <c r="A206" s="1">
        <v>44197</v>
      </c>
      <c r="B206" s="1">
        <v>44286</v>
      </c>
      <c r="C206">
        <f>IF(ISBLANK(VLOOKUP($A206,quarterly_data,MATCH(C$1,quarterly!$1:$1,FALSE),FALSE)),"NA",VLOOKUP($A206,quarterly_data,MATCH(C$1,quarterly!$1:$1,FALSE),FALSE))</f>
        <v>138.41453317741858</v>
      </c>
      <c r="D206">
        <f>IF(ISBLANK(VLOOKUP($A206,quarterly_data,MATCH(D$1,quarterly!$1:$1,FALSE),FALSE)),"NA",VLOOKUP($A206,quarterly_data,MATCH(D$1,quarterly!$1:$1,FALSE),FALSE))</f>
        <v>96.7</v>
      </c>
      <c r="E206">
        <f>IF(ISBLANK(VLOOKUP($A206,quarterly_data,MATCH(E$1,quarterly!$1:$1,FALSE),FALSE)),"NA",VLOOKUP($A206,quarterly_data,MATCH(E$1,quarterly!$1:$1,FALSE),FALSE))</f>
        <v>0.21688840000000001</v>
      </c>
      <c r="F206">
        <f>IF(ISBLANK(VLOOKUP($A206,quarterly_data,MATCH(F$1,quarterly!$1:$1,FALSE),FALSE)),"NA",VLOOKUP($A206,quarterly_data,MATCH(F$1,quarterly!$1:$1,FALSE),FALSE))</f>
        <v>9.3100500000000003E-2</v>
      </c>
      <c r="G206">
        <f>IF(ISBLANK(VLOOKUP($A206,quarterly_data,MATCH(G$1,quarterly!$1:$1,FALSE),FALSE)),"NA",VLOOKUP($A206,quarterly_data,MATCH(G$1,quarterly!$1:$1,FALSE),FALSE))</f>
        <v>21082.133999999998</v>
      </c>
      <c r="H206">
        <f>IF(ISBLANK(VLOOKUP($A206,quarterly_data,MATCH(H$1,quarterly!$1:$1,FALSE),FALSE)),"NA",VLOOKUP($A206,quarterly_data,MATCH(H$1,quarterly!$1:$1,FALSE),FALSE))</f>
        <v>622761</v>
      </c>
      <c r="I206">
        <f>IF(ISBLANK(VLOOKUP($A206,quarterly_data,MATCH(I$1,quarterly!$1:$1,FALSE),FALSE)),"NA",VLOOKUP($A206,quarterly_data,MATCH(I$1,quarterly!$1:$1,FALSE),FALSE))</f>
        <v>0.3</v>
      </c>
      <c r="J206">
        <f>IF(ISBLANK(VLOOKUP($A206,quarterly_data,MATCH(J$1,quarterly!$1:$1,FALSE),FALSE)),"NA",VLOOKUP($A206,quarterly_data,MATCH(J$1,quarterly!$1:$1,FALSE),FALSE))</f>
        <v>81.87</v>
      </c>
      <c r="K206">
        <f>IF(COUNTIFS(monthly!C:C,"",monthly!$A:$A,"&gt;="&amp;$A206,monthly!$B:$B,"&lt;="&amp;$B206)&gt;0,"NA",AVERAGEIFS(monthly!C:C,monthly!$A:$A,"&gt;="&amp;$A206,monthly!$B:$B,"&lt;="&amp;$B206))</f>
        <v>63.800000000000004</v>
      </c>
      <c r="L206">
        <f>IF(COUNTIFS(monthly!D:D,"",monthly!$A:$A,"&gt;="&amp;$A206,monthly!$B:$B,"&lt;="&amp;$B206)&gt;0,"NA",AVERAGEIFS(monthly!D:D,monthly!$A:$A,"&gt;="&amp;$A206,monthly!$B:$B,"&lt;="&amp;$B206))</f>
        <v>0.76919999999999999</v>
      </c>
      <c r="M206">
        <f>IF(COUNTIFS(monthly!E:E,"",monthly!$A:$A,"&gt;="&amp;$A206,monthly!$B:$B,"&lt;="&amp;$B206)&gt;0,"NA",AVERAGEIFS(monthly!E:E,monthly!$A:$A,"&gt;="&amp;$A206,monthly!$B:$B,"&lt;="&amp;$B206))</f>
        <v>96.487318075167067</v>
      </c>
      <c r="N206">
        <f>IF(COUNTIFS(monthly!F:F,"",monthly!$A:$A,"&gt;="&amp;$A206,monthly!$B:$B,"&lt;="&amp;$B206)&gt;0,"NA",AVERAGEIFS(monthly!F:F,monthly!$A:$A,"&gt;="&amp;$A206,monthly!$B:$B,"&lt;="&amp;$B206))</f>
        <v>98.256257214373065</v>
      </c>
      <c r="O206">
        <f>IF(COUNTIFS(monthly!G:G,"",monthly!$A:$A,"&gt;="&amp;$A206,monthly!$B:$B,"&lt;="&amp;$B206)&gt;0,"NA",AVERAGEIFS(monthly!G:G,monthly!$A:$A,"&gt;="&amp;$A206,monthly!$B:$B,"&lt;="&amp;$B206))</f>
        <v>167.2</v>
      </c>
      <c r="P206">
        <f>IF(COUNTIFS(monthly!H:H,"",monthly!$A:$A,"&gt;="&amp;$A206,monthly!$B:$B,"&lt;="&amp;$B206)&gt;0,"NA",AVERAGEIFS(monthly!H:H,monthly!$A:$A,"&gt;="&amp;$A206,monthly!$B:$B,"&lt;="&amp;$B206))</f>
        <v>89.466666666666654</v>
      </c>
      <c r="Q206">
        <f>IF(COUNTIFS(monthly!I:I,"",monthly!$A:$A,"&gt;="&amp;$A206,monthly!$B:$B,"&lt;="&amp;$B206)&gt;0,"NA",AVERAGEIFS(monthly!I:I,monthly!$A:$A,"&gt;="&amp;$A206,monthly!$B:$B,"&lt;="&amp;$B206))</f>
        <v>60.6</v>
      </c>
      <c r="R206">
        <f>IF(COUNTIFS(monthly!J:J,"",monthly!$A:$A,"&gt;="&amp;$A206,monthly!$B:$B,"&lt;="&amp;$B206)&gt;0,"NA",AVERAGEIFS(monthly!J:J,monthly!$A:$A,"&gt;="&amp;$A206,monthly!$B:$B,"&lt;="&amp;$B206))</f>
        <v>8.9266666666666676</v>
      </c>
      <c r="S206">
        <f>IF(COUNTIFS(monthly!K:K,"",monthly!$A:$A,"&gt;="&amp;$A206,monthly!$B:$B,"&lt;="&amp;$B206)&gt;0,"NA",AVERAGEIFS(monthly!K:K,monthly!$A:$A,"&gt;="&amp;$A206,monthly!$B:$B,"&lt;="&amp;$B206))</f>
        <v>0.03</v>
      </c>
      <c r="T206">
        <f>IF(COUNTIFS(monthly!L:L,"",monthly!$A:$A,"&gt;="&amp;$A206,monthly!$B:$B,"&lt;="&amp;$B206)&gt;0,"NA",AVERAGEIFS(monthly!L:L,monthly!$A:$A,"&gt;="&amp;$A206,monthly!$B:$B,"&lt;="&amp;$B206))</f>
        <v>7.6850998463901699E-2</v>
      </c>
      <c r="U206">
        <f>IF(COUNTIFS(monthly!M:M,"",monthly!$A:$A,"&gt;="&amp;$A206,monthly!$B:$B,"&lt;="&amp;$B206)&gt;0,"NA",AVERAGEIFS(monthly!M:M,monthly!$A:$A,"&gt;="&amp;$A206,monthly!$B:$B,"&lt;="&amp;$B206))</f>
        <v>-4.6850998463901707E-2</v>
      </c>
      <c r="V206">
        <f>IF(COUNTIFS(monthly!N:N,"",monthly!$A:$A,"&gt;="&amp;$A206,monthly!$B:$B,"&lt;="&amp;$B206)&gt;0,"NA",AVERAGEIFS(monthly!N:N,monthly!$A:$A,"&gt;="&amp;$A206,monthly!$B:$B,"&lt;="&amp;$B206))</f>
        <v>8.9333333333333334E-2</v>
      </c>
      <c r="W206">
        <f>IF(COUNTIFS(monthly!O:O,"",monthly!$A:$A,"&gt;="&amp;$A206,monthly!$B:$B,"&lt;="&amp;$B206)&gt;0,"NA",AVERAGEIFS(monthly!O:O,monthly!$A:$A,"&gt;="&amp;$A206,monthly!$B:$B,"&lt;="&amp;$B206))</f>
        <v>0.13109077040427156</v>
      </c>
      <c r="X206">
        <f>IF(COUNTIFS(monthly!P:P,"",monthly!$A:$A,"&gt;="&amp;$A206,monthly!$B:$B,"&lt;="&amp;$B206)&gt;0,"NA",AVERAGEIFS(monthly!P:P,monthly!$A:$A,"&gt;="&amp;$A206,monthly!$B:$B,"&lt;="&amp;$B206))</f>
        <v>-4.1757437070938229E-2</v>
      </c>
      <c r="Y206">
        <f>IF(COUNTIFS(monthly!Q:Q,"",monthly!$A:$A,"&gt;="&amp;$A206,monthly!$B:$B,"&lt;="&amp;$B206)&gt;0,"NA",AVERAGEIFS(monthly!Q:Q,monthly!$A:$A,"&gt;="&amp;$A206,monthly!$B:$B,"&lt;="&amp;$B206))</f>
        <v>1.3646666666666667</v>
      </c>
      <c r="Z206">
        <f>IF(COUNTIFS(monthly!R:R,"",monthly!$A:$A,"&gt;="&amp;$A206,monthly!$B:$B,"&lt;="&amp;$B206)&gt;0,"NA",AVERAGEIFS(monthly!R:R,monthly!$A:$A,"&gt;="&amp;$A206,monthly!$B:$B,"&lt;="&amp;$B206))</f>
        <v>1.3166056445461478</v>
      </c>
      <c r="AA206">
        <f>IF(COUNTIFS(monthly!S:S,"",monthly!$A:$A,"&gt;="&amp;$A206,monthly!$B:$B,"&lt;="&amp;$B206)&gt;0,"NA",AVERAGEIFS(monthly!S:S,monthly!$A:$A,"&gt;="&amp;$A206,monthly!$B:$B,"&lt;="&amp;$B206))</f>
        <v>4.8061022120518881E-2</v>
      </c>
      <c r="AB206">
        <f>IF(COUNTIFS(monthly!T:T,"",monthly!$A:$A,"&gt;="&amp;$A206,monthly!$B:$B,"&lt;="&amp;$B206)&gt;0,"NA",AVERAGEIFS(monthly!T:T,monthly!$A:$A,"&gt;="&amp;$A206,monthly!$B:$B,"&lt;="&amp;$B206))</f>
        <v>23.297856598016779</v>
      </c>
      <c r="AC206">
        <f>IF(COUNTIFS(monthly!U:U,"",monthly!$A:$A,"&gt;="&amp;$A206,monthly!$B:$B,"&lt;="&amp;$B206)&gt;0,"NA",AVERAGEIFS(monthly!U:U,monthly!$A:$A,"&gt;="&amp;$A206,monthly!$B:$B,"&lt;="&amp;$B206))</f>
        <v>224.15423411619565</v>
      </c>
      <c r="AD206">
        <f>IF(COUNTIFS(monthly!V:V,"",monthly!$A:$A,"&gt;="&amp;$A206,monthly!$B:$B,"&lt;="&amp;$B206)&gt;0,"NA",AVERAGEIFS(monthly!V:V,monthly!$A:$A,"&gt;="&amp;$A206,monthly!$B:$B,"&lt;="&amp;$B206))</f>
        <v>101.4227271187609</v>
      </c>
      <c r="AE206">
        <f>IF(COUNTIFS(monthly!W:W,"",monthly!$A:$A,"&gt;="&amp;$A206,monthly!$B:$B,"&lt;="&amp;$B206)&gt;0,"NA",AVERAGEIFS(monthly!W:W,monthly!$A:$A,"&gt;="&amp;$A206,monthly!$B:$B,"&lt;="&amp;$B206))</f>
        <v>76.664756774902344</v>
      </c>
      <c r="AF206">
        <f>IF(COUNTIFS(monthly!X:X,"",monthly!$A:$A,"&gt;="&amp;$A206,monthly!$B:$B,"&lt;="&amp;$B206)&gt;0,"NA",AVERAGEIFS(monthly!X:X,monthly!$A:$A,"&gt;="&amp;$A206,monthly!$B:$B,"&lt;="&amp;$B206))</f>
        <v>97.937067667643234</v>
      </c>
      <c r="AG206">
        <f>IF(COUNTIFS(monthly!Y:Y,"",monthly!$A:$A,"&gt;="&amp;$A206,monthly!$B:$B,"&lt;="&amp;$B206)&gt;0,"NA",AVERAGEIFS(monthly!Y:Y,monthly!$A:$A,"&gt;="&amp;$A206,monthly!$B:$B,"&lt;="&amp;$B206))</f>
        <v>48.010768890380859</v>
      </c>
      <c r="AH206">
        <f>IF(COUNTIFS(monthly!Z:Z,"",monthly!$A:$A,"&gt;="&amp;$A206,monthly!$B:$B,"&lt;="&amp;$B206)&gt;0,"NA",AVERAGEIFS(monthly!Z:Z,monthly!$A:$A,"&gt;="&amp;$A206,monthly!$B:$B,"&lt;="&amp;$B206))</f>
        <v>0.13966646293799082</v>
      </c>
    </row>
    <row r="207" spans="1:34" x14ac:dyDescent="0.2">
      <c r="A207" s="1">
        <v>44287</v>
      </c>
      <c r="B207" s="1">
        <v>44377</v>
      </c>
      <c r="C207">
        <f>IF(ISBLANK(VLOOKUP($A207,quarterly_data,MATCH(C$1,quarterly!$1:$1,FALSE),FALSE)),"NA",VLOOKUP($A207,quarterly_data,MATCH(C$1,quarterly!$1:$1,FALSE),FALSE))</f>
        <v>138.40090166171925</v>
      </c>
      <c r="D207">
        <f>IF(ISBLANK(VLOOKUP($A207,quarterly_data,MATCH(D$1,quarterly!$1:$1,FALSE),FALSE)),"NA",VLOOKUP($A207,quarterly_data,MATCH(D$1,quarterly!$1:$1,FALSE),FALSE))</f>
        <v>106.5</v>
      </c>
      <c r="E207">
        <f>IF(ISBLANK(VLOOKUP($A207,quarterly_data,MATCH(E$1,quarterly!$1:$1,FALSE),FALSE)),"NA",VLOOKUP($A207,quarterly_data,MATCH(E$1,quarterly!$1:$1,FALSE),FALSE))</f>
        <v>0.30969340000000001</v>
      </c>
      <c r="F207">
        <f>IF(ISBLANK(VLOOKUP($A207,quarterly_data,MATCH(F$1,quarterly!$1:$1,FALSE),FALSE)),"NA",VLOOKUP($A207,quarterly_data,MATCH(F$1,quarterly!$1:$1,FALSE),FALSE))</f>
        <v>9.6087599999999995E-2</v>
      </c>
      <c r="G207">
        <f>IF(ISBLANK(VLOOKUP($A207,quarterly_data,MATCH(G$1,quarterly!$1:$1,FALSE),FALSE)),"NA",VLOOKUP($A207,quarterly_data,MATCH(G$1,quarterly!$1:$1,FALSE),FALSE))</f>
        <v>21440.929</v>
      </c>
      <c r="H207">
        <f>IF(ISBLANK(VLOOKUP($A207,quarterly_data,MATCH(H$1,quarterly!$1:$1,FALSE),FALSE)),"NA",VLOOKUP($A207,quarterly_data,MATCH(H$1,quarterly!$1:$1,FALSE),FALSE))</f>
        <v>627429</v>
      </c>
      <c r="I207">
        <f>IF(ISBLANK(VLOOKUP($A207,quarterly_data,MATCH(I$1,quarterly!$1:$1,FALSE),FALSE)),"NA",VLOOKUP($A207,quarterly_data,MATCH(I$1,quarterly!$1:$1,FALSE),FALSE))</f>
        <v>0.5</v>
      </c>
      <c r="J207">
        <f>IF(ISBLANK(VLOOKUP($A207,quarterly_data,MATCH(J$1,quarterly!$1:$1,FALSE),FALSE)),"NA",VLOOKUP($A207,quarterly_data,MATCH(J$1,quarterly!$1:$1,FALSE),FALSE))</f>
        <v>82.47</v>
      </c>
      <c r="K207">
        <f>IF(COUNTIFS(monthly!C:C,"",monthly!$A:$A,"&gt;="&amp;$A207,monthly!$B:$B,"&lt;="&amp;$B207)&gt;0,"NA",AVERAGEIFS(monthly!C:C,monthly!$A:$A,"&gt;="&amp;$A207,monthly!$B:$B,"&lt;="&amp;$B207))</f>
        <v>63.533333333333339</v>
      </c>
      <c r="L207">
        <f>IF(COUNTIFS(monthly!D:D,"",monthly!$A:$A,"&gt;="&amp;$A207,monthly!$B:$B,"&lt;="&amp;$B207)&gt;0,"NA",AVERAGEIFS(monthly!D:D,monthly!$A:$A,"&gt;="&amp;$A207,monthly!$B:$B,"&lt;="&amp;$B207))</f>
        <v>0.76729999999999998</v>
      </c>
      <c r="M207">
        <f>IF(COUNTIFS(monthly!E:E,"",monthly!$A:$A,"&gt;="&amp;$A207,monthly!$B:$B,"&lt;="&amp;$B207)&gt;0,"NA",AVERAGEIFS(monthly!E:E,monthly!$A:$A,"&gt;="&amp;$A207,monthly!$B:$B,"&lt;="&amp;$B207))</f>
        <v>108.66692690689767</v>
      </c>
      <c r="N207">
        <f>IF(COUNTIFS(monthly!F:F,"",monthly!$A:$A,"&gt;="&amp;$A207,monthly!$B:$B,"&lt;="&amp;$B207)&gt;0,"NA",AVERAGEIFS(monthly!F:F,monthly!$A:$A,"&gt;="&amp;$A207,monthly!$B:$B,"&lt;="&amp;$B207))</f>
        <v>111.64191798706366</v>
      </c>
      <c r="O207">
        <f>IF(COUNTIFS(monthly!G:G,"",monthly!$A:$A,"&gt;="&amp;$A207,monthly!$B:$B,"&lt;="&amp;$B207)&gt;0,"NA",AVERAGEIFS(monthly!G:G,monthly!$A:$A,"&gt;="&amp;$A207,monthly!$B:$B,"&lt;="&amp;$B207))</f>
        <v>200.63333333333333</v>
      </c>
      <c r="P207">
        <f>IF(COUNTIFS(monthly!H:H,"",monthly!$A:$A,"&gt;="&amp;$A207,monthly!$B:$B,"&lt;="&amp;$B207)&gt;0,"NA",AVERAGEIFS(monthly!H:H,monthly!$A:$A,"&gt;="&amp;$A207,monthly!$B:$B,"&lt;="&amp;$B207))</f>
        <v>109.73333333333333</v>
      </c>
      <c r="Q207">
        <f>IF(COUNTIFS(monthly!I:I,"",monthly!$A:$A,"&gt;="&amp;$A207,monthly!$B:$B,"&lt;="&amp;$B207)&gt;0,"NA",AVERAGEIFS(monthly!I:I,monthly!$A:$A,"&gt;="&amp;$A207,monthly!$B:$B,"&lt;="&amp;$B207))</f>
        <v>68.63333333333334</v>
      </c>
      <c r="R207">
        <f>IF(COUNTIFS(monthly!J:J,"",monthly!$A:$A,"&gt;="&amp;$A207,monthly!$B:$B,"&lt;="&amp;$B207)&gt;0,"NA",AVERAGEIFS(monthly!J:J,monthly!$A:$A,"&gt;="&amp;$A207,monthly!$B:$B,"&lt;="&amp;$B207))</f>
        <v>8.94</v>
      </c>
      <c r="S207">
        <f>IF(COUNTIFS(monthly!K:K,"",monthly!$A:$A,"&gt;="&amp;$A207,monthly!$B:$B,"&lt;="&amp;$B207)&gt;0,"NA",AVERAGEIFS(monthly!K:K,monthly!$A:$A,"&gt;="&amp;$A207,monthly!$B:$B,"&lt;="&amp;$B207))</f>
        <v>0.03</v>
      </c>
      <c r="T207">
        <f>IF(COUNTIFS(monthly!L:L,"",monthly!$A:$A,"&gt;="&amp;$A207,monthly!$B:$B,"&lt;="&amp;$B207)&gt;0,"NA",AVERAGEIFS(monthly!L:L,monthly!$A:$A,"&gt;="&amp;$A207,monthly!$B:$B,"&lt;="&amp;$B207))</f>
        <v>6.8354838709677457E-2</v>
      </c>
      <c r="U207">
        <f>IF(COUNTIFS(monthly!M:M,"",monthly!$A:$A,"&gt;="&amp;$A207,monthly!$B:$B,"&lt;="&amp;$B207)&gt;0,"NA",AVERAGEIFS(monthly!M:M,monthly!$A:$A,"&gt;="&amp;$A207,monthly!$B:$B,"&lt;="&amp;$B207))</f>
        <v>-3.8354838709677465E-2</v>
      </c>
      <c r="V207">
        <f>IF(COUNTIFS(monthly!N:N,"",monthly!$A:$A,"&gt;="&amp;$A207,monthly!$B:$B,"&lt;="&amp;$B207)&gt;0,"NA",AVERAGEIFS(monthly!N:N,monthly!$A:$A,"&gt;="&amp;$A207,monthly!$B:$B,"&lt;="&amp;$B207))</f>
        <v>6.4666666666666664E-2</v>
      </c>
      <c r="W207">
        <f>IF(COUNTIFS(monthly!O:O,"",monthly!$A:$A,"&gt;="&amp;$A207,monthly!$B:$B,"&lt;="&amp;$B207)&gt;0,"NA",AVERAGEIFS(monthly!O:O,monthly!$A:$A,"&gt;="&amp;$A207,monthly!$B:$B,"&lt;="&amp;$B207))</f>
        <v>0.17363636363636367</v>
      </c>
      <c r="X207">
        <f>IF(COUNTIFS(monthly!P:P,"",monthly!$A:$A,"&gt;="&amp;$A207,monthly!$B:$B,"&lt;="&amp;$B207)&gt;0,"NA",AVERAGEIFS(monthly!P:P,monthly!$A:$A,"&gt;="&amp;$A207,monthly!$B:$B,"&lt;="&amp;$B207))</f>
        <v>-0.10896969696969698</v>
      </c>
      <c r="Y207">
        <f>IF(COUNTIFS(monthly!Q:Q,"",monthly!$A:$A,"&gt;="&amp;$A207,monthly!$B:$B,"&lt;="&amp;$B207)&gt;0,"NA",AVERAGEIFS(monthly!Q:Q,monthly!$A:$A,"&gt;="&amp;$A207,monthly!$B:$B,"&lt;="&amp;$B207))</f>
        <v>1.6223333333333334</v>
      </c>
      <c r="Z207">
        <f>IF(COUNTIFS(monthly!R:R,"",monthly!$A:$A,"&gt;="&amp;$A207,monthly!$B:$B,"&lt;="&amp;$B207)&gt;0,"NA",AVERAGEIFS(monthly!R:R,monthly!$A:$A,"&gt;="&amp;$A207,monthly!$B:$B,"&lt;="&amp;$B207))</f>
        <v>1.5916969696969694</v>
      </c>
      <c r="AA207">
        <f>IF(COUNTIFS(monthly!S:S,"",monthly!$A:$A,"&gt;="&amp;$A207,monthly!$B:$B,"&lt;="&amp;$B207)&gt;0,"NA",AVERAGEIFS(monthly!S:S,monthly!$A:$A,"&gt;="&amp;$A207,monthly!$B:$B,"&lt;="&amp;$B207))</f>
        <v>3.0636363636363868E-2</v>
      </c>
      <c r="AB207">
        <f>IF(COUNTIFS(monthly!T:T,"",monthly!$A:$A,"&gt;="&amp;$A207,monthly!$B:$B,"&lt;="&amp;$B207)&gt;0,"NA",AVERAGEIFS(monthly!T:T,monthly!$A:$A,"&gt;="&amp;$A207,monthly!$B:$B,"&lt;="&amp;$B207))</f>
        <v>18.044502886002885</v>
      </c>
      <c r="AC207">
        <f>IF(COUNTIFS(monthly!U:U,"",monthly!$A:$A,"&gt;="&amp;$A207,monthly!$B:$B,"&lt;="&amp;$B207)&gt;0,"NA",AVERAGEIFS(monthly!U:U,monthly!$A:$A,"&gt;="&amp;$A207,monthly!$B:$B,"&lt;="&amp;$B207))</f>
        <v>177.74404373192274</v>
      </c>
      <c r="AD207">
        <f>IF(COUNTIFS(monthly!V:V,"",monthly!$A:$A,"&gt;="&amp;$A207,monthly!$B:$B,"&lt;="&amp;$B207)&gt;0,"NA",AVERAGEIFS(monthly!V:V,monthly!$A:$A,"&gt;="&amp;$A207,monthly!$B:$B,"&lt;="&amp;$B207))</f>
        <v>118.96550997112176</v>
      </c>
      <c r="AE207">
        <f>IF(COUNTIFS(monthly!W:W,"",monthly!$A:$A,"&gt;="&amp;$A207,monthly!$B:$B,"&lt;="&amp;$B207)&gt;0,"NA",AVERAGEIFS(monthly!W:W,monthly!$A:$A,"&gt;="&amp;$A207,monthly!$B:$B,"&lt;="&amp;$B207))</f>
        <v>85.10015869140625</v>
      </c>
      <c r="AF207">
        <f>IF(COUNTIFS(monthly!X:X,"",monthly!$A:$A,"&gt;="&amp;$A207,monthly!$B:$B,"&lt;="&amp;$B207)&gt;0,"NA",AVERAGEIFS(monthly!X:X,monthly!$A:$A,"&gt;="&amp;$A207,monthly!$B:$B,"&lt;="&amp;$B207))</f>
        <v>107.63878122965495</v>
      </c>
      <c r="AG207">
        <f>IF(COUNTIFS(monthly!Y:Y,"",monthly!$A:$A,"&gt;="&amp;$A207,monthly!$B:$B,"&lt;="&amp;$B207)&gt;0,"NA",AVERAGEIFS(monthly!Y:Y,monthly!$A:$A,"&gt;="&amp;$A207,monthly!$B:$B,"&lt;="&amp;$B207))</f>
        <v>55.616182963053383</v>
      </c>
      <c r="AH207">
        <f>IF(COUNTIFS(monthly!Z:Z,"",monthly!$A:$A,"&gt;="&amp;$A207,monthly!$B:$B,"&lt;="&amp;$B207)&gt;0,"NA",AVERAGEIFS(monthly!Z:Z,monthly!$A:$A,"&gt;="&amp;$A207,monthly!$B:$B,"&lt;="&amp;$B207))</f>
        <v>0.15058416624863943</v>
      </c>
    </row>
    <row r="208" spans="1:34" x14ac:dyDescent="0.2">
      <c r="A208" s="1">
        <v>44378</v>
      </c>
      <c r="B208" s="1">
        <v>44469</v>
      </c>
      <c r="C208">
        <f>IF(ISBLANK(VLOOKUP($A208,quarterly_data,MATCH(C$1,quarterly!$1:$1,FALSE),FALSE)),"NA",VLOOKUP($A208,quarterly_data,MATCH(C$1,quarterly!$1:$1,FALSE),FALSE))</f>
        <v>133.64380375791066</v>
      </c>
      <c r="D208">
        <f>IF(ISBLANK(VLOOKUP($A208,quarterly_data,MATCH(D$1,quarterly!$1:$1,FALSE),FALSE)),"NA",VLOOKUP($A208,quarterly_data,MATCH(D$1,quarterly!$1:$1,FALSE),FALSE))</f>
        <v>106.6</v>
      </c>
      <c r="E208">
        <f>IF(ISBLANK(VLOOKUP($A208,quarterly_data,MATCH(E$1,quarterly!$1:$1,FALSE),FALSE)),"NA",VLOOKUP($A208,quarterly_data,MATCH(E$1,quarterly!$1:$1,FALSE),FALSE))</f>
        <v>0.3576858</v>
      </c>
      <c r="F208">
        <f>IF(ISBLANK(VLOOKUP($A208,quarterly_data,MATCH(F$1,quarterly!$1:$1,FALSE),FALSE)),"NA",VLOOKUP($A208,quarterly_data,MATCH(F$1,quarterly!$1:$1,FALSE),FALSE))</f>
        <v>0.1097361</v>
      </c>
      <c r="G208">
        <f>IF(ISBLANK(VLOOKUP($A208,quarterly_data,MATCH(G$1,quarterly!$1:$1,FALSE),FALSE)),"NA",VLOOKUP($A208,quarterly_data,MATCH(G$1,quarterly!$1:$1,FALSE),FALSE))</f>
        <v>21617.828000000001</v>
      </c>
      <c r="H208">
        <f>IF(ISBLANK(VLOOKUP($A208,quarterly_data,MATCH(H$1,quarterly!$1:$1,FALSE),FALSE)),"NA",VLOOKUP($A208,quarterly_data,MATCH(H$1,quarterly!$1:$1,FALSE),FALSE))</f>
        <v>616398</v>
      </c>
      <c r="I208">
        <f>IF(ISBLANK(VLOOKUP($A208,quarterly_data,MATCH(I$1,quarterly!$1:$1,FALSE),FALSE)),"NA",VLOOKUP($A208,quarterly_data,MATCH(I$1,quarterly!$1:$1,FALSE),FALSE))</f>
        <v>0.8</v>
      </c>
      <c r="J208">
        <f>IF(ISBLANK(VLOOKUP($A208,quarterly_data,MATCH(J$1,quarterly!$1:$1,FALSE),FALSE)),"NA",VLOOKUP($A208,quarterly_data,MATCH(J$1,quarterly!$1:$1,FALSE),FALSE))</f>
        <v>83.17</v>
      </c>
      <c r="K208">
        <f>IF(COUNTIFS(monthly!C:C,"",monthly!$A:$A,"&gt;="&amp;$A208,monthly!$B:$B,"&lt;="&amp;$B208)&gt;0,"NA",AVERAGEIFS(monthly!C:C,monthly!$A:$A,"&gt;="&amp;$A208,monthly!$B:$B,"&lt;="&amp;$B208))</f>
        <v>61.20000000000001</v>
      </c>
      <c r="L208">
        <f>IF(COUNTIFS(monthly!D:D,"",monthly!$A:$A,"&gt;="&amp;$A208,monthly!$B:$B,"&lt;="&amp;$B208)&gt;0,"NA",AVERAGEIFS(monthly!D:D,monthly!$A:$A,"&gt;="&amp;$A208,monthly!$B:$B,"&lt;="&amp;$B208))</f>
        <v>0.73073333333333335</v>
      </c>
      <c r="M208">
        <f>IF(COUNTIFS(monthly!E:E,"",monthly!$A:$A,"&gt;="&amp;$A208,monthly!$B:$B,"&lt;="&amp;$B208)&gt;0,"NA",AVERAGEIFS(monthly!E:E,monthly!$A:$A,"&gt;="&amp;$A208,monthly!$B:$B,"&lt;="&amp;$B208))</f>
        <v>109.71386865337233</v>
      </c>
      <c r="N208">
        <f>IF(COUNTIFS(monthly!F:F,"",monthly!$A:$A,"&gt;="&amp;$A208,monthly!$B:$B,"&lt;="&amp;$B208)&gt;0,"NA",AVERAGEIFS(monthly!F:F,monthly!$A:$A,"&gt;="&amp;$A208,monthly!$B:$B,"&lt;="&amp;$B208))</f>
        <v>115.38506274704234</v>
      </c>
      <c r="O208">
        <f>IF(COUNTIFS(monthly!G:G,"",monthly!$A:$A,"&gt;="&amp;$A208,monthly!$B:$B,"&lt;="&amp;$B208)&gt;0,"NA",AVERAGEIFS(monthly!G:G,monthly!$A:$A,"&gt;="&amp;$A208,monthly!$B:$B,"&lt;="&amp;$B208))</f>
        <v>166.93333333333331</v>
      </c>
      <c r="P208">
        <f>IF(COUNTIFS(monthly!H:H,"",monthly!$A:$A,"&gt;="&amp;$A208,monthly!$B:$B,"&lt;="&amp;$B208)&gt;0,"NA",AVERAGEIFS(monthly!H:H,monthly!$A:$A,"&gt;="&amp;$A208,monthly!$B:$B,"&lt;="&amp;$B208))</f>
        <v>169.1</v>
      </c>
      <c r="Q208">
        <f>IF(COUNTIFS(monthly!I:I,"",monthly!$A:$A,"&gt;="&amp;$A208,monthly!$B:$B,"&lt;="&amp;$B208)&gt;0,"NA",AVERAGEIFS(monthly!I:I,monthly!$A:$A,"&gt;="&amp;$A208,monthly!$B:$B,"&lt;="&amp;$B208))</f>
        <v>73</v>
      </c>
      <c r="R208">
        <f>IF(COUNTIFS(monthly!J:J,"",monthly!$A:$A,"&gt;="&amp;$A208,monthly!$B:$B,"&lt;="&amp;$B208)&gt;0,"NA",AVERAGEIFS(monthly!J:J,monthly!$A:$A,"&gt;="&amp;$A208,monthly!$B:$B,"&lt;="&amp;$B208))</f>
        <v>10.866666666666667</v>
      </c>
      <c r="S208">
        <f>IF(COUNTIFS(monthly!K:K,"",monthly!$A:$A,"&gt;="&amp;$A208,monthly!$B:$B,"&lt;="&amp;$B208)&gt;0,"NA",AVERAGEIFS(monthly!K:K,monthly!$A:$A,"&gt;="&amp;$A208,monthly!$B:$B,"&lt;="&amp;$B208))</f>
        <v>0.03</v>
      </c>
      <c r="T208">
        <f>IF(COUNTIFS(monthly!L:L,"",monthly!$A:$A,"&gt;="&amp;$A208,monthly!$B:$B,"&lt;="&amp;$B208)&gt;0,"NA",AVERAGEIFS(monthly!L:L,monthly!$A:$A,"&gt;="&amp;$A208,monthly!$B:$B,"&lt;="&amp;$B208))</f>
        <v>8.9885304659498233E-2</v>
      </c>
      <c r="U208">
        <f>IF(COUNTIFS(monthly!M:M,"",monthly!$A:$A,"&gt;="&amp;$A208,monthly!$B:$B,"&lt;="&amp;$B208)&gt;0,"NA",AVERAGEIFS(monthly!M:M,monthly!$A:$A,"&gt;="&amp;$A208,monthly!$B:$B,"&lt;="&amp;$B208))</f>
        <v>-5.9885304659498227E-2</v>
      </c>
      <c r="V208">
        <f>IF(COUNTIFS(monthly!N:N,"",monthly!$A:$A,"&gt;="&amp;$A208,monthly!$B:$B,"&lt;="&amp;$B208)&gt;0,"NA",AVERAGEIFS(monthly!N:N,monthly!$A:$A,"&gt;="&amp;$A208,monthly!$B:$B,"&lt;="&amp;$B208))</f>
        <v>2.6999999999999996E-2</v>
      </c>
      <c r="W208">
        <f>IF(COUNTIFS(monthly!O:O,"",monthly!$A:$A,"&gt;="&amp;$A208,monthly!$B:$B,"&lt;="&amp;$B208)&gt;0,"NA",AVERAGEIFS(monthly!O:O,monthly!$A:$A,"&gt;="&amp;$A208,monthly!$B:$B,"&lt;="&amp;$B208))</f>
        <v>0.22591630591630593</v>
      </c>
      <c r="X208">
        <f>IF(COUNTIFS(monthly!P:P,"",monthly!$A:$A,"&gt;="&amp;$A208,monthly!$B:$B,"&lt;="&amp;$B208)&gt;0,"NA",AVERAGEIFS(monthly!P:P,monthly!$A:$A,"&gt;="&amp;$A208,monthly!$B:$B,"&lt;="&amp;$B208))</f>
        <v>-0.19891630591630594</v>
      </c>
      <c r="Y208">
        <f>IF(COUNTIFS(monthly!Q:Q,"",monthly!$A:$A,"&gt;="&amp;$A208,monthly!$B:$B,"&lt;="&amp;$B208)&gt;0,"NA",AVERAGEIFS(monthly!Q:Q,monthly!$A:$A,"&gt;="&amp;$A208,monthly!$B:$B,"&lt;="&amp;$B208))</f>
        <v>1.2236666666666667</v>
      </c>
      <c r="Z208">
        <f>IF(COUNTIFS(monthly!R:R,"",monthly!$A:$A,"&gt;="&amp;$A208,monthly!$B:$B,"&lt;="&amp;$B208)&gt;0,"NA",AVERAGEIFS(monthly!R:R,monthly!$A:$A,"&gt;="&amp;$A208,monthly!$B:$B,"&lt;="&amp;$B208))</f>
        <v>1.3255050505050505</v>
      </c>
      <c r="AA208">
        <f>IF(COUNTIFS(monthly!S:S,"",monthly!$A:$A,"&gt;="&amp;$A208,monthly!$B:$B,"&lt;="&amp;$B208)&gt;0,"NA",AVERAGEIFS(monthly!S:S,monthly!$A:$A,"&gt;="&amp;$A208,monthly!$B:$B,"&lt;="&amp;$B208))</f>
        <v>-0.10183838383838377</v>
      </c>
      <c r="AB208">
        <f>IF(COUNTIFS(monthly!T:T,"",monthly!$A:$A,"&gt;="&amp;$A208,monthly!$B:$B,"&lt;="&amp;$B208)&gt;0,"NA",AVERAGEIFS(monthly!T:T,monthly!$A:$A,"&gt;="&amp;$A208,monthly!$B:$B,"&lt;="&amp;$B208))</f>
        <v>18.300274170274168</v>
      </c>
      <c r="AC208">
        <f>IF(COUNTIFS(monthly!U:U,"",monthly!$A:$A,"&gt;="&amp;$A208,monthly!$B:$B,"&lt;="&amp;$B208)&gt;0,"NA",AVERAGEIFS(monthly!U:U,monthly!$A:$A,"&gt;="&amp;$A208,monthly!$B:$B,"&lt;="&amp;$B208))</f>
        <v>198.47605043474368</v>
      </c>
      <c r="AD208">
        <f>IF(COUNTIFS(monthly!V:V,"",monthly!$A:$A,"&gt;="&amp;$A208,monthly!$B:$B,"&lt;="&amp;$B208)&gt;0,"NA",AVERAGEIFS(monthly!V:V,monthly!$A:$A,"&gt;="&amp;$A208,monthly!$B:$B,"&lt;="&amp;$B208))</f>
        <v>103.21162023807267</v>
      </c>
      <c r="AE208">
        <f>IF(COUNTIFS(monthly!W:W,"",monthly!$A:$A,"&gt;="&amp;$A208,monthly!$B:$B,"&lt;="&amp;$B208)&gt;0,"NA",AVERAGEIFS(monthly!W:W,monthly!$A:$A,"&gt;="&amp;$A208,monthly!$B:$B,"&lt;="&amp;$B208))</f>
        <v>76.201428731282547</v>
      </c>
      <c r="AF208">
        <f>IF(COUNTIFS(monthly!X:X,"",monthly!$A:$A,"&gt;="&amp;$A208,monthly!$B:$B,"&lt;="&amp;$B208)&gt;0,"NA",AVERAGEIFS(monthly!X:X,monthly!$A:$A,"&gt;="&amp;$A208,monthly!$B:$B,"&lt;="&amp;$B208))</f>
        <v>86.428408304850265</v>
      </c>
      <c r="AG208">
        <f>IF(COUNTIFS(monthly!Y:Y,"",monthly!$A:$A,"&gt;="&amp;$A208,monthly!$B:$B,"&lt;="&amp;$B208)&gt;0,"NA",AVERAGEIFS(monthly!Y:Y,monthly!$A:$A,"&gt;="&amp;$A208,monthly!$B:$B,"&lt;="&amp;$B208))</f>
        <v>65.046321868896484</v>
      </c>
      <c r="AH208">
        <f>IF(COUNTIFS(monthly!Z:Z,"",monthly!$A:$A,"&gt;="&amp;$A208,monthly!$B:$B,"&lt;="&amp;$B208)&gt;0,"NA",AVERAGEIFS(monthly!Z:Z,monthly!$A:$A,"&gt;="&amp;$A208,monthly!$B:$B,"&lt;="&amp;$B208))</f>
        <v>0.19463284562031427</v>
      </c>
    </row>
    <row r="209" spans="1:34" x14ac:dyDescent="0.2">
      <c r="A209" s="1">
        <v>44470</v>
      </c>
      <c r="B209" s="1">
        <v>44561</v>
      </c>
      <c r="C209">
        <f>IF(ISBLANK(VLOOKUP($A209,quarterly_data,MATCH(C$1,quarterly!$1:$1,FALSE),FALSE)),"NA",VLOOKUP($A209,quarterly_data,MATCH(C$1,quarterly!$1:$1,FALSE),FALSE))</f>
        <v>133.654092796653</v>
      </c>
      <c r="D209">
        <f>IF(ISBLANK(VLOOKUP($A209,quarterly_data,MATCH(D$1,quarterly!$1:$1,FALSE),FALSE)),"NA",VLOOKUP($A209,quarterly_data,MATCH(D$1,quarterly!$1:$1,FALSE),FALSE))</f>
        <v>98.5</v>
      </c>
      <c r="E209">
        <f>IF(ISBLANK(VLOOKUP($A209,quarterly_data,MATCH(E$1,quarterly!$1:$1,FALSE),FALSE)),"NA",VLOOKUP($A209,quarterly_data,MATCH(E$1,quarterly!$1:$1,FALSE),FALSE))</f>
        <v>0.13539129999999999</v>
      </c>
      <c r="F209">
        <f>IF(ISBLANK(VLOOKUP($A209,quarterly_data,MATCH(F$1,quarterly!$1:$1,FALSE),FALSE)),"NA",VLOOKUP($A209,quarterly_data,MATCH(F$1,quarterly!$1:$1,FALSE),FALSE))</f>
        <v>7.3169899999999996E-2</v>
      </c>
      <c r="G209">
        <f>IF(ISBLANK(VLOOKUP($A209,quarterly_data,MATCH(G$1,quarterly!$1:$1,FALSE),FALSE)),"NA",VLOOKUP($A209,quarterly_data,MATCH(G$1,quarterly!$1:$1,FALSE),FALSE))</f>
        <v>21988.737000000001</v>
      </c>
      <c r="H209">
        <f>IF(ISBLANK(VLOOKUP($A209,quarterly_data,MATCH(H$1,quarterly!$1:$1,FALSE),FALSE)),"NA",VLOOKUP($A209,quarterly_data,MATCH(H$1,quarterly!$1:$1,FALSE),FALSE))</f>
        <v>639065</v>
      </c>
      <c r="I209">
        <f>IF(ISBLANK(VLOOKUP($A209,quarterly_data,MATCH(I$1,quarterly!$1:$1,FALSE),FALSE)),"NA",VLOOKUP($A209,quarterly_data,MATCH(I$1,quarterly!$1:$1,FALSE),FALSE))</f>
        <v>1</v>
      </c>
      <c r="J209">
        <f>IF(ISBLANK(VLOOKUP($A209,quarterly_data,MATCH(J$1,quarterly!$1:$1,FALSE),FALSE)),"NA",VLOOKUP($A209,quarterly_data,MATCH(J$1,quarterly!$1:$1,FALSE),FALSE))</f>
        <v>84.23</v>
      </c>
      <c r="K209">
        <f>IF(COUNTIFS(monthly!C:C,"",monthly!$A:$A,"&gt;="&amp;$A209,monthly!$B:$B,"&lt;="&amp;$B209)&gt;0,"NA",AVERAGEIFS(monthly!C:C,monthly!$A:$A,"&gt;="&amp;$A209,monthly!$B:$B,"&lt;="&amp;$B209))</f>
        <v>61.466666666666669</v>
      </c>
      <c r="L209">
        <f>IF(COUNTIFS(monthly!D:D,"",monthly!$A:$A,"&gt;="&amp;$A209,monthly!$B:$B,"&lt;="&amp;$B209)&gt;0,"NA",AVERAGEIFS(monthly!D:D,monthly!$A:$A,"&gt;="&amp;$A209,monthly!$B:$B,"&lt;="&amp;$B209))</f>
        <v>0.73153333333333348</v>
      </c>
      <c r="M209">
        <f>IF(COUNTIFS(monthly!E:E,"",monthly!$A:$A,"&gt;="&amp;$A209,monthly!$B:$B,"&lt;="&amp;$B209)&gt;0,"NA",AVERAGEIFS(monthly!E:E,monthly!$A:$A,"&gt;="&amp;$A209,monthly!$B:$B,"&lt;="&amp;$B209))</f>
        <v>109.06689220163234</v>
      </c>
      <c r="N209">
        <f>IF(COUNTIFS(monthly!F:F,"",monthly!$A:$A,"&gt;="&amp;$A209,monthly!$B:$B,"&lt;="&amp;$B209)&gt;0,"NA",AVERAGEIFS(monthly!F:F,monthly!$A:$A,"&gt;="&amp;$A209,monthly!$B:$B,"&lt;="&amp;$B209))</f>
        <v>115.17652274983233</v>
      </c>
      <c r="O209">
        <f>IF(COUNTIFS(monthly!G:G,"",monthly!$A:$A,"&gt;="&amp;$A209,monthly!$B:$B,"&lt;="&amp;$B209)&gt;0,"NA",AVERAGEIFS(monthly!G:G,monthly!$A:$A,"&gt;="&amp;$A209,monthly!$B:$B,"&lt;="&amp;$B209))</f>
        <v>112.03333333333335</v>
      </c>
      <c r="P209">
        <f>IF(COUNTIFS(monthly!H:H,"",monthly!$A:$A,"&gt;="&amp;$A209,monthly!$B:$B,"&lt;="&amp;$B209)&gt;0,"NA",AVERAGEIFS(monthly!H:H,monthly!$A:$A,"&gt;="&amp;$A209,monthly!$B:$B,"&lt;="&amp;$B209))</f>
        <v>183.9</v>
      </c>
      <c r="Q209">
        <f>IF(COUNTIFS(monthly!I:I,"",monthly!$A:$A,"&gt;="&amp;$A209,monthly!$B:$B,"&lt;="&amp;$B209)&gt;0,"NA",AVERAGEIFS(monthly!I:I,monthly!$A:$A,"&gt;="&amp;$A209,monthly!$B:$B,"&lt;="&amp;$B209))</f>
        <v>79.600000000000009</v>
      </c>
      <c r="R209">
        <f>IF(COUNTIFS(monthly!J:J,"",monthly!$A:$A,"&gt;="&amp;$A209,monthly!$B:$B,"&lt;="&amp;$B209)&gt;0,"NA",AVERAGEIFS(monthly!J:J,monthly!$A:$A,"&gt;="&amp;$A209,monthly!$B:$B,"&lt;="&amp;$B209))</f>
        <v>14.316666666666668</v>
      </c>
      <c r="S209">
        <f>IF(COUNTIFS(monthly!K:K,"",monthly!$A:$A,"&gt;="&amp;$A209,monthly!$B:$B,"&lt;="&amp;$B209)&gt;0,"NA",AVERAGEIFS(monthly!K:K,monthly!$A:$A,"&gt;="&amp;$A209,monthly!$B:$B,"&lt;="&amp;$B209))</f>
        <v>3.6666666666666674E-2</v>
      </c>
      <c r="T209">
        <f>IF(COUNTIFS(monthly!L:L,"",monthly!$A:$A,"&gt;="&amp;$A209,monthly!$B:$B,"&lt;="&amp;$B209)&gt;0,"NA",AVERAGEIFS(monthly!L:L,monthly!$A:$A,"&gt;="&amp;$A209,monthly!$B:$B,"&lt;="&amp;$B209))</f>
        <v>7.945878136200718E-2</v>
      </c>
      <c r="U209">
        <f>IF(COUNTIFS(monthly!M:M,"",monthly!$A:$A,"&gt;="&amp;$A209,monthly!$B:$B,"&lt;="&amp;$B209)&gt;0,"NA",AVERAGEIFS(monthly!M:M,monthly!$A:$A,"&gt;="&amp;$A209,monthly!$B:$B,"&lt;="&amp;$B209))</f>
        <v>-4.279211469534052E-2</v>
      </c>
      <c r="V209">
        <f>IF(COUNTIFS(monthly!N:N,"",monthly!$A:$A,"&gt;="&amp;$A209,monthly!$B:$B,"&lt;="&amp;$B209)&gt;0,"NA",AVERAGEIFS(monthly!N:N,monthly!$A:$A,"&gt;="&amp;$A209,monthly!$B:$B,"&lt;="&amp;$B209))</f>
        <v>0.41966666666666663</v>
      </c>
      <c r="W209">
        <f>IF(COUNTIFS(monthly!O:O,"",monthly!$A:$A,"&gt;="&amp;$A209,monthly!$B:$B,"&lt;="&amp;$B209)&gt;0,"NA",AVERAGEIFS(monthly!O:O,monthly!$A:$A,"&gt;="&amp;$A209,monthly!$B:$B,"&lt;="&amp;$B209))</f>
        <v>0.52683333333333326</v>
      </c>
      <c r="X209">
        <f>IF(COUNTIFS(monthly!P:P,"",monthly!$A:$A,"&gt;="&amp;$A209,monthly!$B:$B,"&lt;="&amp;$B209)&gt;0,"NA",AVERAGEIFS(monthly!P:P,monthly!$A:$A,"&gt;="&amp;$A209,monthly!$B:$B,"&lt;="&amp;$B209))</f>
        <v>-0.10716666666666659</v>
      </c>
      <c r="Y209">
        <f>IF(COUNTIFS(monthly!Q:Q,"",monthly!$A:$A,"&gt;="&amp;$A209,monthly!$B:$B,"&lt;="&amp;$B209)&gt;0,"NA",AVERAGEIFS(monthly!Q:Q,monthly!$A:$A,"&gt;="&amp;$A209,monthly!$B:$B,"&lt;="&amp;$B209))</f>
        <v>1.7083333333333333</v>
      </c>
      <c r="Z209">
        <f>IF(COUNTIFS(monthly!R:R,"",monthly!$A:$A,"&gt;="&amp;$A209,monthly!$B:$B,"&lt;="&amp;$B209)&gt;0,"NA",AVERAGEIFS(monthly!R:R,monthly!$A:$A,"&gt;="&amp;$A209,monthly!$B:$B,"&lt;="&amp;$B209))</f>
        <v>1.5356666666666667</v>
      </c>
      <c r="AA209">
        <f>IF(COUNTIFS(monthly!S:S,"",monthly!$A:$A,"&gt;="&amp;$A209,monthly!$B:$B,"&lt;="&amp;$B209)&gt;0,"NA",AVERAGEIFS(monthly!S:S,monthly!$A:$A,"&gt;="&amp;$A209,monthly!$B:$B,"&lt;="&amp;$B209))</f>
        <v>0.17266666666666666</v>
      </c>
      <c r="AB209">
        <f>IF(COUNTIFS(monthly!T:T,"",monthly!$A:$A,"&gt;="&amp;$A209,monthly!$B:$B,"&lt;="&amp;$B209)&gt;0,"NA",AVERAGEIFS(monthly!T:T,monthly!$A:$A,"&gt;="&amp;$A209,monthly!$B:$B,"&lt;="&amp;$B209))</f>
        <v>19.242150072150071</v>
      </c>
      <c r="AC209">
        <f>IF(COUNTIFS(monthly!U:U,"",monthly!$A:$A,"&gt;="&amp;$A209,monthly!$B:$B,"&lt;="&amp;$B209)&gt;0,"NA",AVERAGEIFS(monthly!U:U,monthly!$A:$A,"&gt;="&amp;$A209,monthly!$B:$B,"&lt;="&amp;$B209))</f>
        <v>222.62842584820763</v>
      </c>
      <c r="AD209">
        <f>IF(COUNTIFS(monthly!V:V,"",monthly!$A:$A,"&gt;="&amp;$A209,monthly!$B:$B,"&lt;="&amp;$B209)&gt;0,"NA",AVERAGEIFS(monthly!V:V,monthly!$A:$A,"&gt;="&amp;$A209,monthly!$B:$B,"&lt;="&amp;$B209))</f>
        <v>100.9903442667085</v>
      </c>
      <c r="AE209">
        <f>IF(COUNTIFS(monthly!W:W,"",monthly!$A:$A,"&gt;="&amp;$A209,monthly!$B:$B,"&lt;="&amp;$B209)&gt;0,"NA",AVERAGEIFS(monthly!W:W,monthly!$A:$A,"&gt;="&amp;$A209,monthly!$B:$B,"&lt;="&amp;$B209))</f>
        <v>90.314600626627609</v>
      </c>
      <c r="AF209">
        <f>IF(COUNTIFS(monthly!X:X,"",monthly!$A:$A,"&gt;="&amp;$A209,monthly!$B:$B,"&lt;="&amp;$B209)&gt;0,"NA",AVERAGEIFS(monthly!X:X,monthly!$A:$A,"&gt;="&amp;$A209,monthly!$B:$B,"&lt;="&amp;$B209))</f>
        <v>123.5397466023763</v>
      </c>
      <c r="AG209">
        <f>IF(COUNTIFS(monthly!Y:Y,"",monthly!$A:$A,"&gt;="&amp;$A209,monthly!$B:$B,"&lt;="&amp;$B209)&gt;0,"NA",AVERAGEIFS(monthly!Y:Y,monthly!$A:$A,"&gt;="&amp;$A209,monthly!$B:$B,"&lt;="&amp;$B209))</f>
        <v>49.515579223632812</v>
      </c>
      <c r="AH209">
        <f>IF(COUNTIFS(monthly!Z:Z,"",monthly!$A:$A,"&gt;="&amp;$A209,monthly!$B:$B,"&lt;="&amp;$B209)&gt;0,"NA",AVERAGEIFS(monthly!Z:Z,monthly!$A:$A,"&gt;="&amp;$A209,monthly!$B:$B,"&lt;="&amp;$B209))</f>
        <v>0.20284289618333182</v>
      </c>
    </row>
    <row r="210" spans="1:34" x14ac:dyDescent="0.2">
      <c r="A210" s="1">
        <v>44562</v>
      </c>
      <c r="B210" s="1">
        <v>44651</v>
      </c>
      <c r="C210">
        <f>IF(ISBLANK(VLOOKUP($A210,quarterly_data,MATCH(C$1,quarterly!$1:$1,FALSE),FALSE)),"NA",VLOOKUP($A210,quarterly_data,MATCH(C$1,quarterly!$1:$1,FALSE),FALSE))</f>
        <v>134.44172574947052</v>
      </c>
      <c r="D210">
        <f>IF(ISBLANK(VLOOKUP($A210,quarterly_data,MATCH(D$1,quarterly!$1:$1,FALSE),FALSE)),"NA",VLOOKUP($A210,quarterly_data,MATCH(D$1,quarterly!$1:$1,FALSE),FALSE))</f>
        <v>106.8</v>
      </c>
      <c r="E210">
        <f>IF(ISBLANK(VLOOKUP($A210,quarterly_data,MATCH(E$1,quarterly!$1:$1,FALSE),FALSE)),"NA",VLOOKUP($A210,quarterly_data,MATCH(E$1,quarterly!$1:$1,FALSE),FALSE))</f>
        <v>0.25089070000000002</v>
      </c>
      <c r="F210">
        <f>IF(ISBLANK(VLOOKUP($A210,quarterly_data,MATCH(F$1,quarterly!$1:$1,FALSE),FALSE)),"NA",VLOOKUP($A210,quarterly_data,MATCH(F$1,quarterly!$1:$1,FALSE),FALSE))</f>
        <v>7.5640100000000002E-2</v>
      </c>
      <c r="G210">
        <f>IF(ISBLANK(VLOOKUP($A210,quarterly_data,MATCH(G$1,quarterly!$1:$1,FALSE),FALSE)),"NA",VLOOKUP($A210,quarterly_data,MATCH(G$1,quarterly!$1:$1,FALSE),FALSE))</f>
        <v>21932.71</v>
      </c>
      <c r="H210">
        <f>IF(ISBLANK(VLOOKUP($A210,quarterly_data,MATCH(H$1,quarterly!$1:$1,FALSE),FALSE)),"NA",VLOOKUP($A210,quarterly_data,MATCH(H$1,quarterly!$1:$1,FALSE),FALSE))</f>
        <v>645474</v>
      </c>
      <c r="I210">
        <f>IF(ISBLANK(VLOOKUP($A210,quarterly_data,MATCH(I$1,quarterly!$1:$1,FALSE),FALSE)),"NA",VLOOKUP($A210,quarterly_data,MATCH(I$1,quarterly!$1:$1,FALSE),FALSE))</f>
        <v>1.5</v>
      </c>
      <c r="J210">
        <f>IF(ISBLANK(VLOOKUP($A210,quarterly_data,MATCH(J$1,quarterly!$1:$1,FALSE),FALSE)),"NA",VLOOKUP($A210,quarterly_data,MATCH(J$1,quarterly!$1:$1,FALSE),FALSE))</f>
        <v>86.05</v>
      </c>
      <c r="K210">
        <f>IF(COUNTIFS(monthly!C:C,"",monthly!$A:$A,"&gt;="&amp;$A210,monthly!$B:$B,"&lt;="&amp;$B210)&gt;0,"NA",AVERAGEIFS(monthly!C:C,monthly!$A:$A,"&gt;="&amp;$A210,monthly!$B:$B,"&lt;="&amp;$B210))</f>
        <v>61.166666666666664</v>
      </c>
      <c r="L210">
        <f>IF(COUNTIFS(monthly!D:D,"",monthly!$A:$A,"&gt;="&amp;$A210,monthly!$B:$B,"&lt;="&amp;$B210)&gt;0,"NA",AVERAGEIFS(monthly!D:D,monthly!$A:$A,"&gt;="&amp;$A210,monthly!$B:$B,"&lt;="&amp;$B210))</f>
        <v>0.72249999999999981</v>
      </c>
      <c r="M210">
        <f>IF(COUNTIFS(monthly!E:E,"",monthly!$A:$A,"&gt;="&amp;$A210,monthly!$B:$B,"&lt;="&amp;$B210)&gt;0,"NA",AVERAGEIFS(monthly!E:E,monthly!$A:$A,"&gt;="&amp;$A210,monthly!$B:$B,"&lt;="&amp;$B210))</f>
        <v>128.39839682631734</v>
      </c>
      <c r="N210">
        <f>IF(COUNTIFS(monthly!F:F,"",monthly!$A:$A,"&gt;="&amp;$A210,monthly!$B:$B,"&lt;="&amp;$B210)&gt;0,"NA",AVERAGEIFS(monthly!F:F,monthly!$A:$A,"&gt;="&amp;$A210,monthly!$B:$B,"&lt;="&amp;$B210))</f>
        <v>141.82935490607767</v>
      </c>
      <c r="O210">
        <f>IF(COUNTIFS(monthly!G:G,"",monthly!$A:$A,"&gt;="&amp;$A210,monthly!$B:$B,"&lt;="&amp;$B210)&gt;0,"NA",AVERAGEIFS(monthly!G:G,monthly!$A:$A,"&gt;="&amp;$A210,monthly!$B:$B,"&lt;="&amp;$B210))</f>
        <v>142.46666666666667</v>
      </c>
      <c r="P210">
        <f>IF(COUNTIFS(monthly!H:H,"",monthly!$A:$A,"&gt;="&amp;$A210,monthly!$B:$B,"&lt;="&amp;$B210)&gt;0,"NA",AVERAGEIFS(monthly!H:H,monthly!$A:$A,"&gt;="&amp;$A210,monthly!$B:$B,"&lt;="&amp;$B210))</f>
        <v>243.6</v>
      </c>
      <c r="Q210">
        <f>IF(COUNTIFS(monthly!I:I,"",monthly!$A:$A,"&gt;="&amp;$A210,monthly!$B:$B,"&lt;="&amp;$B210)&gt;0,"NA",AVERAGEIFS(monthly!I:I,monthly!$A:$A,"&gt;="&amp;$A210,monthly!$B:$B,"&lt;="&amp;$B210))</f>
        <v>98.966666666666654</v>
      </c>
      <c r="R210">
        <f>IF(COUNTIFS(monthly!J:J,"",monthly!$A:$A,"&gt;="&amp;$A210,monthly!$B:$B,"&lt;="&amp;$B210)&gt;0,"NA",AVERAGEIFS(monthly!J:J,monthly!$A:$A,"&gt;="&amp;$A210,monthly!$B:$B,"&lt;="&amp;$B210))</f>
        <v>15.6</v>
      </c>
      <c r="S210">
        <f>IF(COUNTIFS(monthly!K:K,"",monthly!$A:$A,"&gt;="&amp;$A210,monthly!$B:$B,"&lt;="&amp;$B210)&gt;0,"NA",AVERAGEIFS(monthly!K:K,monthly!$A:$A,"&gt;="&amp;$A210,monthly!$B:$B,"&lt;="&amp;$B210))</f>
        <v>5.000000000000001E-2</v>
      </c>
      <c r="T210">
        <f>IF(COUNTIFS(monthly!L:L,"",monthly!$A:$A,"&gt;="&amp;$A210,monthly!$B:$B,"&lt;="&amp;$B210)&gt;0,"NA",AVERAGEIFS(monthly!L:L,monthly!$A:$A,"&gt;="&amp;$A210,monthly!$B:$B,"&lt;="&amp;$B210))</f>
        <v>0.12010752688172045</v>
      </c>
      <c r="U210">
        <f>IF(COUNTIFS(monthly!M:M,"",monthly!$A:$A,"&gt;="&amp;$A210,monthly!$B:$B,"&lt;="&amp;$B210)&gt;0,"NA",AVERAGEIFS(monthly!M:M,monthly!$A:$A,"&gt;="&amp;$A210,monthly!$B:$B,"&lt;="&amp;$B210))</f>
        <v>-7.0107526881720464E-2</v>
      </c>
      <c r="V210">
        <f>IF(COUNTIFS(monthly!N:N,"",monthly!$A:$A,"&gt;="&amp;$A210,monthly!$B:$B,"&lt;="&amp;$B210)&gt;0,"NA",AVERAGEIFS(monthly!N:N,monthly!$A:$A,"&gt;="&amp;$A210,monthly!$B:$B,"&lt;="&amp;$B210))</f>
        <v>1.0243333333333333</v>
      </c>
      <c r="W210">
        <f>IF(COUNTIFS(monthly!O:O,"",monthly!$A:$A,"&gt;="&amp;$A210,monthly!$B:$B,"&lt;="&amp;$B210)&gt;0,"NA",AVERAGEIFS(monthly!O:O,monthly!$A:$A,"&gt;="&amp;$A210,monthly!$B:$B,"&lt;="&amp;$B210))</f>
        <v>1.4417761250953471</v>
      </c>
      <c r="X210">
        <f>IF(COUNTIFS(monthly!P:P,"",monthly!$A:$A,"&gt;="&amp;$A210,monthly!$B:$B,"&lt;="&amp;$B210)&gt;0,"NA",AVERAGEIFS(monthly!P:P,monthly!$A:$A,"&gt;="&amp;$A210,monthly!$B:$B,"&lt;="&amp;$B210))</f>
        <v>-0.41744279176201365</v>
      </c>
      <c r="Y210">
        <f>IF(COUNTIFS(monthly!Q:Q,"",monthly!$A:$A,"&gt;="&amp;$A210,monthly!$B:$B,"&lt;="&amp;$B210)&gt;0,"NA",AVERAGEIFS(monthly!Q:Q,monthly!$A:$A,"&gt;="&amp;$A210,monthly!$B:$B,"&lt;="&amp;$B210))</f>
        <v>2.1663333333333337</v>
      </c>
      <c r="Z210">
        <f>IF(COUNTIFS(monthly!R:R,"",monthly!$A:$A,"&gt;="&amp;$A210,monthly!$B:$B,"&lt;="&amp;$B210)&gt;0,"NA",AVERAGEIFS(monthly!R:R,monthly!$A:$A,"&gt;="&amp;$A210,monthly!$B:$B,"&lt;="&amp;$B210))</f>
        <v>1.9420122044241037</v>
      </c>
      <c r="AA210">
        <f>IF(COUNTIFS(monthly!S:S,"",monthly!$A:$A,"&gt;="&amp;$A210,monthly!$B:$B,"&lt;="&amp;$B210)&gt;0,"NA",AVERAGEIFS(monthly!S:S,monthly!$A:$A,"&gt;="&amp;$A210,monthly!$B:$B,"&lt;="&amp;$B210))</f>
        <v>0.22432112890922973</v>
      </c>
      <c r="AB210">
        <f>IF(COUNTIFS(monthly!T:T,"",monthly!$A:$A,"&gt;="&amp;$A210,monthly!$B:$B,"&lt;="&amp;$B210)&gt;0,"NA",AVERAGEIFS(monthly!T:T,monthly!$A:$A,"&gt;="&amp;$A210,monthly!$B:$B,"&lt;="&amp;$B210))</f>
        <v>25.299372234935163</v>
      </c>
      <c r="AC210">
        <f>IF(COUNTIFS(monthly!U:U,"",monthly!$A:$A,"&gt;="&amp;$A210,monthly!$B:$B,"&lt;="&amp;$B210)&gt;0,"NA",AVERAGEIFS(monthly!U:U,monthly!$A:$A,"&gt;="&amp;$A210,monthly!$B:$B,"&lt;="&amp;$B210))</f>
        <v>229.49556115450022</v>
      </c>
      <c r="AD210">
        <f>IF(COUNTIFS(monthly!V:V,"",monthly!$A:$A,"&gt;="&amp;$A210,monthly!$B:$B,"&lt;="&amp;$B210)&gt;0,"NA",AVERAGEIFS(monthly!V:V,monthly!$A:$A,"&gt;="&amp;$A210,monthly!$B:$B,"&lt;="&amp;$B210))</f>
        <v>144.31216781886704</v>
      </c>
      <c r="AE210">
        <f>IF(COUNTIFS(monthly!W:W,"",monthly!$A:$A,"&gt;="&amp;$A210,monthly!$B:$B,"&lt;="&amp;$B210)&gt;0,"NA",AVERAGEIFS(monthly!W:W,monthly!$A:$A,"&gt;="&amp;$A210,monthly!$B:$B,"&lt;="&amp;$B210))</f>
        <v>224.59630839029947</v>
      </c>
      <c r="AF210">
        <f>IF(COUNTIFS(monthly!X:X,"",monthly!$A:$A,"&gt;="&amp;$A210,monthly!$B:$B,"&lt;="&amp;$B210)&gt;0,"NA",AVERAGEIFS(monthly!X:X,monthly!$A:$A,"&gt;="&amp;$A210,monthly!$B:$B,"&lt;="&amp;$B210))</f>
        <v>307.9356689453125</v>
      </c>
      <c r="AG210">
        <f>IF(COUNTIFS(monthly!Y:Y,"",monthly!$A:$A,"&gt;="&amp;$A210,monthly!$B:$B,"&lt;="&amp;$B210)&gt;0,"NA",AVERAGEIFS(monthly!Y:Y,monthly!$A:$A,"&gt;="&amp;$A210,monthly!$B:$B,"&lt;="&amp;$B210))</f>
        <v>139.80856450398764</v>
      </c>
      <c r="AH210">
        <f>IF(COUNTIFS(monthly!Z:Z,"",monthly!$A:$A,"&gt;="&amp;$A210,monthly!$B:$B,"&lt;="&amp;$B210)&gt;0,"NA",AVERAGEIFS(monthly!Z:Z,monthly!$A:$A,"&gt;="&amp;$A210,monthly!$B:$B,"&lt;="&amp;$B210))</f>
        <v>0.36363223195075989</v>
      </c>
    </row>
    <row r="211" spans="1:34" x14ac:dyDescent="0.2">
      <c r="A211" s="1">
        <v>44652</v>
      </c>
      <c r="B211" s="1">
        <v>44742</v>
      </c>
      <c r="C211">
        <f>IF(ISBLANK(VLOOKUP($A211,quarterly_data,MATCH(C$1,quarterly!$1:$1,FALSE),FALSE)),"NA",VLOOKUP($A211,quarterly_data,MATCH(C$1,quarterly!$1:$1,FALSE),FALSE))</f>
        <v>139.39241100639174</v>
      </c>
      <c r="D211">
        <f>IF(ISBLANK(VLOOKUP($A211,quarterly_data,MATCH(D$1,quarterly!$1:$1,FALSE),FALSE)),"NA",VLOOKUP($A211,quarterly_data,MATCH(D$1,quarterly!$1:$1,FALSE),FALSE))</f>
        <v>115.8</v>
      </c>
      <c r="E211">
        <f>IF(ISBLANK(VLOOKUP($A211,quarterly_data,MATCH(E$1,quarterly!$1:$1,FALSE),FALSE)),"NA",VLOOKUP($A211,quarterly_data,MATCH(E$1,quarterly!$1:$1,FALSE),FALSE))</f>
        <v>0.28001789999999999</v>
      </c>
      <c r="F211">
        <f>IF(ISBLANK(VLOOKUP($A211,quarterly_data,MATCH(F$1,quarterly!$1:$1,FALSE),FALSE)),"NA",VLOOKUP($A211,quarterly_data,MATCH(F$1,quarterly!$1:$1,FALSE),FALSE))</f>
        <v>8.5605700000000007E-2</v>
      </c>
      <c r="G211">
        <f>IF(ISBLANK(VLOOKUP($A211,quarterly_data,MATCH(G$1,quarterly!$1:$1,FALSE),FALSE)),"NA",VLOOKUP($A211,quarterly_data,MATCH(G$1,quarterly!$1:$1,FALSE),FALSE))</f>
        <v>21967.044999999998</v>
      </c>
      <c r="H211">
        <f>IF(ISBLANK(VLOOKUP($A211,quarterly_data,MATCH(H$1,quarterly!$1:$1,FALSE),FALSE)),"NA",VLOOKUP($A211,quarterly_data,MATCH(H$1,quarterly!$1:$1,FALSE),FALSE))</f>
        <v>651311</v>
      </c>
      <c r="I211">
        <f>IF(ISBLANK(VLOOKUP($A211,quarterly_data,MATCH(I$1,quarterly!$1:$1,FALSE),FALSE)),"NA",VLOOKUP($A211,quarterly_data,MATCH(I$1,quarterly!$1:$1,FALSE),FALSE))</f>
        <v>1.6</v>
      </c>
      <c r="J211">
        <f>IF(ISBLANK(VLOOKUP($A211,quarterly_data,MATCH(J$1,quarterly!$1:$1,FALSE),FALSE)),"NA",VLOOKUP($A211,quarterly_data,MATCH(J$1,quarterly!$1:$1,FALSE),FALSE))</f>
        <v>87.59</v>
      </c>
      <c r="K211">
        <f>IF(COUNTIFS(monthly!C:C,"",monthly!$A:$A,"&gt;="&amp;$A211,monthly!$B:$B,"&lt;="&amp;$B211)&gt;0,"NA",AVERAGEIFS(monthly!C:C,monthly!$A:$A,"&gt;="&amp;$A211,monthly!$B:$B,"&lt;="&amp;$B211))</f>
        <v>62.70000000000001</v>
      </c>
      <c r="L211">
        <f>IF(COUNTIFS(monthly!D:D,"",monthly!$A:$A,"&gt;="&amp;$A211,monthly!$B:$B,"&lt;="&amp;$B211)&gt;0,"NA",AVERAGEIFS(monthly!D:D,monthly!$A:$A,"&gt;="&amp;$A211,monthly!$B:$B,"&lt;="&amp;$B211))</f>
        <v>0.70746666666666658</v>
      </c>
      <c r="M211">
        <f>IF(COUNTIFS(monthly!E:E,"",monthly!$A:$A,"&gt;="&amp;$A211,monthly!$B:$B,"&lt;="&amp;$B211)&gt;0,"NA",AVERAGEIFS(monthly!E:E,monthly!$A:$A,"&gt;="&amp;$A211,monthly!$B:$B,"&lt;="&amp;$B211))</f>
        <v>149.34335849558298</v>
      </c>
      <c r="N211">
        <f>IF(COUNTIFS(monthly!F:F,"",monthly!$A:$A,"&gt;="&amp;$A211,monthly!$B:$B,"&lt;="&amp;$B211)&gt;0,"NA",AVERAGEIFS(monthly!F:F,monthly!$A:$A,"&gt;="&amp;$A211,monthly!$B:$B,"&lt;="&amp;$B211))</f>
        <v>152.74686488757035</v>
      </c>
      <c r="O211">
        <f>IF(COUNTIFS(monthly!G:G,"",monthly!$A:$A,"&gt;="&amp;$A211,monthly!$B:$B,"&lt;="&amp;$B211)&gt;0,"NA",AVERAGEIFS(monthly!G:G,monthly!$A:$A,"&gt;="&amp;$A211,monthly!$B:$B,"&lt;="&amp;$B211))</f>
        <v>137.73333333333332</v>
      </c>
      <c r="P211">
        <f>IF(COUNTIFS(monthly!H:H,"",monthly!$A:$A,"&gt;="&amp;$A211,monthly!$B:$B,"&lt;="&amp;$B211)&gt;0,"NA",AVERAGEIFS(monthly!H:H,monthly!$A:$A,"&gt;="&amp;$A211,monthly!$B:$B,"&lt;="&amp;$B211))</f>
        <v>352.3</v>
      </c>
      <c r="Q211">
        <f>IF(COUNTIFS(monthly!I:I,"",monthly!$A:$A,"&gt;="&amp;$A211,monthly!$B:$B,"&lt;="&amp;$B211)&gt;0,"NA",AVERAGEIFS(monthly!I:I,monthly!$A:$A,"&gt;="&amp;$A211,monthly!$B:$B,"&lt;="&amp;$B211))</f>
        <v>112.76666666666665</v>
      </c>
      <c r="R211">
        <f>IF(COUNTIFS(monthly!J:J,"",monthly!$A:$A,"&gt;="&amp;$A211,monthly!$B:$B,"&lt;="&amp;$B211)&gt;0,"NA",AVERAGEIFS(monthly!J:J,monthly!$A:$A,"&gt;="&amp;$A211,monthly!$B:$B,"&lt;="&amp;$B211))</f>
        <v>16.166666666666668</v>
      </c>
      <c r="S211">
        <f>IF(COUNTIFS(monthly!K:K,"",monthly!$A:$A,"&gt;="&amp;$A211,monthly!$B:$B,"&lt;="&amp;$B211)&gt;0,"NA",AVERAGEIFS(monthly!K:K,monthly!$A:$A,"&gt;="&amp;$A211,monthly!$B:$B,"&lt;="&amp;$B211))</f>
        <v>0.34666666666666668</v>
      </c>
      <c r="T211">
        <f>IF(COUNTIFS(monthly!L:L,"",monthly!$A:$A,"&gt;="&amp;$A211,monthly!$B:$B,"&lt;="&amp;$B211)&gt;0,"NA",AVERAGEIFS(monthly!L:L,monthly!$A:$A,"&gt;="&amp;$A211,monthly!$B:$B,"&lt;="&amp;$B211))</f>
        <v>0.76682795698924677</v>
      </c>
      <c r="U211">
        <f>IF(COUNTIFS(monthly!M:M,"",monthly!$A:$A,"&gt;="&amp;$A211,monthly!$B:$B,"&lt;="&amp;$B211)&gt;0,"NA",AVERAGEIFS(monthly!M:M,monthly!$A:$A,"&gt;="&amp;$A211,monthly!$B:$B,"&lt;="&amp;$B211))</f>
        <v>-0.42016129032258021</v>
      </c>
      <c r="V211">
        <f>IF(COUNTIFS(monthly!N:N,"",monthly!$A:$A,"&gt;="&amp;$A211,monthly!$B:$B,"&lt;="&amp;$B211)&gt;0,"NA",AVERAGEIFS(monthly!N:N,monthly!$A:$A,"&gt;="&amp;$A211,monthly!$B:$B,"&lt;="&amp;$B211))</f>
        <v>2.5613333333333332</v>
      </c>
      <c r="W211">
        <f>IF(COUNTIFS(monthly!O:O,"",monthly!$A:$A,"&gt;="&amp;$A211,monthly!$B:$B,"&lt;="&amp;$B211)&gt;0,"NA",AVERAGEIFS(monthly!O:O,monthly!$A:$A,"&gt;="&amp;$A211,monthly!$B:$B,"&lt;="&amp;$B211))</f>
        <v>2.7175873015873022</v>
      </c>
      <c r="X211">
        <f>IF(COUNTIFS(monthly!P:P,"",monthly!$A:$A,"&gt;="&amp;$A211,monthly!$B:$B,"&lt;="&amp;$B211)&gt;0,"NA",AVERAGEIFS(monthly!P:P,monthly!$A:$A,"&gt;="&amp;$A211,monthly!$B:$B,"&lt;="&amp;$B211))</f>
        <v>-0.15625396825396839</v>
      </c>
      <c r="Y211">
        <f>IF(COUNTIFS(monthly!Q:Q,"",monthly!$A:$A,"&gt;="&amp;$A211,monthly!$B:$B,"&lt;="&amp;$B211)&gt;0,"NA",AVERAGEIFS(monthly!Q:Q,monthly!$A:$A,"&gt;="&amp;$A211,monthly!$B:$B,"&lt;="&amp;$B211))</f>
        <v>3.3853333333333331</v>
      </c>
      <c r="Z211">
        <f>IF(COUNTIFS(monthly!R:R,"",monthly!$A:$A,"&gt;="&amp;$A211,monthly!$B:$B,"&lt;="&amp;$B211)&gt;0,"NA",AVERAGEIFS(monthly!R:R,monthly!$A:$A,"&gt;="&amp;$A211,monthly!$B:$B,"&lt;="&amp;$B211))</f>
        <v>2.9296428571428579</v>
      </c>
      <c r="AA211">
        <f>IF(COUNTIFS(monthly!S:S,"",monthly!$A:$A,"&gt;="&amp;$A211,monthly!$B:$B,"&lt;="&amp;$B211)&gt;0,"NA",AVERAGEIFS(monthly!S:S,monthly!$A:$A,"&gt;="&amp;$A211,monthly!$B:$B,"&lt;="&amp;$B211))</f>
        <v>0.45569047619047548</v>
      </c>
      <c r="AB211">
        <f>IF(COUNTIFS(monthly!T:T,"",monthly!$A:$A,"&gt;="&amp;$A211,monthly!$B:$B,"&lt;="&amp;$B211)&gt;0,"NA",AVERAGEIFS(monthly!T:T,monthly!$A:$A,"&gt;="&amp;$A211,monthly!$B:$B,"&lt;="&amp;$B211))</f>
        <v>27.306772727272726</v>
      </c>
      <c r="AC211">
        <f>IF(COUNTIFS(monthly!U:U,"",monthly!$A:$A,"&gt;="&amp;$A211,monthly!$B:$B,"&lt;="&amp;$B211)&gt;0,"NA",AVERAGEIFS(monthly!U:U,monthly!$A:$A,"&gt;="&amp;$A211,monthly!$B:$B,"&lt;="&amp;$B211))</f>
        <v>261.0620893586065</v>
      </c>
      <c r="AD211">
        <f>IF(COUNTIFS(monthly!V:V,"",monthly!$A:$A,"&gt;="&amp;$A211,monthly!$B:$B,"&lt;="&amp;$B211)&gt;0,"NA",AVERAGEIFS(monthly!V:V,monthly!$A:$A,"&gt;="&amp;$A211,monthly!$B:$B,"&lt;="&amp;$B211))</f>
        <v>160.87526277837748</v>
      </c>
      <c r="AE211">
        <f>IF(COUNTIFS(monthly!W:W,"",monthly!$A:$A,"&gt;="&amp;$A211,monthly!$B:$B,"&lt;="&amp;$B211)&gt;0,"NA",AVERAGEIFS(monthly!W:W,monthly!$A:$A,"&gt;="&amp;$A211,monthly!$B:$B,"&lt;="&amp;$B211))</f>
        <v>154.70296732584634</v>
      </c>
      <c r="AF211">
        <f>IF(COUNTIFS(monthly!X:X,"",monthly!$A:$A,"&gt;="&amp;$A211,monthly!$B:$B,"&lt;="&amp;$B211)&gt;0,"NA",AVERAGEIFS(monthly!X:X,monthly!$A:$A,"&gt;="&amp;$A211,monthly!$B:$B,"&lt;="&amp;$B211))</f>
        <v>183.02069091796875</v>
      </c>
      <c r="AG211">
        <f>IF(COUNTIFS(monthly!Y:Y,"",monthly!$A:$A,"&gt;="&amp;$A211,monthly!$B:$B,"&lt;="&amp;$B211)&gt;0,"NA",AVERAGEIFS(monthly!Y:Y,monthly!$A:$A,"&gt;="&amp;$A211,monthly!$B:$B,"&lt;="&amp;$B211))</f>
        <v>146.45661671956381</v>
      </c>
      <c r="AH211">
        <f>IF(COUNTIFS(monthly!Z:Z,"",monthly!$A:$A,"&gt;="&amp;$A211,monthly!$B:$B,"&lt;="&amp;$B211)&gt;0,"NA",AVERAGEIFS(monthly!Z:Z,monthly!$A:$A,"&gt;="&amp;$A211,monthly!$B:$B,"&lt;="&amp;$B211))</f>
        <v>0.24092167119185129</v>
      </c>
    </row>
    <row r="212" spans="1:34" x14ac:dyDescent="0.2">
      <c r="A212" s="1">
        <v>44743</v>
      </c>
      <c r="B212" s="1">
        <v>44834</v>
      </c>
      <c r="C212">
        <f>IF(ISBLANK(VLOOKUP($A212,quarterly_data,MATCH(C$1,quarterly!$1:$1,FALSE),FALSE)),"NA",VLOOKUP($A212,quarterly_data,MATCH(C$1,quarterly!$1:$1,FALSE),FALSE))</f>
        <v>139.9357352620307</v>
      </c>
      <c r="D212">
        <f>IF(ISBLANK(VLOOKUP($A212,quarterly_data,MATCH(D$1,quarterly!$1:$1,FALSE),FALSE)),"NA",VLOOKUP($A212,quarterly_data,MATCH(D$1,quarterly!$1:$1,FALSE),FALSE))</f>
        <v>110</v>
      </c>
      <c r="E212">
        <f>IF(ISBLANK(VLOOKUP($A212,quarterly_data,MATCH(E$1,quarterly!$1:$1,FALSE),FALSE)),"NA",VLOOKUP($A212,quarterly_data,MATCH(E$1,quarterly!$1:$1,FALSE),FALSE))</f>
        <v>6.3243099999999997E-2</v>
      </c>
      <c r="F212">
        <f>IF(ISBLANK(VLOOKUP($A212,quarterly_data,MATCH(F$1,quarterly!$1:$1,FALSE),FALSE)),"NA",VLOOKUP($A212,quarterly_data,MATCH(F$1,quarterly!$1:$1,FALSE),FALSE))</f>
        <v>4.9013399999999999E-2</v>
      </c>
      <c r="G212">
        <f>IF(ISBLANK(VLOOKUP($A212,quarterly_data,MATCH(G$1,quarterly!$1:$1,FALSE),FALSE)),"NA",VLOOKUP($A212,quarterly_data,MATCH(G$1,quarterly!$1:$1,FALSE),FALSE))</f>
        <v>22125.625</v>
      </c>
      <c r="H212">
        <f>IF(ISBLANK(VLOOKUP($A212,quarterly_data,MATCH(H$1,quarterly!$1:$1,FALSE),FALSE)),"NA",VLOOKUP($A212,quarterly_data,MATCH(H$1,quarterly!$1:$1,FALSE),FALSE))</f>
        <v>654278</v>
      </c>
      <c r="I212">
        <f>IF(ISBLANK(VLOOKUP($A212,quarterly_data,MATCH(I$1,quarterly!$1:$1,FALSE),FALSE)),"NA",VLOOKUP($A212,quarterly_data,MATCH(I$1,quarterly!$1:$1,FALSE),FALSE))</f>
        <v>1.8</v>
      </c>
      <c r="J212">
        <f>IF(ISBLANK(VLOOKUP($A212,quarterly_data,MATCH(J$1,quarterly!$1:$1,FALSE),FALSE)),"NA",VLOOKUP($A212,quarterly_data,MATCH(J$1,quarterly!$1:$1,FALSE),FALSE))</f>
        <v>89.2</v>
      </c>
      <c r="K212">
        <f>IF(COUNTIFS(monthly!C:C,"",monthly!$A:$A,"&gt;="&amp;$A212,monthly!$B:$B,"&lt;="&amp;$B212)&gt;0,"NA",AVERAGEIFS(monthly!C:C,monthly!$A:$A,"&gt;="&amp;$A212,monthly!$B:$B,"&lt;="&amp;$B212))</f>
        <v>62.633333333333333</v>
      </c>
      <c r="L212">
        <f>IF(COUNTIFS(monthly!D:D,"",monthly!$A:$A,"&gt;="&amp;$A212,monthly!$B:$B,"&lt;="&amp;$B212)&gt;0,"NA",AVERAGEIFS(monthly!D:D,monthly!$A:$A,"&gt;="&amp;$A212,monthly!$B:$B,"&lt;="&amp;$B212))</f>
        <v>0.68036666666666668</v>
      </c>
      <c r="M212">
        <f>IF(COUNTIFS(monthly!E:E,"",monthly!$A:$A,"&gt;="&amp;$A212,monthly!$B:$B,"&lt;="&amp;$B212)&gt;0,"NA",AVERAGEIFS(monthly!E:E,monthly!$A:$A,"&gt;="&amp;$A212,monthly!$B:$B,"&lt;="&amp;$B212))</f>
        <v>142.32398515444501</v>
      </c>
      <c r="N212">
        <f>IF(COUNTIFS(monthly!F:F,"",monthly!$A:$A,"&gt;="&amp;$A212,monthly!$B:$B,"&lt;="&amp;$B212)&gt;0,"NA",AVERAGEIFS(monthly!F:F,monthly!$A:$A,"&gt;="&amp;$A212,monthly!$B:$B,"&lt;="&amp;$B212))</f>
        <v>140.02958548042599</v>
      </c>
      <c r="O212">
        <f>IF(COUNTIFS(monthly!G:G,"",monthly!$A:$A,"&gt;="&amp;$A212,monthly!$B:$B,"&lt;="&amp;$B212)&gt;0,"NA",AVERAGEIFS(monthly!G:G,monthly!$A:$A,"&gt;="&amp;$A212,monthly!$B:$B,"&lt;="&amp;$B212))</f>
        <v>105.76666666666667</v>
      </c>
      <c r="P212">
        <f>IF(COUNTIFS(monthly!H:H,"",monthly!$A:$A,"&gt;="&amp;$A212,monthly!$B:$B,"&lt;="&amp;$B212)&gt;0,"NA",AVERAGEIFS(monthly!H:H,monthly!$A:$A,"&gt;="&amp;$A212,monthly!$B:$B,"&lt;="&amp;$B212))</f>
        <v>413.33333333333331</v>
      </c>
      <c r="Q212">
        <f>IF(COUNTIFS(monthly!I:I,"",monthly!$A:$A,"&gt;="&amp;$A212,monthly!$B:$B,"&lt;="&amp;$B212)&gt;0,"NA",AVERAGEIFS(monthly!I:I,monthly!$A:$A,"&gt;="&amp;$A212,monthly!$B:$B,"&lt;="&amp;$B212))</f>
        <v>99.233333333333334</v>
      </c>
      <c r="R212">
        <f>IF(COUNTIFS(monthly!J:J,"",monthly!$A:$A,"&gt;="&amp;$A212,monthly!$B:$B,"&lt;="&amp;$B212)&gt;0,"NA",AVERAGEIFS(monthly!J:J,monthly!$A:$A,"&gt;="&amp;$A212,monthly!$B:$B,"&lt;="&amp;$B212))</f>
        <v>21.273333333333337</v>
      </c>
      <c r="S212">
        <f>IF(COUNTIFS(monthly!K:K,"",monthly!$A:$A,"&gt;="&amp;$A212,monthly!$B:$B,"&lt;="&amp;$B212)&gt;0,"NA",AVERAGEIFS(monthly!K:K,monthly!$A:$A,"&gt;="&amp;$A212,monthly!$B:$B,"&lt;="&amp;$B212))</f>
        <v>1.74</v>
      </c>
      <c r="T212">
        <f>IF(COUNTIFS(monthly!L:L,"",monthly!$A:$A,"&gt;="&amp;$A212,monthly!$B:$B,"&lt;="&amp;$B212)&gt;0,"NA",AVERAGEIFS(monthly!L:L,monthly!$A:$A,"&gt;="&amp;$A212,monthly!$B:$B,"&lt;="&amp;$B212))</f>
        <v>2.1869354838709669</v>
      </c>
      <c r="U212">
        <f>IF(COUNTIFS(monthly!M:M,"",monthly!$A:$A,"&gt;="&amp;$A212,monthly!$B:$B,"&lt;="&amp;$B212)&gt;0,"NA",AVERAGEIFS(monthly!M:M,monthly!$A:$A,"&gt;="&amp;$A212,monthly!$B:$B,"&lt;="&amp;$B212))</f>
        <v>-0.44693548387096665</v>
      </c>
      <c r="V212">
        <f>IF(COUNTIFS(monthly!N:N,"",monthly!$A:$A,"&gt;="&amp;$A212,monthly!$B:$B,"&lt;="&amp;$B212)&gt;0,"NA",AVERAGEIFS(monthly!N:N,monthly!$A:$A,"&gt;="&amp;$A212,monthly!$B:$B,"&lt;="&amp;$B212))</f>
        <v>2.9386666666666663</v>
      </c>
      <c r="W212">
        <f>IF(COUNTIFS(monthly!O:O,"",monthly!$A:$A,"&gt;="&amp;$A212,monthly!$B:$B,"&lt;="&amp;$B212)&gt;0,"NA",AVERAGEIFS(monthly!O:O,monthly!$A:$A,"&gt;="&amp;$A212,monthly!$B:$B,"&lt;="&amp;$B212))</f>
        <v>3.3808888888888884</v>
      </c>
      <c r="X212">
        <f>IF(COUNTIFS(monthly!P:P,"",monthly!$A:$A,"&gt;="&amp;$A212,monthly!$B:$B,"&lt;="&amp;$B212)&gt;0,"NA",AVERAGEIFS(monthly!P:P,monthly!$A:$A,"&gt;="&amp;$A212,monthly!$B:$B,"&lt;="&amp;$B212))</f>
        <v>-0.44222222222222191</v>
      </c>
      <c r="Y212">
        <f>IF(COUNTIFS(monthly!Q:Q,"",monthly!$A:$A,"&gt;="&amp;$A212,monthly!$B:$B,"&lt;="&amp;$B212)&gt;0,"NA",AVERAGEIFS(monthly!Q:Q,monthly!$A:$A,"&gt;="&amp;$A212,monthly!$B:$B,"&lt;="&amp;$B212))</f>
        <v>3.5123333333333329</v>
      </c>
      <c r="Z212">
        <f>IF(COUNTIFS(monthly!R:R,"",monthly!$A:$A,"&gt;="&amp;$A212,monthly!$B:$B,"&lt;="&amp;$B212)&gt;0,"NA",AVERAGEIFS(monthly!R:R,monthly!$A:$A,"&gt;="&amp;$A212,monthly!$B:$B,"&lt;="&amp;$B212))</f>
        <v>3.1042912353347134</v>
      </c>
      <c r="AA212">
        <f>IF(COUNTIFS(monthly!S:S,"",monthly!$A:$A,"&gt;="&amp;$A212,monthly!$B:$B,"&lt;="&amp;$B212)&gt;0,"NA",AVERAGEIFS(monthly!S:S,monthly!$A:$A,"&gt;="&amp;$A212,monthly!$B:$B,"&lt;="&amp;$B212))</f>
        <v>0.40804209799861973</v>
      </c>
      <c r="AB212">
        <f>IF(COUNTIFS(monthly!T:T,"",monthly!$A:$A,"&gt;="&amp;$A212,monthly!$B:$B,"&lt;="&amp;$B212)&gt;0,"NA",AVERAGEIFS(monthly!T:T,monthly!$A:$A,"&gt;="&amp;$A212,monthly!$B:$B,"&lt;="&amp;$B212))</f>
        <v>24.835540498149197</v>
      </c>
      <c r="AC212">
        <f>IF(COUNTIFS(monthly!U:U,"",monthly!$A:$A,"&gt;="&amp;$A212,monthly!$B:$B,"&lt;="&amp;$B212)&gt;0,"NA",AVERAGEIFS(monthly!U:U,monthly!$A:$A,"&gt;="&amp;$A212,monthly!$B:$B,"&lt;="&amp;$B212))</f>
        <v>256.37975500857254</v>
      </c>
      <c r="AD212">
        <f>IF(COUNTIFS(monthly!V:V,"",monthly!$A:$A,"&gt;="&amp;$A212,monthly!$B:$B,"&lt;="&amp;$B212)&gt;0,"NA",AVERAGEIFS(monthly!V:V,monthly!$A:$A,"&gt;="&amp;$A212,monthly!$B:$B,"&lt;="&amp;$B212))</f>
        <v>120.38937170476885</v>
      </c>
      <c r="AE212">
        <f>IF(COUNTIFS(monthly!W:W,"",monthly!$A:$A,"&gt;="&amp;$A212,monthly!$B:$B,"&lt;="&amp;$B212)&gt;0,"NA",AVERAGEIFS(monthly!W:W,monthly!$A:$A,"&gt;="&amp;$A212,monthly!$B:$B,"&lt;="&amp;$B212))</f>
        <v>127.34195200602214</v>
      </c>
      <c r="AF212">
        <f>IF(COUNTIFS(monthly!X:X,"",monthly!$A:$A,"&gt;="&amp;$A212,monthly!$B:$B,"&lt;="&amp;$B212)&gt;0,"NA",AVERAGEIFS(monthly!X:X,monthly!$A:$A,"&gt;="&amp;$A212,monthly!$B:$B,"&lt;="&amp;$B212))</f>
        <v>156.97925313313803</v>
      </c>
      <c r="AG212">
        <f>IF(COUNTIFS(monthly!Y:Y,"",monthly!$A:$A,"&gt;="&amp;$A212,monthly!$B:$B,"&lt;="&amp;$B212)&gt;0,"NA",AVERAGEIFS(monthly!Y:Y,monthly!$A:$A,"&gt;="&amp;$A212,monthly!$B:$B,"&lt;="&amp;$B212))</f>
        <v>105.87512715657552</v>
      </c>
      <c r="AH212">
        <f>IF(COUNTIFS(monthly!Z:Z,"",monthly!$A:$A,"&gt;="&amp;$A212,monthly!$B:$B,"&lt;="&amp;$B212)&gt;0,"NA",AVERAGEIFS(monthly!Z:Z,monthly!$A:$A,"&gt;="&amp;$A212,monthly!$B:$B,"&lt;="&amp;$B212))</f>
        <v>0.20376421511173248</v>
      </c>
    </row>
    <row r="213" spans="1:34" x14ac:dyDescent="0.2">
      <c r="A213" s="1">
        <v>44835</v>
      </c>
      <c r="B213" s="1">
        <v>44926</v>
      </c>
      <c r="C213">
        <f>IF(ISBLANK(VLOOKUP($A213,quarterly_data,MATCH(C$1,quarterly!$1:$1,FALSE),FALSE)),"NA",VLOOKUP($A213,quarterly_data,MATCH(C$1,quarterly!$1:$1,FALSE),FALSE))</f>
        <v>138.60423185315088</v>
      </c>
      <c r="D213">
        <f>IF(ISBLANK(VLOOKUP($A213,quarterly_data,MATCH(D$1,quarterly!$1:$1,FALSE),FALSE)),"NA",VLOOKUP($A213,quarterly_data,MATCH(D$1,quarterly!$1:$1,FALSE),FALSE))</f>
        <v>106.3</v>
      </c>
      <c r="E213">
        <f>IF(ISBLANK(VLOOKUP($A213,quarterly_data,MATCH(E$1,quarterly!$1:$1,FALSE),FALSE)),"NA",VLOOKUP($A213,quarterly_data,MATCH(E$1,quarterly!$1:$1,FALSE),FALSE))</f>
        <v>0.1810938</v>
      </c>
      <c r="F213">
        <f>IF(ISBLANK(VLOOKUP($A213,quarterly_data,MATCH(F$1,quarterly!$1:$1,FALSE),FALSE)),"NA",VLOOKUP($A213,quarterly_data,MATCH(F$1,quarterly!$1:$1,FALSE),FALSE))</f>
        <v>5.1877E-2</v>
      </c>
      <c r="G213">
        <f>IF(ISBLANK(VLOOKUP($A213,quarterly_data,MATCH(G$1,quarterly!$1:$1,FALSE),FALSE)),"NA",VLOOKUP($A213,quarterly_data,MATCH(G$1,quarterly!$1:$1,FALSE),FALSE))</f>
        <v>22278.345000000001</v>
      </c>
      <c r="H213">
        <f>IF(ISBLANK(VLOOKUP($A213,quarterly_data,MATCH(H$1,quarterly!$1:$1,FALSE),FALSE)),"NA",VLOOKUP($A213,quarterly_data,MATCH(H$1,quarterly!$1:$1,FALSE),FALSE))</f>
        <v>659867</v>
      </c>
      <c r="I213">
        <f>IF(ISBLANK(VLOOKUP($A213,quarterly_data,MATCH(I$1,quarterly!$1:$1,FALSE),FALSE)),"NA",VLOOKUP($A213,quarterly_data,MATCH(I$1,quarterly!$1:$1,FALSE),FALSE))</f>
        <v>1.7</v>
      </c>
      <c r="J213">
        <f>IF(ISBLANK(VLOOKUP($A213,quarterly_data,MATCH(J$1,quarterly!$1:$1,FALSE),FALSE)),"NA",VLOOKUP($A213,quarterly_data,MATCH(J$1,quarterly!$1:$1,FALSE),FALSE))</f>
        <v>90.85</v>
      </c>
      <c r="K213">
        <f>IF(COUNTIFS(monthly!C:C,"",monthly!$A:$A,"&gt;="&amp;$A213,monthly!$B:$B,"&lt;="&amp;$B213)&gt;0,"NA",AVERAGEIFS(monthly!C:C,monthly!$A:$A,"&gt;="&amp;$A213,monthly!$B:$B,"&lt;="&amp;$B213))</f>
        <v>61.6</v>
      </c>
      <c r="L213">
        <f>IF(COUNTIFS(monthly!D:D,"",monthly!$A:$A,"&gt;="&amp;$A213,monthly!$B:$B,"&lt;="&amp;$B213)&gt;0,"NA",AVERAGEIFS(monthly!D:D,monthly!$A:$A,"&gt;="&amp;$A213,monthly!$B:$B,"&lt;="&amp;$B213))</f>
        <v>0.66309999999999991</v>
      </c>
      <c r="M213">
        <f>IF(COUNTIFS(monthly!E:E,"",monthly!$A:$A,"&gt;="&amp;$A213,monthly!$B:$B,"&lt;="&amp;$B213)&gt;0,"NA",AVERAGEIFS(monthly!E:E,monthly!$A:$A,"&gt;="&amp;$A213,monthly!$B:$B,"&lt;="&amp;$B213))</f>
        <v>137.51789269777166</v>
      </c>
      <c r="N213">
        <f>IF(COUNTIFS(monthly!F:F,"",monthly!$A:$A,"&gt;="&amp;$A213,monthly!$B:$B,"&lt;="&amp;$B213)&gt;0,"NA",AVERAGEIFS(monthly!F:F,monthly!$A:$A,"&gt;="&amp;$A213,monthly!$B:$B,"&lt;="&amp;$B213))</f>
        <v>137.51206760172801</v>
      </c>
      <c r="O213">
        <f>IF(COUNTIFS(monthly!G:G,"",monthly!$A:$A,"&gt;="&amp;$A213,monthly!$B:$B,"&lt;="&amp;$B213)&gt;0,"NA",AVERAGEIFS(monthly!G:G,monthly!$A:$A,"&gt;="&amp;$A213,monthly!$B:$B,"&lt;="&amp;$B213))</f>
        <v>99.233333333333334</v>
      </c>
      <c r="P213">
        <f>IF(COUNTIFS(monthly!H:H,"",monthly!$A:$A,"&gt;="&amp;$A213,monthly!$B:$B,"&lt;="&amp;$B213)&gt;0,"NA",AVERAGEIFS(monthly!H:H,monthly!$A:$A,"&gt;="&amp;$A213,monthly!$B:$B,"&lt;="&amp;$B213))</f>
        <v>370.40000000000003</v>
      </c>
      <c r="Q213">
        <f>IF(COUNTIFS(monthly!I:I,"",monthly!$A:$A,"&gt;="&amp;$A213,monthly!$B:$B,"&lt;="&amp;$B213)&gt;0,"NA",AVERAGEIFS(monthly!I:I,monthly!$A:$A,"&gt;="&amp;$A213,monthly!$B:$B,"&lt;="&amp;$B213))</f>
        <v>88.366666666666674</v>
      </c>
      <c r="R213">
        <f>IF(COUNTIFS(monthly!J:J,"",monthly!$A:$A,"&gt;="&amp;$A213,monthly!$B:$B,"&lt;="&amp;$B213)&gt;0,"NA",AVERAGEIFS(monthly!J:J,monthly!$A:$A,"&gt;="&amp;$A213,monthly!$B:$B,"&lt;="&amp;$B213))</f>
        <v>20.669999999999998</v>
      </c>
      <c r="S213">
        <f>IF(COUNTIFS(monthly!K:K,"",monthly!$A:$A,"&gt;="&amp;$A213,monthly!$B:$B,"&lt;="&amp;$B213)&gt;0,"NA",AVERAGEIFS(monthly!K:K,monthly!$A:$A,"&gt;="&amp;$A213,monthly!$B:$B,"&lt;="&amp;$B213))</f>
        <v>2.7833333333333332</v>
      </c>
      <c r="T213">
        <f>IF(COUNTIFS(monthly!L:L,"",monthly!$A:$A,"&gt;="&amp;$A213,monthly!$B:$B,"&lt;="&amp;$B213)&gt;0,"NA",AVERAGEIFS(monthly!L:L,monthly!$A:$A,"&gt;="&amp;$A213,monthly!$B:$B,"&lt;="&amp;$B213))</f>
        <v>3.6547311827956981</v>
      </c>
      <c r="U213">
        <f>IF(COUNTIFS(monthly!M:M,"",monthly!$A:$A,"&gt;="&amp;$A213,monthly!$B:$B,"&lt;="&amp;$B213)&gt;0,"NA",AVERAGEIFS(monthly!M:M,monthly!$A:$A,"&gt;="&amp;$A213,monthly!$B:$B,"&lt;="&amp;$B213))</f>
        <v>-0.87139784946236443</v>
      </c>
      <c r="V213">
        <f>IF(COUNTIFS(monthly!N:N,"",monthly!$A:$A,"&gt;="&amp;$A213,monthly!$B:$B,"&lt;="&amp;$B213)&gt;0,"NA",AVERAGEIFS(monthly!N:N,monthly!$A:$A,"&gt;="&amp;$A213,monthly!$B:$B,"&lt;="&amp;$B213))</f>
        <v>3.202666666666667</v>
      </c>
      <c r="W213">
        <f>IF(COUNTIFS(monthly!O:O,"",monthly!$A:$A,"&gt;="&amp;$A213,monthly!$B:$B,"&lt;="&amp;$B213)&gt;0,"NA",AVERAGEIFS(monthly!O:O,monthly!$A:$A,"&gt;="&amp;$A213,monthly!$B:$B,"&lt;="&amp;$B213))</f>
        <v>4.3890238095238088</v>
      </c>
      <c r="X213">
        <f>IF(COUNTIFS(monthly!P:P,"",monthly!$A:$A,"&gt;="&amp;$A213,monthly!$B:$B,"&lt;="&amp;$B213)&gt;0,"NA",AVERAGEIFS(monthly!P:P,monthly!$A:$A,"&gt;="&amp;$A213,monthly!$B:$B,"&lt;="&amp;$B213))</f>
        <v>-1.1863571428571424</v>
      </c>
      <c r="Y213">
        <f>IF(COUNTIFS(monthly!Q:Q,"",monthly!$A:$A,"&gt;="&amp;$A213,monthly!$B:$B,"&lt;="&amp;$B213)&gt;0,"NA",AVERAGEIFS(monthly!Q:Q,monthly!$A:$A,"&gt;="&amp;$A213,monthly!$B:$B,"&lt;="&amp;$B213))</f>
        <v>3.722</v>
      </c>
      <c r="Z213">
        <f>IF(COUNTIFS(monthly!R:R,"",monthly!$A:$A,"&gt;="&amp;$A213,monthly!$B:$B,"&lt;="&amp;$B213)&gt;0,"NA",AVERAGEIFS(monthly!R:R,monthly!$A:$A,"&gt;="&amp;$A213,monthly!$B:$B,"&lt;="&amp;$B213))</f>
        <v>3.8302301587301582</v>
      </c>
      <c r="AA213">
        <f>IF(COUNTIFS(monthly!S:S,"",monthly!$A:$A,"&gt;="&amp;$A213,monthly!$B:$B,"&lt;="&amp;$B213)&gt;0,"NA",AVERAGEIFS(monthly!S:S,monthly!$A:$A,"&gt;="&amp;$A213,monthly!$B:$B,"&lt;="&amp;$B213))</f>
        <v>-0.10823015873015833</v>
      </c>
      <c r="AB213">
        <f>IF(COUNTIFS(monthly!T:T,"",monthly!$A:$A,"&gt;="&amp;$A213,monthly!$B:$B,"&lt;="&amp;$B213)&gt;0,"NA",AVERAGEIFS(monthly!T:T,monthly!$A:$A,"&gt;="&amp;$A213,monthly!$B:$B,"&lt;="&amp;$B213))</f>
        <v>25.029696969696971</v>
      </c>
      <c r="AC213">
        <f>IF(COUNTIFS(monthly!U:U,"",monthly!$A:$A,"&gt;="&amp;$A213,monthly!$B:$B,"&lt;="&amp;$B213)&gt;0,"NA",AVERAGEIFS(monthly!U:U,monthly!$A:$A,"&gt;="&amp;$A213,monthly!$B:$B,"&lt;="&amp;$B213))</f>
        <v>268.55666012731524</v>
      </c>
      <c r="AD213">
        <f>IF(COUNTIFS(monthly!V:V,"",monthly!$A:$A,"&gt;="&amp;$A213,monthly!$B:$B,"&lt;="&amp;$B213)&gt;0,"NA",AVERAGEIFS(monthly!V:V,monthly!$A:$A,"&gt;="&amp;$A213,monthly!$B:$B,"&lt;="&amp;$B213))</f>
        <v>198.46013589500635</v>
      </c>
      <c r="AE213">
        <f>IF(COUNTIFS(monthly!W:W,"",monthly!$A:$A,"&gt;="&amp;$A213,monthly!$B:$B,"&lt;="&amp;$B213)&gt;0,"NA",AVERAGEIFS(monthly!W:W,monthly!$A:$A,"&gt;="&amp;$A213,monthly!$B:$B,"&lt;="&amp;$B213))</f>
        <v>123.69154612223308</v>
      </c>
      <c r="AF213">
        <f>IF(COUNTIFS(monthly!X:X,"",monthly!$A:$A,"&gt;="&amp;$A213,monthly!$B:$B,"&lt;="&amp;$B213)&gt;0,"NA",AVERAGEIFS(monthly!X:X,monthly!$A:$A,"&gt;="&amp;$A213,monthly!$B:$B,"&lt;="&amp;$B213))</f>
        <v>149.15646107991537</v>
      </c>
      <c r="AG213">
        <f>IF(COUNTIFS(monthly!Y:Y,"",monthly!$A:$A,"&gt;="&amp;$A213,monthly!$B:$B,"&lt;="&amp;$B213)&gt;0,"NA",AVERAGEIFS(monthly!Y:Y,monthly!$A:$A,"&gt;="&amp;$A213,monthly!$B:$B,"&lt;="&amp;$B213))</f>
        <v>107.0432840983073</v>
      </c>
      <c r="AH213">
        <f>IF(COUNTIFS(monthly!Z:Z,"",monthly!$A:$A,"&gt;="&amp;$A213,monthly!$B:$B,"&lt;="&amp;$B213)&gt;0,"NA",AVERAGEIFS(monthly!Z:Z,monthly!$A:$A,"&gt;="&amp;$A213,monthly!$B:$B,"&lt;="&amp;$B213))</f>
        <v>0.14183578640222549</v>
      </c>
    </row>
    <row r="214" spans="1:34" x14ac:dyDescent="0.2">
      <c r="A214" s="1">
        <v>44927</v>
      </c>
      <c r="B214" s="1">
        <v>45016</v>
      </c>
      <c r="C214">
        <f>IF(ISBLANK(VLOOKUP($A214,quarterly_data,MATCH(C$1,quarterly!$1:$1,FALSE),FALSE)),"NA",VLOOKUP($A214,quarterly_data,MATCH(C$1,quarterly!$1:$1,FALSE),FALSE))</f>
        <v>139.36090989232363</v>
      </c>
      <c r="D214">
        <f>IF(ISBLANK(VLOOKUP($A214,quarterly_data,MATCH(D$1,quarterly!$1:$1,FALSE),FALSE)),"NA",VLOOKUP($A214,quarterly_data,MATCH(D$1,quarterly!$1:$1,FALSE),FALSE))</f>
        <v>108.4</v>
      </c>
      <c r="E214">
        <f>IF(ISBLANK(VLOOKUP($A214,quarterly_data,MATCH(E$1,quarterly!$1:$1,FALSE),FALSE)),"NA",VLOOKUP($A214,quarterly_data,MATCH(E$1,quarterly!$1:$1,FALSE),FALSE))</f>
        <v>0.14771049999999999</v>
      </c>
      <c r="F214">
        <f>IF(ISBLANK(VLOOKUP($A214,quarterly_data,MATCH(F$1,quarterly!$1:$1,FALSE),FALSE)),"NA",VLOOKUP($A214,quarterly_data,MATCH(F$1,quarterly!$1:$1,FALSE),FALSE))</f>
        <v>4.9759600000000001E-2</v>
      </c>
      <c r="G214">
        <f>IF(ISBLANK(VLOOKUP($A214,quarterly_data,MATCH(G$1,quarterly!$1:$1,FALSE),FALSE)),"NA",VLOOKUP($A214,quarterly_data,MATCH(G$1,quarterly!$1:$1,FALSE),FALSE))</f>
        <v>22439.607</v>
      </c>
      <c r="H214">
        <f>IF(ISBLANK(VLOOKUP($A214,quarterly_data,MATCH(H$1,quarterly!$1:$1,FALSE),FALSE)),"NA",VLOOKUP($A214,quarterly_data,MATCH(H$1,quarterly!$1:$1,FALSE),FALSE))</f>
        <v>663632</v>
      </c>
      <c r="I214">
        <f>IF(ISBLANK(VLOOKUP($A214,quarterly_data,MATCH(I$1,quarterly!$1:$1,FALSE),FALSE)),"NA",VLOOKUP($A214,quarterly_data,MATCH(I$1,quarterly!$1:$1,FALSE),FALSE))</f>
        <v>1.2</v>
      </c>
      <c r="J214">
        <f>IF(ISBLANK(VLOOKUP($A214,quarterly_data,MATCH(J$1,quarterly!$1:$1,FALSE),FALSE)),"NA",VLOOKUP($A214,quarterly_data,MATCH(J$1,quarterly!$1:$1,FALSE),FALSE))</f>
        <v>92.08</v>
      </c>
      <c r="K214">
        <f>IF(COUNTIFS(monthly!C:C,"",monthly!$A:$A,"&gt;="&amp;$A214,monthly!$B:$B,"&lt;="&amp;$B214)&gt;0,"NA",AVERAGEIFS(monthly!C:C,monthly!$A:$A,"&gt;="&amp;$A214,monthly!$B:$B,"&lt;="&amp;$B214))</f>
        <v>61.366666666666667</v>
      </c>
      <c r="L214">
        <f>IF(COUNTIFS(monthly!D:D,"",monthly!$A:$A,"&gt;="&amp;$A214,monthly!$B:$B,"&lt;="&amp;$B214)&gt;0,"NA",AVERAGEIFS(monthly!D:D,monthly!$A:$A,"&gt;="&amp;$A214,monthly!$B:$B,"&lt;="&amp;$B214))</f>
        <v>0.68263333333333343</v>
      </c>
      <c r="M214">
        <f>IF(COUNTIFS(monthly!E:E,"",monthly!$A:$A,"&gt;="&amp;$A214,monthly!$B:$B,"&lt;="&amp;$B214)&gt;0,"NA",AVERAGEIFS(monthly!E:E,monthly!$A:$A,"&gt;="&amp;$A214,monthly!$B:$B,"&lt;="&amp;$B214))</f>
        <v>133.94756495739466</v>
      </c>
      <c r="N214">
        <f>IF(COUNTIFS(monthly!F:F,"",monthly!$A:$A,"&gt;="&amp;$A214,monthly!$B:$B,"&lt;="&amp;$B214)&gt;0,"NA",AVERAGEIFS(monthly!F:F,monthly!$A:$A,"&gt;="&amp;$A214,monthly!$B:$B,"&lt;="&amp;$B214))</f>
        <v>134.72605659229532</v>
      </c>
      <c r="O214">
        <f>IF(COUNTIFS(monthly!G:G,"",monthly!$A:$A,"&gt;="&amp;$A214,monthly!$B:$B,"&lt;="&amp;$B214)&gt;0,"NA",AVERAGEIFS(monthly!G:G,monthly!$A:$A,"&gt;="&amp;$A214,monthly!$B:$B,"&lt;="&amp;$B214))</f>
        <v>126.06666666666668</v>
      </c>
      <c r="P214">
        <f>IF(COUNTIFS(monthly!H:H,"",monthly!$A:$A,"&gt;="&amp;$A214,monthly!$B:$B,"&lt;="&amp;$B214)&gt;0,"NA",AVERAGEIFS(monthly!H:H,monthly!$A:$A,"&gt;="&amp;$A214,monthly!$B:$B,"&lt;="&amp;$B214))</f>
        <v>237.56666666666669</v>
      </c>
      <c r="Q214">
        <f>IF(COUNTIFS(monthly!I:I,"",monthly!$A:$A,"&gt;="&amp;$A214,monthly!$B:$B,"&lt;="&amp;$B214)&gt;0,"NA",AVERAGEIFS(monthly!I:I,monthly!$A:$A,"&gt;="&amp;$A214,monthly!$B:$B,"&lt;="&amp;$B214))</f>
        <v>81.433333333333337</v>
      </c>
      <c r="R214">
        <f>IF(COUNTIFS(monthly!J:J,"",monthly!$A:$A,"&gt;="&amp;$A214,monthly!$B:$B,"&lt;="&amp;$B214)&gt;0,"NA",AVERAGEIFS(monthly!J:J,monthly!$A:$A,"&gt;="&amp;$A214,monthly!$B:$B,"&lt;="&amp;$B214))</f>
        <v>18.213333333333335</v>
      </c>
      <c r="S214">
        <f>IF(COUNTIFS(monthly!K:K,"",monthly!$A:$A,"&gt;="&amp;$A214,monthly!$B:$B,"&lt;="&amp;$B214)&gt;0,"NA",AVERAGEIFS(monthly!K:K,monthly!$A:$A,"&gt;="&amp;$A214,monthly!$B:$B,"&lt;="&amp;$B214))</f>
        <v>3.28</v>
      </c>
      <c r="T214">
        <f>IF(COUNTIFS(monthly!L:L,"",monthly!$A:$A,"&gt;="&amp;$A214,monthly!$B:$B,"&lt;="&amp;$B214)&gt;0,"NA",AVERAGEIFS(monthly!L:L,monthly!$A:$A,"&gt;="&amp;$A214,monthly!$B:$B,"&lt;="&amp;$B214))</f>
        <v>4.5163440860215056</v>
      </c>
      <c r="U214">
        <f>IF(COUNTIFS(monthly!M:M,"",monthly!$A:$A,"&gt;="&amp;$A214,monthly!$B:$B,"&lt;="&amp;$B214)&gt;0,"NA",AVERAGEIFS(monthly!M:M,monthly!$A:$A,"&gt;="&amp;$A214,monthly!$B:$B,"&lt;="&amp;$B214))</f>
        <v>-1.2363440860215056</v>
      </c>
      <c r="V214">
        <f>IF(COUNTIFS(monthly!N:N,"",monthly!$A:$A,"&gt;="&amp;$A214,monthly!$B:$B,"&lt;="&amp;$B214)&gt;0,"NA",AVERAGEIFS(monthly!N:N,monthly!$A:$A,"&gt;="&amp;$A214,monthly!$B:$B,"&lt;="&amp;$B214))</f>
        <v>3.1950000000000003</v>
      </c>
      <c r="W214">
        <f>IF(COUNTIFS(monthly!O:O,"",monthly!$A:$A,"&gt;="&amp;$A214,monthly!$B:$B,"&lt;="&amp;$B214)&gt;0,"NA",AVERAGEIFS(monthly!O:O,monthly!$A:$A,"&gt;="&amp;$A214,monthly!$B:$B,"&lt;="&amp;$B214))</f>
        <v>4.3479309687261631</v>
      </c>
      <c r="X214">
        <f>IF(COUNTIFS(monthly!P:P,"",monthly!$A:$A,"&gt;="&amp;$A214,monthly!$B:$B,"&lt;="&amp;$B214)&gt;0,"NA",AVERAGEIFS(monthly!P:P,monthly!$A:$A,"&gt;="&amp;$A214,monthly!$B:$B,"&lt;="&amp;$B214))</f>
        <v>-1.1529309687261631</v>
      </c>
      <c r="Y214">
        <f>IF(COUNTIFS(monthly!Q:Q,"",monthly!$A:$A,"&gt;="&amp;$A214,monthly!$B:$B,"&lt;="&amp;$B214)&gt;0,"NA",AVERAGEIFS(monthly!Q:Q,monthly!$A:$A,"&gt;="&amp;$A214,monthly!$B:$B,"&lt;="&amp;$B214))</f>
        <v>3.5913333333333335</v>
      </c>
      <c r="Z214">
        <f>IF(COUNTIFS(monthly!R:R,"",monthly!$A:$A,"&gt;="&amp;$A214,monthly!$B:$B,"&lt;="&amp;$B214)&gt;0,"NA",AVERAGEIFS(monthly!R:R,monthly!$A:$A,"&gt;="&amp;$A214,monthly!$B:$B,"&lt;="&amp;$B214))</f>
        <v>3.6471285278413426</v>
      </c>
      <c r="AA214">
        <f>IF(COUNTIFS(monthly!S:S,"",monthly!$A:$A,"&gt;="&amp;$A214,monthly!$B:$B,"&lt;="&amp;$B214)&gt;0,"NA",AVERAGEIFS(monthly!S:S,monthly!$A:$A,"&gt;="&amp;$A214,monthly!$B:$B,"&lt;="&amp;$B214))</f>
        <v>-5.5795194508009217E-2</v>
      </c>
      <c r="AB214">
        <f>IF(COUNTIFS(monthly!T:T,"",monthly!$A:$A,"&gt;="&amp;$A214,monthly!$B:$B,"&lt;="&amp;$B214)&gt;0,"NA",AVERAGEIFS(monthly!T:T,monthly!$A:$A,"&gt;="&amp;$A214,monthly!$B:$B,"&lt;="&amp;$B214))</f>
        <v>20.64463181504486</v>
      </c>
      <c r="AC214">
        <f>IF(COUNTIFS(monthly!U:U,"",monthly!$A:$A,"&gt;="&amp;$A214,monthly!$B:$B,"&lt;="&amp;$B214)&gt;0,"NA",AVERAGEIFS(monthly!U:U,monthly!$A:$A,"&gt;="&amp;$A214,monthly!$B:$B,"&lt;="&amp;$B214))</f>
        <v>254.69558027745492</v>
      </c>
      <c r="AD214">
        <f>IF(COUNTIFS(monthly!V:V,"",monthly!$A:$A,"&gt;="&amp;$A214,monthly!$B:$B,"&lt;="&amp;$B214)&gt;0,"NA",AVERAGEIFS(monthly!V:V,monthly!$A:$A,"&gt;="&amp;$A214,monthly!$B:$B,"&lt;="&amp;$B214))</f>
        <v>170.52041354984962</v>
      </c>
      <c r="AE214">
        <f>IF(COUNTIFS(monthly!W:W,"",monthly!$A:$A,"&gt;="&amp;$A214,monthly!$B:$B,"&lt;="&amp;$B214)&gt;0,"NA",AVERAGEIFS(monthly!W:W,monthly!$A:$A,"&gt;="&amp;$A214,monthly!$B:$B,"&lt;="&amp;$B214))</f>
        <v>110.21379852294922</v>
      </c>
      <c r="AF214">
        <f>IF(COUNTIFS(monthly!X:X,"",monthly!$A:$A,"&gt;="&amp;$A214,monthly!$B:$B,"&lt;="&amp;$B214)&gt;0,"NA",AVERAGEIFS(monthly!X:X,monthly!$A:$A,"&gt;="&amp;$A214,monthly!$B:$B,"&lt;="&amp;$B214))</f>
        <v>128.38578542073569</v>
      </c>
      <c r="AG214">
        <f>IF(COUNTIFS(monthly!Y:Y,"",monthly!$A:$A,"&gt;="&amp;$A214,monthly!$B:$B,"&lt;="&amp;$B214)&gt;0,"NA",AVERAGEIFS(monthly!Y:Y,monthly!$A:$A,"&gt;="&amp;$A214,monthly!$B:$B,"&lt;="&amp;$B214))</f>
        <v>94.804244995117188</v>
      </c>
      <c r="AH214">
        <f>IF(COUNTIFS(monthly!Z:Z,"",monthly!$A:$A,"&gt;="&amp;$A214,monthly!$B:$B,"&lt;="&amp;$B214)&gt;0,"NA",AVERAGEIFS(monthly!Z:Z,monthly!$A:$A,"&gt;="&amp;$A214,monthly!$B:$B,"&lt;="&amp;$B214))</f>
        <v>0.17032303909460703</v>
      </c>
    </row>
    <row r="215" spans="1:34" x14ac:dyDescent="0.2">
      <c r="A215" s="1">
        <v>45017</v>
      </c>
      <c r="B215" s="1">
        <v>45107</v>
      </c>
      <c r="C215">
        <f>IF(ISBLANK(VLOOKUP($A215,quarterly_data,MATCH(C$1,quarterly!$1:$1,FALSE),FALSE)),"NA",VLOOKUP($A215,quarterly_data,MATCH(C$1,quarterly!$1:$1,FALSE),FALSE))</f>
        <v>138.31988387372562</v>
      </c>
      <c r="D215">
        <f>IF(ISBLANK(VLOOKUP($A215,quarterly_data,MATCH(D$1,quarterly!$1:$1,FALSE),FALSE)),"NA",VLOOKUP($A215,quarterly_data,MATCH(D$1,quarterly!$1:$1,FALSE),FALSE))</f>
        <v>102.2</v>
      </c>
      <c r="E215">
        <f>IF(ISBLANK(VLOOKUP($A215,quarterly_data,MATCH(E$1,quarterly!$1:$1,FALSE),FALSE)),"NA",VLOOKUP($A215,quarterly_data,MATCH(E$1,quarterly!$1:$1,FALSE),FALSE))</f>
        <v>7.1235199999999999E-2</v>
      </c>
      <c r="F215">
        <f>IF(ISBLANK(VLOOKUP($A215,quarterly_data,MATCH(F$1,quarterly!$1:$1,FALSE),FALSE)),"NA",VLOOKUP($A215,quarterly_data,MATCH(F$1,quarterly!$1:$1,FALSE),FALSE))</f>
        <v>3.5054599999999998E-2</v>
      </c>
      <c r="G215">
        <f>IF(ISBLANK(VLOOKUP($A215,quarterly_data,MATCH(G$1,quarterly!$1:$1,FALSE),FALSE)),"NA",VLOOKUP($A215,quarterly_data,MATCH(G$1,quarterly!$1:$1,FALSE),FALSE))</f>
        <v>22580.499</v>
      </c>
      <c r="H215">
        <f>IF(ISBLANK(VLOOKUP($A215,quarterly_data,MATCH(H$1,quarterly!$1:$1,FALSE),FALSE)),"NA",VLOOKUP($A215,quarterly_data,MATCH(H$1,quarterly!$1:$1,FALSE),FALSE))</f>
        <v>665940</v>
      </c>
      <c r="I215">
        <f>IF(ISBLANK(VLOOKUP($A215,quarterly_data,MATCH(I$1,quarterly!$1:$1,FALSE),FALSE)),"NA",VLOOKUP($A215,quarterly_data,MATCH(I$1,quarterly!$1:$1,FALSE),FALSE))</f>
        <v>0.9</v>
      </c>
      <c r="J215">
        <f>IF(ISBLANK(VLOOKUP($A215,quarterly_data,MATCH(J$1,quarterly!$1:$1,FALSE),FALSE)),"NA",VLOOKUP($A215,quarterly_data,MATCH(J$1,quarterly!$1:$1,FALSE),FALSE))</f>
        <v>92.87</v>
      </c>
      <c r="K215">
        <f>IF(COUNTIFS(monthly!C:C,"",monthly!$A:$A,"&gt;="&amp;$A215,monthly!$B:$B,"&lt;="&amp;$B215)&gt;0,"NA",AVERAGEIFS(monthly!C:C,monthly!$A:$A,"&gt;="&amp;$A215,monthly!$B:$B,"&lt;="&amp;$B215))</f>
        <v>60.433333333333337</v>
      </c>
      <c r="L215">
        <f>IF(COUNTIFS(monthly!D:D,"",monthly!$A:$A,"&gt;="&amp;$A215,monthly!$B:$B,"&lt;="&amp;$B215)&gt;0,"NA",AVERAGEIFS(monthly!D:D,monthly!$A:$A,"&gt;="&amp;$A215,monthly!$B:$B,"&lt;="&amp;$B215))</f>
        <v>0.65783333333333338</v>
      </c>
      <c r="M215">
        <f>IF(COUNTIFS(monthly!E:E,"",monthly!$A:$A,"&gt;="&amp;$A215,monthly!$B:$B,"&lt;="&amp;$B215)&gt;0,"NA",AVERAGEIFS(monthly!E:E,monthly!$A:$A,"&gt;="&amp;$A215,monthly!$B:$B,"&lt;="&amp;$B215))</f>
        <v>114.79117667670066</v>
      </c>
      <c r="N215">
        <f>IF(COUNTIFS(monthly!F:F,"",monthly!$A:$A,"&gt;="&amp;$A215,monthly!$B:$B,"&lt;="&amp;$B215)&gt;0,"NA",AVERAGEIFS(monthly!F:F,monthly!$A:$A,"&gt;="&amp;$A215,monthly!$B:$B,"&lt;="&amp;$B215))</f>
        <v>109.684253228052</v>
      </c>
      <c r="O215">
        <f>IF(COUNTIFS(monthly!G:G,"",monthly!$A:$A,"&gt;="&amp;$A215,monthly!$B:$B,"&lt;="&amp;$B215)&gt;0,"NA",AVERAGEIFS(monthly!G:G,monthly!$A:$A,"&gt;="&amp;$A215,monthly!$B:$B,"&lt;="&amp;$B215))</f>
        <v>112.03333333333335</v>
      </c>
      <c r="P215">
        <f>IF(COUNTIFS(monthly!H:H,"",monthly!$A:$A,"&gt;="&amp;$A215,monthly!$B:$B,"&lt;="&amp;$B215)&gt;0,"NA",AVERAGEIFS(monthly!H:H,monthly!$A:$A,"&gt;="&amp;$A215,monthly!$B:$B,"&lt;="&amp;$B215))</f>
        <v>164.73333333333335</v>
      </c>
      <c r="Q215">
        <f>IF(COUNTIFS(monthly!I:I,"",monthly!$A:$A,"&gt;="&amp;$A215,monthly!$B:$B,"&lt;="&amp;$B215)&gt;0,"NA",AVERAGEIFS(monthly!I:I,monthly!$A:$A,"&gt;="&amp;$A215,monthly!$B:$B,"&lt;="&amp;$B215))</f>
        <v>78.233333333333334</v>
      </c>
      <c r="R215">
        <f>IF(COUNTIFS(monthly!J:J,"",monthly!$A:$A,"&gt;="&amp;$A215,monthly!$B:$B,"&lt;="&amp;$B215)&gt;0,"NA",AVERAGEIFS(monthly!J:J,monthly!$A:$A,"&gt;="&amp;$A215,monthly!$B:$B,"&lt;="&amp;$B215))</f>
        <v>13.493333333333332</v>
      </c>
      <c r="S215">
        <f>IF(COUNTIFS(monthly!K:K,"",monthly!$A:$A,"&gt;="&amp;$A215,monthly!$B:$B,"&lt;="&amp;$B215)&gt;0,"NA",AVERAGEIFS(monthly!K:K,monthly!$A:$A,"&gt;="&amp;$A215,monthly!$B:$B,"&lt;="&amp;$B215))</f>
        <v>3.7966666666666664</v>
      </c>
      <c r="T215">
        <f>IF(COUNTIFS(monthly!L:L,"",monthly!$A:$A,"&gt;="&amp;$A215,monthly!$B:$B,"&lt;="&amp;$B215)&gt;0,"NA",AVERAGEIFS(monthly!L:L,monthly!$A:$A,"&gt;="&amp;$A215,monthly!$B:$B,"&lt;="&amp;$B215))</f>
        <v>4.9873799283154119</v>
      </c>
      <c r="U215">
        <f>IF(COUNTIFS(monthly!M:M,"",monthly!$A:$A,"&gt;="&amp;$A215,monthly!$B:$B,"&lt;="&amp;$B215)&gt;0,"NA",AVERAGEIFS(monthly!M:M,monthly!$A:$A,"&gt;="&amp;$A215,monthly!$B:$B,"&lt;="&amp;$B215))</f>
        <v>-1.1907132616487457</v>
      </c>
      <c r="V215">
        <f>IF(COUNTIFS(monthly!N:N,"",monthly!$A:$A,"&gt;="&amp;$A215,monthly!$B:$B,"&lt;="&amp;$B215)&gt;0,"NA",AVERAGEIFS(monthly!N:N,monthly!$A:$A,"&gt;="&amp;$A215,monthly!$B:$B,"&lt;="&amp;$B215))</f>
        <v>3.3640000000000003</v>
      </c>
      <c r="W215">
        <f>IF(COUNTIFS(monthly!O:O,"",monthly!$A:$A,"&gt;="&amp;$A215,monthly!$B:$B,"&lt;="&amp;$B215)&gt;0,"NA",AVERAGEIFS(monthly!O:O,monthly!$A:$A,"&gt;="&amp;$A215,monthly!$B:$B,"&lt;="&amp;$B215))</f>
        <v>4.2624473304473307</v>
      </c>
      <c r="X215">
        <f>IF(COUNTIFS(monthly!P:P,"",monthly!$A:$A,"&gt;="&amp;$A215,monthly!$B:$B,"&lt;="&amp;$B215)&gt;0,"NA",AVERAGEIFS(monthly!P:P,monthly!$A:$A,"&gt;="&amp;$A215,monthly!$B:$B,"&lt;="&amp;$B215))</f>
        <v>-0.89844733044733072</v>
      </c>
      <c r="Y215">
        <f>IF(COUNTIFS(monthly!Q:Q,"",monthly!$A:$A,"&gt;="&amp;$A215,monthly!$B:$B,"&lt;="&amp;$B215)&gt;0,"NA",AVERAGEIFS(monthly!Q:Q,monthly!$A:$A,"&gt;="&amp;$A215,monthly!$B:$B,"&lt;="&amp;$B215))</f>
        <v>3.5863333333333336</v>
      </c>
      <c r="Z215">
        <f>IF(COUNTIFS(monthly!R:R,"",monthly!$A:$A,"&gt;="&amp;$A215,monthly!$B:$B,"&lt;="&amp;$B215)&gt;0,"NA",AVERAGEIFS(monthly!R:R,monthly!$A:$A,"&gt;="&amp;$A215,monthly!$B:$B,"&lt;="&amp;$B215))</f>
        <v>3.5939105339105333</v>
      </c>
      <c r="AA215">
        <f>IF(COUNTIFS(monthly!S:S,"",monthly!$A:$A,"&gt;="&amp;$A215,monthly!$B:$B,"&lt;="&amp;$B215)&gt;0,"NA",AVERAGEIFS(monthly!S:S,monthly!$A:$A,"&gt;="&amp;$A215,monthly!$B:$B,"&lt;="&amp;$B215))</f>
        <v>-7.5772005772005713E-3</v>
      </c>
      <c r="AB215">
        <f>IF(COUNTIFS(monthly!T:T,"",monthly!$A:$A,"&gt;="&amp;$A215,monthly!$B:$B,"&lt;="&amp;$B215)&gt;0,"NA",AVERAGEIFS(monthly!T:T,monthly!$A:$A,"&gt;="&amp;$A215,monthly!$B:$B,"&lt;="&amp;$B215))</f>
        <v>16.485721170515216</v>
      </c>
      <c r="AC215">
        <f>IF(COUNTIFS(monthly!U:U,"",monthly!$A:$A,"&gt;="&amp;$A215,monthly!$B:$B,"&lt;="&amp;$B215)&gt;0,"NA",AVERAGEIFS(monthly!U:U,monthly!$A:$A,"&gt;="&amp;$A215,monthly!$B:$B,"&lt;="&amp;$B215))</f>
        <v>226.8248106632102</v>
      </c>
      <c r="AD215">
        <f>IF(COUNTIFS(monthly!V:V,"",monthly!$A:$A,"&gt;="&amp;$A215,monthly!$B:$B,"&lt;="&amp;$B215)&gt;0,"NA",AVERAGEIFS(monthly!V:V,monthly!$A:$A,"&gt;="&amp;$A215,monthly!$B:$B,"&lt;="&amp;$B215))</f>
        <v>152.28311843444433</v>
      </c>
      <c r="AE215">
        <f>IF(COUNTIFS(monthly!W:W,"",monthly!$A:$A,"&gt;="&amp;$A215,monthly!$B:$B,"&lt;="&amp;$B215)&gt;0,"NA",AVERAGEIFS(monthly!W:W,monthly!$A:$A,"&gt;="&amp;$A215,monthly!$B:$B,"&lt;="&amp;$B215))</f>
        <v>108.60209401448567</v>
      </c>
      <c r="AF215">
        <f>IF(COUNTIFS(monthly!X:X,"",monthly!$A:$A,"&gt;="&amp;$A215,monthly!$B:$B,"&lt;="&amp;$B215)&gt;0,"NA",AVERAGEIFS(monthly!X:X,monthly!$A:$A,"&gt;="&amp;$A215,monthly!$B:$B,"&lt;="&amp;$B215))</f>
        <v>123.34828440348308</v>
      </c>
      <c r="AG215">
        <f>IF(COUNTIFS(monthly!Y:Y,"",monthly!$A:$A,"&gt;="&amp;$A215,monthly!$B:$B,"&lt;="&amp;$B215)&gt;0,"NA",AVERAGEIFS(monthly!Y:Y,monthly!$A:$A,"&gt;="&amp;$A215,monthly!$B:$B,"&lt;="&amp;$B215))</f>
        <v>93.762252807617188</v>
      </c>
      <c r="AH215">
        <f>IF(COUNTIFS(monthly!Z:Z,"",monthly!$A:$A,"&gt;="&amp;$A215,monthly!$B:$B,"&lt;="&amp;$B215)&gt;0,"NA",AVERAGEIFS(monthly!Z:Z,monthly!$A:$A,"&gt;="&amp;$A215,monthly!$B:$B,"&lt;="&amp;$B215))</f>
        <v>0.13841390113035837</v>
      </c>
    </row>
    <row r="216" spans="1:34" x14ac:dyDescent="0.2">
      <c r="A216" s="1">
        <v>45108</v>
      </c>
      <c r="B216" s="1">
        <v>45199</v>
      </c>
      <c r="C216">
        <f>IF(ISBLANK(VLOOKUP($A216,quarterly_data,MATCH(C$1,quarterly!$1:$1,FALSE),FALSE)),"NA",VLOOKUP($A216,quarterly_data,MATCH(C$1,quarterly!$1:$1,FALSE),FALSE))</f>
        <v>139.1089671235421</v>
      </c>
      <c r="D216">
        <f>IF(ISBLANK(VLOOKUP($A216,quarterly_data,MATCH(D$1,quarterly!$1:$1,FALSE),FALSE)),"NA",VLOOKUP($A216,quarterly_data,MATCH(D$1,quarterly!$1:$1,FALSE),FALSE))</f>
        <v>99.2</v>
      </c>
      <c r="E216">
        <f>IF(ISBLANK(VLOOKUP($A216,quarterly_data,MATCH(E$1,quarterly!$1:$1,FALSE),FALSE)),"NA",VLOOKUP($A216,quarterly_data,MATCH(E$1,quarterly!$1:$1,FALSE),FALSE))</f>
        <v>7.7591599999999997E-2</v>
      </c>
      <c r="F216">
        <f>IF(ISBLANK(VLOOKUP($A216,quarterly_data,MATCH(F$1,quarterly!$1:$1,FALSE),FALSE)),"NA",VLOOKUP($A216,quarterly_data,MATCH(F$1,quarterly!$1:$1,FALSE),FALSE))</f>
        <v>2.75655E-2</v>
      </c>
      <c r="G216">
        <f>IF(ISBLANK(VLOOKUP($A216,quarterly_data,MATCH(G$1,quarterly!$1:$1,FALSE),FALSE)),"NA",VLOOKUP($A216,quarterly_data,MATCH(G$1,quarterly!$1:$1,FALSE),FALSE))</f>
        <v>22840.989000000001</v>
      </c>
      <c r="H216">
        <f>IF(ISBLANK(VLOOKUP($A216,quarterly_data,MATCH(H$1,quarterly!$1:$1,FALSE),FALSE)),"NA",VLOOKUP($A216,quarterly_data,MATCH(H$1,quarterly!$1:$1,FALSE),FALSE))</f>
        <v>668408</v>
      </c>
      <c r="I216">
        <f>IF(ISBLANK(VLOOKUP($A216,quarterly_data,MATCH(I$1,quarterly!$1:$1,FALSE),FALSE)),"NA",VLOOKUP($A216,quarterly_data,MATCH(I$1,quarterly!$1:$1,FALSE),FALSE))</f>
        <v>1.2</v>
      </c>
      <c r="J216">
        <f>IF(ISBLANK(VLOOKUP($A216,quarterly_data,MATCH(J$1,quarterly!$1:$1,FALSE),FALSE)),"NA",VLOOKUP($A216,quarterly_data,MATCH(J$1,quarterly!$1:$1,FALSE),FALSE))</f>
        <v>93.94</v>
      </c>
      <c r="K216">
        <f>IF(COUNTIFS(monthly!C:C,"",monthly!$A:$A,"&gt;="&amp;$A216,monthly!$B:$B,"&lt;="&amp;$B216)&gt;0,"NA",AVERAGEIFS(monthly!C:C,monthly!$A:$A,"&gt;="&amp;$A216,monthly!$B:$B,"&lt;="&amp;$B216))</f>
        <v>61</v>
      </c>
      <c r="L216">
        <f>IF(COUNTIFS(monthly!D:D,"",monthly!$A:$A,"&gt;="&amp;$A216,monthly!$B:$B,"&lt;="&amp;$B216)&gt;0,"NA",AVERAGEIFS(monthly!D:D,monthly!$A:$A,"&gt;="&amp;$A216,monthly!$B:$B,"&lt;="&amp;$B216))</f>
        <v>0.65416666666666667</v>
      </c>
      <c r="M216">
        <f>IF(COUNTIFS(monthly!E:E,"",monthly!$A:$A,"&gt;="&amp;$A216,monthly!$B:$B,"&lt;="&amp;$B216)&gt;0,"NA",AVERAGEIFS(monthly!E:E,monthly!$A:$A,"&gt;="&amp;$A216,monthly!$B:$B,"&lt;="&amp;$B216))</f>
        <v>108.04021720128867</v>
      </c>
      <c r="N216">
        <f>IF(COUNTIFS(monthly!F:F,"",monthly!$A:$A,"&gt;="&amp;$A216,monthly!$B:$B,"&lt;="&amp;$B216)&gt;0,"NA",AVERAGEIFS(monthly!F:F,monthly!$A:$A,"&gt;="&amp;$A216,monthly!$B:$B,"&lt;="&amp;$B216))</f>
        <v>108.65391898415267</v>
      </c>
      <c r="O216">
        <f>IF(COUNTIFS(monthly!G:G,"",monthly!$A:$A,"&gt;="&amp;$A216,monthly!$B:$B,"&lt;="&amp;$B216)&gt;0,"NA",AVERAGEIFS(monthly!G:G,monthly!$A:$A,"&gt;="&amp;$A216,monthly!$B:$B,"&lt;="&amp;$B216))</f>
        <v>115.2</v>
      </c>
      <c r="P216">
        <f>IF(COUNTIFS(monthly!H:H,"",monthly!$A:$A,"&gt;="&amp;$A216,monthly!$B:$B,"&lt;="&amp;$B216)&gt;0,"NA",AVERAGEIFS(monthly!H:H,monthly!$A:$A,"&gt;="&amp;$A216,monthly!$B:$B,"&lt;="&amp;$B216))</f>
        <v>151.9</v>
      </c>
      <c r="Q216">
        <f>IF(COUNTIFS(monthly!I:I,"",monthly!$A:$A,"&gt;="&amp;$A216,monthly!$B:$B,"&lt;="&amp;$B216)&gt;0,"NA",AVERAGEIFS(monthly!I:I,monthly!$A:$A,"&gt;="&amp;$A216,monthly!$B:$B,"&lt;="&amp;$B216))</f>
        <v>86.766666666666666</v>
      </c>
      <c r="R216">
        <f>IF(COUNTIFS(monthly!J:J,"",monthly!$A:$A,"&gt;="&amp;$A216,monthly!$B:$B,"&lt;="&amp;$B216)&gt;0,"NA",AVERAGEIFS(monthly!J:J,monthly!$A:$A,"&gt;="&amp;$A216,monthly!$B:$B,"&lt;="&amp;$B216))</f>
        <v>12.58</v>
      </c>
      <c r="S216">
        <f>IF(COUNTIFS(monthly!K:K,"",monthly!$A:$A,"&gt;="&amp;$A216,monthly!$B:$B,"&lt;="&amp;$B216)&gt;0,"NA",AVERAGEIFS(monthly!K:K,monthly!$A:$A,"&gt;="&amp;$A216,monthly!$B:$B,"&lt;="&amp;$B216))</f>
        <v>4.07</v>
      </c>
      <c r="T216">
        <f>IF(COUNTIFS(monthly!L:L,"",monthly!$A:$A,"&gt;="&amp;$A216,monthly!$B:$B,"&lt;="&amp;$B216)&gt;0,"NA",AVERAGEIFS(monthly!L:L,monthly!$A:$A,"&gt;="&amp;$A216,monthly!$B:$B,"&lt;="&amp;$B216))</f>
        <v>5.2600000000000016</v>
      </c>
      <c r="U216">
        <f>IF(COUNTIFS(monthly!M:M,"",monthly!$A:$A,"&gt;="&amp;$A216,monthly!$B:$B,"&lt;="&amp;$B216)&gt;0,"NA",AVERAGEIFS(monthly!M:M,monthly!$A:$A,"&gt;="&amp;$A216,monthly!$B:$B,"&lt;="&amp;$B216))</f>
        <v>-1.1900000000000011</v>
      </c>
      <c r="V216">
        <f>IF(COUNTIFS(monthly!N:N,"",monthly!$A:$A,"&gt;="&amp;$A216,monthly!$B:$B,"&lt;="&amp;$B216)&gt;0,"NA",AVERAGEIFS(monthly!N:N,monthly!$A:$A,"&gt;="&amp;$A216,monthly!$B:$B,"&lt;="&amp;$B216))</f>
        <v>3.9696666666666665</v>
      </c>
      <c r="W216">
        <f>IF(COUNTIFS(monthly!O:O,"",monthly!$A:$A,"&gt;="&amp;$A216,monthly!$B:$B,"&lt;="&amp;$B216)&gt;0,"NA",AVERAGEIFS(monthly!O:O,monthly!$A:$A,"&gt;="&amp;$A216,monthly!$B:$B,"&lt;="&amp;$B216))</f>
        <v>4.9174130434782608</v>
      </c>
      <c r="X216">
        <f>IF(COUNTIFS(monthly!P:P,"",monthly!$A:$A,"&gt;="&amp;$A216,monthly!$B:$B,"&lt;="&amp;$B216)&gt;0,"NA",AVERAGEIFS(monthly!P:P,monthly!$A:$A,"&gt;="&amp;$A216,monthly!$B:$B,"&lt;="&amp;$B216))</f>
        <v>-0.94774637681159446</v>
      </c>
      <c r="Y216">
        <f>IF(COUNTIFS(monthly!Q:Q,"",monthly!$A:$A,"&gt;="&amp;$A216,monthly!$B:$B,"&lt;="&amp;$B216)&gt;0,"NA",AVERAGEIFS(monthly!Q:Q,monthly!$A:$A,"&gt;="&amp;$A216,monthly!$B:$B,"&lt;="&amp;$B216))</f>
        <v>4.125</v>
      </c>
      <c r="Z216">
        <f>IF(COUNTIFS(monthly!R:R,"",monthly!$A:$A,"&gt;="&amp;$A216,monthly!$B:$B,"&lt;="&amp;$B216)&gt;0,"NA",AVERAGEIFS(monthly!R:R,monthly!$A:$A,"&gt;="&amp;$A216,monthly!$B:$B,"&lt;="&amp;$B216))</f>
        <v>4.1487753623188413</v>
      </c>
      <c r="AA216">
        <f>IF(COUNTIFS(monthly!S:S,"",monthly!$A:$A,"&gt;="&amp;$A216,monthly!$B:$B,"&lt;="&amp;$B216)&gt;0,"NA",AVERAGEIFS(monthly!S:S,monthly!$A:$A,"&gt;="&amp;$A216,monthly!$B:$B,"&lt;="&amp;$B216))</f>
        <v>-2.3775362318840958E-2</v>
      </c>
      <c r="AB216">
        <f>IF(COUNTIFS(monthly!T:T,"",monthly!$A:$A,"&gt;="&amp;$A216,monthly!$B:$B,"&lt;="&amp;$B216)&gt;0,"NA",AVERAGEIFS(monthly!T:T,monthly!$A:$A,"&gt;="&amp;$A216,monthly!$B:$B,"&lt;="&amp;$B216))</f>
        <v>14.986542443064181</v>
      </c>
      <c r="AC216">
        <f>IF(COUNTIFS(monthly!U:U,"",monthly!$A:$A,"&gt;="&amp;$A216,monthly!$B:$B,"&lt;="&amp;$B216)&gt;0,"NA",AVERAGEIFS(monthly!U:U,monthly!$A:$A,"&gt;="&amp;$A216,monthly!$B:$B,"&lt;="&amp;$B216))</f>
        <v>186.8500982680483</v>
      </c>
      <c r="AD216">
        <f>IF(COUNTIFS(monthly!V:V,"",monthly!$A:$A,"&gt;="&amp;$A216,monthly!$B:$B,"&lt;="&amp;$B216)&gt;0,"NA",AVERAGEIFS(monthly!V:V,monthly!$A:$A,"&gt;="&amp;$A216,monthly!$B:$B,"&lt;="&amp;$B216))</f>
        <v>123.38040563811398</v>
      </c>
      <c r="AE216">
        <f>IF(COUNTIFS(monthly!W:W,"",monthly!$A:$A,"&gt;="&amp;$A216,monthly!$B:$B,"&lt;="&amp;$B216)&gt;0,"NA",AVERAGEIFS(monthly!W:W,monthly!$A:$A,"&gt;="&amp;$A216,monthly!$B:$B,"&lt;="&amp;$B216))</f>
        <v>102.40825907389323</v>
      </c>
      <c r="AF216">
        <f>IF(COUNTIFS(monthly!X:X,"",monthly!$A:$A,"&gt;="&amp;$A216,monthly!$B:$B,"&lt;="&amp;$B216)&gt;0,"NA",AVERAGEIFS(monthly!X:X,monthly!$A:$A,"&gt;="&amp;$A216,monthly!$B:$B,"&lt;="&amp;$B216))</f>
        <v>122.35679372151692</v>
      </c>
      <c r="AG216">
        <f>IF(COUNTIFS(monthly!Y:Y,"",monthly!$A:$A,"&gt;="&amp;$A216,monthly!$B:$B,"&lt;="&amp;$B216)&gt;0,"NA",AVERAGEIFS(monthly!Y:Y,monthly!$A:$A,"&gt;="&amp;$A216,monthly!$B:$B,"&lt;="&amp;$B216))</f>
        <v>81.279657999674484</v>
      </c>
      <c r="AH216">
        <f>IF(COUNTIFS(monthly!Z:Z,"",monthly!$A:$A,"&gt;="&amp;$A216,monthly!$B:$B,"&lt;="&amp;$B216)&gt;0,"NA",AVERAGEIFS(monthly!Z:Z,monthly!$A:$A,"&gt;="&amp;$A216,monthly!$B:$B,"&lt;="&amp;$B216))</f>
        <v>0.15071418136358261</v>
      </c>
    </row>
    <row r="217" spans="1:34" x14ac:dyDescent="0.2">
      <c r="A217" s="1">
        <v>45200</v>
      </c>
      <c r="B217" s="1">
        <v>45291</v>
      </c>
      <c r="C217">
        <f>IF(ISBLANK(VLOOKUP($A217,quarterly_data,MATCH(C$1,quarterly!$1:$1,FALSE),FALSE)),"NA",VLOOKUP($A217,quarterly_data,MATCH(C$1,quarterly!$1:$1,FALSE),FALSE))</f>
        <v>139.82467141830077</v>
      </c>
      <c r="D217">
        <f>IF(ISBLANK(VLOOKUP($A217,quarterly_data,MATCH(D$1,quarterly!$1:$1,FALSE),FALSE)),"NA",VLOOKUP($A217,quarterly_data,MATCH(D$1,quarterly!$1:$1,FALSE),FALSE))</f>
        <v>101.6</v>
      </c>
      <c r="E217">
        <f>IF(ISBLANK(VLOOKUP($A217,quarterly_data,MATCH(E$1,quarterly!$1:$1,FALSE),FALSE)),"NA",VLOOKUP($A217,quarterly_data,MATCH(E$1,quarterly!$1:$1,FALSE),FALSE))</f>
        <v>0</v>
      </c>
      <c r="F217">
        <f>IF(ISBLANK(VLOOKUP($A217,quarterly_data,MATCH(F$1,quarterly!$1:$1,FALSE),FALSE)),"NA",VLOOKUP($A217,quarterly_data,MATCH(F$1,quarterly!$1:$1,FALSE),FALSE))</f>
        <v>1.0133700000000001E-2</v>
      </c>
      <c r="G217">
        <f>IF(ISBLANK(VLOOKUP($A217,quarterly_data,MATCH(G$1,quarterly!$1:$1,FALSE),FALSE)),"NA",VLOOKUP($A217,quarterly_data,MATCH(G$1,quarterly!$1:$1,FALSE),FALSE))</f>
        <v>23033.78</v>
      </c>
      <c r="H217">
        <f>IF(ISBLANK(VLOOKUP($A217,quarterly_data,MATCH(H$1,quarterly!$1:$1,FALSE),FALSE)),"NA",VLOOKUP($A217,quarterly_data,MATCH(H$1,quarterly!$1:$1,FALSE),FALSE))</f>
        <v>668625</v>
      </c>
      <c r="I217">
        <f>IF(ISBLANK(VLOOKUP($A217,quarterly_data,MATCH(I$1,quarterly!$1:$1,FALSE),FALSE)),"NA",VLOOKUP($A217,quarterly_data,MATCH(I$1,quarterly!$1:$1,FALSE),FALSE))</f>
        <v>0.9</v>
      </c>
      <c r="J217">
        <f>IF(ISBLANK(VLOOKUP($A217,quarterly_data,MATCH(J$1,quarterly!$1:$1,FALSE),FALSE)),"NA",VLOOKUP($A217,quarterly_data,MATCH(J$1,quarterly!$1:$1,FALSE),FALSE))</f>
        <v>94.53</v>
      </c>
      <c r="K217">
        <f>IF(COUNTIFS(monthly!C:C,"",monthly!$A:$A,"&gt;="&amp;$A217,monthly!$B:$B,"&lt;="&amp;$B217)&gt;0,"NA",AVERAGEIFS(monthly!C:C,monthly!$A:$A,"&gt;="&amp;$A217,monthly!$B:$B,"&lt;="&amp;$B217))</f>
        <v>61.433333333333337</v>
      </c>
      <c r="L217">
        <f>IF(COUNTIFS(monthly!D:D,"",monthly!$A:$A,"&gt;="&amp;$A217,monthly!$B:$B,"&lt;="&amp;$B217)&gt;0,"NA",AVERAGEIFS(monthly!D:D,monthly!$A:$A,"&gt;="&amp;$A217,monthly!$B:$B,"&lt;="&amp;$B217))</f>
        <v>0.66113333333333335</v>
      </c>
      <c r="M217">
        <f>IF(COUNTIFS(monthly!E:E,"",monthly!$A:$A,"&gt;="&amp;$A217,monthly!$B:$B,"&lt;="&amp;$B217)&gt;0,"NA",AVERAGEIFS(monthly!E:E,monthly!$A:$A,"&gt;="&amp;$A217,monthly!$B:$B,"&lt;="&amp;$B217))</f>
        <v>111.75608654756333</v>
      </c>
      <c r="N217">
        <f>IF(COUNTIFS(monthly!F:F,"",monthly!$A:$A,"&gt;="&amp;$A217,monthly!$B:$B,"&lt;="&amp;$B217)&gt;0,"NA",AVERAGEIFS(monthly!F:F,monthly!$A:$A,"&gt;="&amp;$A217,monthly!$B:$B,"&lt;="&amp;$B217))</f>
        <v>113.48572649344533</v>
      </c>
      <c r="O217">
        <f>IF(COUNTIFS(monthly!G:G,"",monthly!$A:$A,"&gt;="&amp;$A217,monthly!$B:$B,"&lt;="&amp;$B217)&gt;0,"NA",AVERAGEIFS(monthly!G:G,monthly!$A:$A,"&gt;="&amp;$A217,monthly!$B:$B,"&lt;="&amp;$B217))</f>
        <v>129.06666666666666</v>
      </c>
      <c r="P217">
        <f>IF(COUNTIFS(monthly!H:H,"",monthly!$A:$A,"&gt;="&amp;$A217,monthly!$B:$B,"&lt;="&amp;$B217)&gt;0,"NA",AVERAGEIFS(monthly!H:H,monthly!$A:$A,"&gt;="&amp;$A217,monthly!$B:$B,"&lt;="&amp;$B217))</f>
        <v>136.9</v>
      </c>
      <c r="Q217">
        <f>IF(COUNTIFS(monthly!I:I,"",monthly!$A:$A,"&gt;="&amp;$A217,monthly!$B:$B,"&lt;="&amp;$B217)&gt;0,"NA",AVERAGEIFS(monthly!I:I,monthly!$A:$A,"&gt;="&amp;$A217,monthly!$B:$B,"&lt;="&amp;$B217))</f>
        <v>84.066666666666677</v>
      </c>
      <c r="R217">
        <f>IF(COUNTIFS(monthly!J:J,"",monthly!$A:$A,"&gt;="&amp;$A217,monthly!$B:$B,"&lt;="&amp;$B217)&gt;0,"NA",AVERAGEIFS(monthly!J:J,monthly!$A:$A,"&gt;="&amp;$A217,monthly!$B:$B,"&lt;="&amp;$B217))</f>
        <v>13.26</v>
      </c>
      <c r="S217">
        <f>IF(COUNTIFS(monthly!K:K,"",monthly!$A:$A,"&gt;="&amp;$A217,monthly!$B:$B,"&lt;="&amp;$B217)&gt;0,"NA",AVERAGEIFS(monthly!K:K,monthly!$A:$A,"&gt;="&amp;$A217,monthly!$B:$B,"&lt;="&amp;$B217))</f>
        <v>4.2166666666666668</v>
      </c>
      <c r="T217">
        <f>IF(COUNTIFS(monthly!L:L,"",monthly!$A:$A,"&gt;="&amp;$A217,monthly!$B:$B,"&lt;="&amp;$B217)&gt;0,"NA",AVERAGEIFS(monthly!L:L,monthly!$A:$A,"&gt;="&amp;$A217,monthly!$B:$B,"&lt;="&amp;$B217))</f>
        <v>5.3300000000000018</v>
      </c>
      <c r="U217">
        <f>IF(COUNTIFS(monthly!M:M,"",monthly!$A:$A,"&gt;="&amp;$A217,monthly!$B:$B,"&lt;="&amp;$B217)&gt;0,"NA",AVERAGEIFS(monthly!M:M,monthly!$A:$A,"&gt;="&amp;$A217,monthly!$B:$B,"&lt;="&amp;$B217))</f>
        <v>-1.1133333333333348</v>
      </c>
      <c r="V217">
        <f>IF(COUNTIFS(monthly!N:N,"",monthly!$A:$A,"&gt;="&amp;$A217,monthly!$B:$B,"&lt;="&amp;$B217)&gt;0,"NA",AVERAGEIFS(monthly!N:N,monthly!$A:$A,"&gt;="&amp;$A217,monthly!$B:$B,"&lt;="&amp;$B217))</f>
        <v>4.1133333333333333</v>
      </c>
      <c r="W217">
        <f>IF(COUNTIFS(monthly!O:O,"",monthly!$A:$A,"&gt;="&amp;$A217,monthly!$B:$B,"&lt;="&amp;$B217)&gt;0,"NA",AVERAGEIFS(monthly!O:O,monthly!$A:$A,"&gt;="&amp;$A217,monthly!$B:$B,"&lt;="&amp;$B217))</f>
        <v>4.8023333333333333</v>
      </c>
      <c r="X217">
        <f>IF(COUNTIFS(monthly!P:P,"",monthly!$A:$A,"&gt;="&amp;$A217,monthly!$B:$B,"&lt;="&amp;$B217)&gt;0,"NA",AVERAGEIFS(monthly!P:P,monthly!$A:$A,"&gt;="&amp;$A217,monthly!$B:$B,"&lt;="&amp;$B217))</f>
        <v>-0.68900000000000006</v>
      </c>
      <c r="Y217">
        <f>IF(COUNTIFS(monthly!Q:Q,"",monthly!$A:$A,"&gt;="&amp;$A217,monthly!$B:$B,"&lt;="&amp;$B217)&gt;0,"NA",AVERAGEIFS(monthly!Q:Q,monthly!$A:$A,"&gt;="&amp;$A217,monthly!$B:$B,"&lt;="&amp;$B217))</f>
        <v>4.4660000000000002</v>
      </c>
      <c r="Z217">
        <f>IF(COUNTIFS(monthly!R:R,"",monthly!$A:$A,"&gt;="&amp;$A217,monthly!$B:$B,"&lt;="&amp;$B217)&gt;0,"NA",AVERAGEIFS(monthly!R:R,monthly!$A:$A,"&gt;="&amp;$A217,monthly!$B:$B,"&lt;="&amp;$B217))</f>
        <v>4.44031746031746</v>
      </c>
      <c r="AA217">
        <f>IF(COUNTIFS(monthly!S:S,"",monthly!$A:$A,"&gt;="&amp;$A217,monthly!$B:$B,"&lt;="&amp;$B217)&gt;0,"NA",AVERAGEIFS(monthly!S:S,monthly!$A:$A,"&gt;="&amp;$A217,monthly!$B:$B,"&lt;="&amp;$B217))</f>
        <v>2.56825396825399E-2</v>
      </c>
      <c r="AB217">
        <f>IF(COUNTIFS(monthly!T:T,"",monthly!$A:$A,"&gt;="&amp;$A217,monthly!$B:$B,"&lt;="&amp;$B217)&gt;0,"NA",AVERAGEIFS(monthly!T:T,monthly!$A:$A,"&gt;="&amp;$A217,monthly!$B:$B,"&lt;="&amp;$B217))</f>
        <v>15.208439393939393</v>
      </c>
      <c r="AC217">
        <f>IF(COUNTIFS(monthly!U:U,"",monthly!$A:$A,"&gt;="&amp;$A217,monthly!$B:$B,"&lt;="&amp;$B217)&gt;0,"NA",AVERAGEIFS(monthly!U:U,monthly!$A:$A,"&gt;="&amp;$A217,monthly!$B:$B,"&lt;="&amp;$B217))</f>
        <v>204.58539299335385</v>
      </c>
      <c r="AD217">
        <f>IF(COUNTIFS(monthly!V:V,"",monthly!$A:$A,"&gt;="&amp;$A217,monthly!$B:$B,"&lt;="&amp;$B217)&gt;0,"NA",AVERAGEIFS(monthly!V:V,monthly!$A:$A,"&gt;="&amp;$A217,monthly!$B:$B,"&lt;="&amp;$B217))</f>
        <v>108.89071181274358</v>
      </c>
      <c r="AE217">
        <f>IF(COUNTIFS(monthly!W:W,"",monthly!$A:$A,"&gt;="&amp;$A217,monthly!$B:$B,"&lt;="&amp;$B217)&gt;0,"NA",AVERAGEIFS(monthly!W:W,monthly!$A:$A,"&gt;="&amp;$A217,monthly!$B:$B,"&lt;="&amp;$B217))</f>
        <v>165.62086995442709</v>
      </c>
      <c r="AF217">
        <f>IF(COUNTIFS(monthly!X:X,"",monthly!$A:$A,"&gt;="&amp;$A217,monthly!$B:$B,"&lt;="&amp;$B217)&gt;0,"NA",AVERAGEIFS(monthly!X:X,monthly!$A:$A,"&gt;="&amp;$A217,monthly!$B:$B,"&lt;="&amp;$B217))</f>
        <v>161.57093302408853</v>
      </c>
      <c r="AG217">
        <f>IF(COUNTIFS(monthly!Y:Y,"",monthly!$A:$A,"&gt;="&amp;$A217,monthly!$B:$B,"&lt;="&amp;$B217)&gt;0,"NA",AVERAGEIFS(monthly!Y:Y,monthly!$A:$A,"&gt;="&amp;$A217,monthly!$B:$B,"&lt;="&amp;$B217))</f>
        <v>195.10738118489584</v>
      </c>
      <c r="AH217">
        <f>IF(COUNTIFS(monthly!Z:Z,"",monthly!$A:$A,"&gt;="&amp;$A217,monthly!$B:$B,"&lt;="&amp;$B217)&gt;0,"NA",AVERAGEIFS(monthly!Z:Z,monthly!$A:$A,"&gt;="&amp;$A217,monthly!$B:$B,"&lt;="&amp;$B217))</f>
        <v>0.1626410186290741</v>
      </c>
    </row>
    <row r="218" spans="1:34" x14ac:dyDescent="0.2">
      <c r="A218" s="1">
        <v>45292</v>
      </c>
      <c r="B218" s="1">
        <v>45382</v>
      </c>
      <c r="C218">
        <f>IF(ISBLANK(VLOOKUP($A218,quarterly_data,MATCH(C$1,quarterly!$1:$1,FALSE),FALSE)),"NA",VLOOKUP($A218,quarterly_data,MATCH(C$1,quarterly!$1:$1,FALSE),FALSE))</f>
        <v>141.54786613129383</v>
      </c>
      <c r="D218">
        <f>IF(ISBLANK(VLOOKUP($A218,quarterly_data,MATCH(D$1,quarterly!$1:$1,FALSE),FALSE)),"NA",VLOOKUP($A218,quarterly_data,MATCH(D$1,quarterly!$1:$1,FALSE),FALSE))</f>
        <v>100.9</v>
      </c>
      <c r="E218">
        <f>IF(ISBLANK(VLOOKUP($A218,quarterly_data,MATCH(E$1,quarterly!$1:$1,FALSE),FALSE)),"NA",VLOOKUP($A218,quarterly_data,MATCH(E$1,quarterly!$1:$1,FALSE),FALSE))</f>
        <v>0</v>
      </c>
      <c r="F218">
        <f>IF(ISBLANK(VLOOKUP($A218,quarterly_data,MATCH(F$1,quarterly!$1:$1,FALSE),FALSE)),"NA",VLOOKUP($A218,quarterly_data,MATCH(F$1,quarterly!$1:$1,FALSE),FALSE))</f>
        <v>2.5864E-3</v>
      </c>
      <c r="G218">
        <f>IF(ISBLANK(VLOOKUP($A218,quarterly_data,MATCH(G$1,quarterly!$1:$1,FALSE),FALSE)),"NA",VLOOKUP($A218,quarterly_data,MATCH(G$1,quarterly!$1:$1,FALSE),FALSE))</f>
        <v>23082.118999999999</v>
      </c>
      <c r="H218">
        <f>IF(ISBLANK(VLOOKUP($A218,quarterly_data,MATCH(H$1,quarterly!$1:$1,FALSE),FALSE)),"NA",VLOOKUP($A218,quarterly_data,MATCH(H$1,quarterly!$1:$1,FALSE),FALSE))</f>
        <v>670929</v>
      </c>
      <c r="I218">
        <f>IF(ISBLANK(VLOOKUP($A218,quarterly_data,MATCH(I$1,quarterly!$1:$1,FALSE),FALSE)),"NA",VLOOKUP($A218,quarterly_data,MATCH(I$1,quarterly!$1:$1,FALSE),FALSE))</f>
        <v>1</v>
      </c>
      <c r="J218">
        <f>IF(ISBLANK(VLOOKUP($A218,quarterly_data,MATCH(J$1,quarterly!$1:$1,FALSE),FALSE)),"NA",VLOOKUP($A218,quarterly_data,MATCH(J$1,quarterly!$1:$1,FALSE),FALSE))</f>
        <v>95.41</v>
      </c>
      <c r="K218">
        <f>IF(COUNTIFS(monthly!C:C,"",monthly!$A:$A,"&gt;="&amp;$A218,monthly!$B:$B,"&lt;="&amp;$B218)&gt;0,"NA",AVERAGEIFS(monthly!C:C,monthly!$A:$A,"&gt;="&amp;$A218,monthly!$B:$B,"&lt;="&amp;$B218))</f>
        <v>61.333333333333336</v>
      </c>
      <c r="L218">
        <f>IF(COUNTIFS(monthly!D:D,"",monthly!$A:$A,"&gt;="&amp;$A218,monthly!$B:$B,"&lt;="&amp;$B218)&gt;0,"NA",AVERAGEIFS(monthly!D:D,monthly!$A:$A,"&gt;="&amp;$A218,monthly!$B:$B,"&lt;="&amp;$B218))</f>
        <v>0.65416666666666667</v>
      </c>
      <c r="M218">
        <f>IF(COUNTIFS(monthly!E:E,"",monthly!$A:$A,"&gt;="&amp;$A218,monthly!$B:$B,"&lt;="&amp;$B218)&gt;0,"NA",AVERAGEIFS(monthly!E:E,monthly!$A:$A,"&gt;="&amp;$A218,monthly!$B:$B,"&lt;="&amp;$B218))</f>
        <v>111.90568139585167</v>
      </c>
      <c r="N218">
        <f>IF(COUNTIFS(monthly!F:F,"",monthly!$A:$A,"&gt;="&amp;$A218,monthly!$B:$B,"&lt;="&amp;$B218)&gt;0,"NA",AVERAGEIFS(monthly!F:F,monthly!$A:$A,"&gt;="&amp;$A218,monthly!$B:$B,"&lt;="&amp;$B218))</f>
        <v>109.743687995912</v>
      </c>
      <c r="O218">
        <f>IF(COUNTIFS(monthly!G:G,"",monthly!$A:$A,"&gt;="&amp;$A218,monthly!$B:$B,"&lt;="&amp;$B218)&gt;0,"NA",AVERAGEIFS(monthly!G:G,monthly!$A:$A,"&gt;="&amp;$A218,monthly!$B:$B,"&lt;="&amp;$B218))</f>
        <v>123.33333333333336</v>
      </c>
      <c r="P218">
        <f>IF(COUNTIFS(monthly!H:H,"",monthly!$A:$A,"&gt;="&amp;$A218,monthly!$B:$B,"&lt;="&amp;$B218)&gt;0,"NA",AVERAGEIFS(monthly!H:H,monthly!$A:$A,"&gt;="&amp;$A218,monthly!$B:$B,"&lt;="&amp;$B218))</f>
        <v>126.86666666666667</v>
      </c>
      <c r="Q218">
        <f>IF(COUNTIFS(monthly!I:I,"",monthly!$A:$A,"&gt;="&amp;$A218,monthly!$B:$B,"&lt;="&amp;$B218)&gt;0,"NA",AVERAGEIFS(monthly!I:I,monthly!$A:$A,"&gt;="&amp;$A218,monthly!$B:$B,"&lt;="&amp;$B218))</f>
        <v>83.13333333333334</v>
      </c>
      <c r="R218">
        <f>IF(COUNTIFS(monthly!J:J,"",monthly!$A:$A,"&gt;="&amp;$A218,monthly!$B:$B,"&lt;="&amp;$B218)&gt;0,"NA",AVERAGEIFS(monthly!J:J,monthly!$A:$A,"&gt;="&amp;$A218,monthly!$B:$B,"&lt;="&amp;$B218))</f>
        <v>13.723333333333334</v>
      </c>
      <c r="S218">
        <f>IF(COUNTIFS(monthly!K:K,"",monthly!$A:$A,"&gt;="&amp;$A218,monthly!$B:$B,"&lt;="&amp;$B218)&gt;0,"NA",AVERAGEIFS(monthly!K:K,monthly!$A:$A,"&gt;="&amp;$A218,monthly!$B:$B,"&lt;="&amp;$B218))</f>
        <v>4.32</v>
      </c>
      <c r="T218">
        <f>IF(COUNTIFS(monthly!L:L,"",monthly!$A:$A,"&gt;="&amp;$A218,monthly!$B:$B,"&lt;="&amp;$B218)&gt;0,"NA",AVERAGEIFS(monthly!L:L,monthly!$A:$A,"&gt;="&amp;$A218,monthly!$B:$B,"&lt;="&amp;$B218))</f>
        <v>5.3300000000000018</v>
      </c>
      <c r="U218">
        <f>IF(COUNTIFS(monthly!M:M,"",monthly!$A:$A,"&gt;="&amp;$A218,monthly!$B:$B,"&lt;="&amp;$B218)&gt;0,"NA",AVERAGEIFS(monthly!M:M,monthly!$A:$A,"&gt;="&amp;$A218,monthly!$B:$B,"&lt;="&amp;$B218))</f>
        <v>-1.0100000000000013</v>
      </c>
      <c r="V218">
        <f>IF(COUNTIFS(monthly!N:N,"",monthly!$A:$A,"&gt;="&amp;$A218,monthly!$B:$B,"&lt;="&amp;$B218)&gt;0,"NA",AVERAGEIFS(monthly!N:N,monthly!$A:$A,"&gt;="&amp;$A218,monthly!$B:$B,"&lt;="&amp;$B218))</f>
        <v>3.7736666666666667</v>
      </c>
      <c r="W218">
        <f>IF(COUNTIFS(monthly!O:O,"",monthly!$A:$A,"&gt;="&amp;$A218,monthly!$B:$B,"&lt;="&amp;$B218)&gt;0,"NA",AVERAGEIFS(monthly!O:O,monthly!$A:$A,"&gt;="&amp;$A218,monthly!$B:$B,"&lt;="&amp;$B218))</f>
        <v>4.4849523809523815</v>
      </c>
      <c r="X218">
        <f>IF(COUNTIFS(monthly!P:P,"",monthly!$A:$A,"&gt;="&amp;$A218,monthly!$B:$B,"&lt;="&amp;$B218)&gt;0,"NA",AVERAGEIFS(monthly!P:P,monthly!$A:$A,"&gt;="&amp;$A218,monthly!$B:$B,"&lt;="&amp;$B218))</f>
        <v>-0.71128571428571485</v>
      </c>
      <c r="Y218">
        <f>IF(COUNTIFS(monthly!Q:Q,"",monthly!$A:$A,"&gt;="&amp;$A218,monthly!$B:$B,"&lt;="&amp;$B218)&gt;0,"NA",AVERAGEIFS(monthly!Q:Q,monthly!$A:$A,"&gt;="&amp;$A218,monthly!$B:$B,"&lt;="&amp;$B218))</f>
        <v>4.1113333333333335</v>
      </c>
      <c r="Z218">
        <f>IF(COUNTIFS(monthly!R:R,"",monthly!$A:$A,"&gt;="&amp;$A218,monthly!$B:$B,"&lt;="&amp;$B218)&gt;0,"NA",AVERAGEIFS(monthly!R:R,monthly!$A:$A,"&gt;="&amp;$A218,monthly!$B:$B,"&lt;="&amp;$B218))</f>
        <v>4.158031746031746</v>
      </c>
      <c r="AA218">
        <f>IF(COUNTIFS(monthly!S:S,"",monthly!$A:$A,"&gt;="&amp;$A218,monthly!$B:$B,"&lt;="&amp;$B218)&gt;0,"NA",AVERAGEIFS(monthly!S:S,monthly!$A:$A,"&gt;="&amp;$A218,monthly!$B:$B,"&lt;="&amp;$B218))</f>
        <v>-4.669841269841276E-2</v>
      </c>
      <c r="AB218">
        <f>IF(COUNTIFS(monthly!T:T,"",monthly!$A:$A,"&gt;="&amp;$A218,monthly!$B:$B,"&lt;="&amp;$B218)&gt;0,"NA",AVERAGEIFS(monthly!T:T,monthly!$A:$A,"&gt;="&amp;$A218,monthly!$B:$B,"&lt;="&amp;$B218))</f>
        <v>13.718870851370852</v>
      </c>
      <c r="AC218">
        <f>IF(COUNTIFS(monthly!U:U,"",monthly!$A:$A,"&gt;="&amp;$A218,monthly!$B:$B,"&lt;="&amp;$B218)&gt;0,"NA",AVERAGEIFS(monthly!U:U,monthly!$A:$A,"&gt;="&amp;$A218,monthly!$B:$B,"&lt;="&amp;$B218))</f>
        <v>192.52985944460212</v>
      </c>
      <c r="AD218">
        <f>IF(COUNTIFS(monthly!V:V,"",monthly!$A:$A,"&gt;="&amp;$A218,monthly!$B:$B,"&lt;="&amp;$B218)&gt;0,"NA",AVERAGEIFS(monthly!V:V,monthly!$A:$A,"&gt;="&amp;$A218,monthly!$B:$B,"&lt;="&amp;$B218))</f>
        <v>110.06139960801494</v>
      </c>
      <c r="AE218">
        <f>IF(COUNTIFS(monthly!W:W,"",monthly!$A:$A,"&gt;="&amp;$A218,monthly!$B:$B,"&lt;="&amp;$B218)&gt;0,"NA",AVERAGEIFS(monthly!W:W,monthly!$A:$A,"&gt;="&amp;$A218,monthly!$B:$B,"&lt;="&amp;$B218))</f>
        <v>146.72833251953125</v>
      </c>
      <c r="AF218">
        <f>IF(COUNTIFS(monthly!X:X,"",monthly!$A:$A,"&gt;="&amp;$A218,monthly!$B:$B,"&lt;="&amp;$B218)&gt;0,"NA",AVERAGEIFS(monthly!X:X,monthly!$A:$A,"&gt;="&amp;$A218,monthly!$B:$B,"&lt;="&amp;$B218))</f>
        <v>134.20681508382162</v>
      </c>
      <c r="AG218">
        <f>IF(COUNTIFS(monthly!Y:Y,"",monthly!$A:$A,"&gt;="&amp;$A218,monthly!$B:$B,"&lt;="&amp;$B218)&gt;0,"NA",AVERAGEIFS(monthly!Y:Y,monthly!$A:$A,"&gt;="&amp;$A218,monthly!$B:$B,"&lt;="&amp;$B218))</f>
        <v>177.15544128417969</v>
      </c>
      <c r="AH218">
        <f>IF(COUNTIFS(monthly!Z:Z,"",monthly!$A:$A,"&gt;="&amp;$A218,monthly!$B:$B,"&lt;="&amp;$B218)&gt;0,"NA",AVERAGEIFS(monthly!Z:Z,monthly!$A:$A,"&gt;="&amp;$A218,monthly!$B:$B,"&lt;="&amp;$B218))</f>
        <v>0.22758919994036356</v>
      </c>
    </row>
    <row r="219" spans="1:34" x14ac:dyDescent="0.2">
      <c r="A219" s="1">
        <v>45383</v>
      </c>
      <c r="B219" s="1">
        <v>45473</v>
      </c>
      <c r="C219">
        <f>IF(ISBLANK(VLOOKUP($A219,quarterly_data,MATCH(C$1,quarterly!$1:$1,FALSE),FALSE)),"NA",VLOOKUP($A219,quarterly_data,MATCH(C$1,quarterly!$1:$1,FALSE),FALSE))</f>
        <v>144.89160189167723</v>
      </c>
      <c r="D219">
        <f>IF(ISBLANK(VLOOKUP($A219,quarterly_data,MATCH(D$1,quarterly!$1:$1,FALSE),FALSE)),"NA",VLOOKUP($A219,quarterly_data,MATCH(D$1,quarterly!$1:$1,FALSE),FALSE))</f>
        <v>98.4</v>
      </c>
      <c r="E219">
        <f>IF(ISBLANK(VLOOKUP($A219,quarterly_data,MATCH(E$1,quarterly!$1:$1,FALSE),FALSE)),"NA",VLOOKUP($A219,quarterly_data,MATCH(E$1,quarterly!$1:$1,FALSE),FALSE))</f>
        <v>0</v>
      </c>
      <c r="F219">
        <f>IF(ISBLANK(VLOOKUP($A219,quarterly_data,MATCH(F$1,quarterly!$1:$1,FALSE),FALSE)),"NA",VLOOKUP($A219,quarterly_data,MATCH(F$1,quarterly!$1:$1,FALSE),FALSE))</f>
        <v>0</v>
      </c>
      <c r="G219">
        <f>IF(ISBLANK(VLOOKUP($A219,quarterly_data,MATCH(G$1,quarterly!$1:$1,FALSE),FALSE)),"NA",VLOOKUP($A219,quarterly_data,MATCH(G$1,quarterly!$1:$1,FALSE),FALSE))</f>
        <v>23286.508000000002</v>
      </c>
      <c r="H219">
        <f>IF(ISBLANK(VLOOKUP($A219,quarterly_data,MATCH(H$1,quarterly!$1:$1,FALSE),FALSE)),"NA",VLOOKUP($A219,quarterly_data,MATCH(H$1,quarterly!$1:$1,FALSE),FALSE))</f>
        <v>672062</v>
      </c>
      <c r="I219">
        <f>IF(ISBLANK(VLOOKUP($A219,quarterly_data,MATCH(I$1,quarterly!$1:$1,FALSE),FALSE)),"NA",VLOOKUP($A219,quarterly_data,MATCH(I$1,quarterly!$1:$1,FALSE),FALSE))</f>
        <v>0.9</v>
      </c>
      <c r="J219">
        <f>IF(ISBLANK(VLOOKUP($A219,quarterly_data,MATCH(J$1,quarterly!$1:$1,FALSE),FALSE)),"NA",VLOOKUP($A219,quarterly_data,MATCH(J$1,quarterly!$1:$1,FALSE),FALSE))</f>
        <v>96.41</v>
      </c>
      <c r="K219">
        <f>IF(COUNTIFS(monthly!C:C,"",monthly!$A:$A,"&gt;="&amp;$A219,monthly!$B:$B,"&lt;="&amp;$B219)&gt;0,"NA",AVERAGEIFS(monthly!C:C,monthly!$A:$A,"&gt;="&amp;$A219,monthly!$B:$B,"&lt;="&amp;$B219))</f>
        <v>62.866666666666674</v>
      </c>
      <c r="L219">
        <f>IF(COUNTIFS(monthly!D:D,"",monthly!$A:$A,"&gt;="&amp;$A219,monthly!$B:$B,"&lt;="&amp;$B219)&gt;0,"NA",AVERAGEIFS(monthly!D:D,monthly!$A:$A,"&gt;="&amp;$A219,monthly!$B:$B,"&lt;="&amp;$B219))</f>
        <v>0.65953333333333319</v>
      </c>
      <c r="M219">
        <f>IF(COUNTIFS(monthly!E:E,"",monthly!$A:$A,"&gt;="&amp;$A219,monthly!$B:$B,"&lt;="&amp;$B219)&gt;0,"NA",AVERAGEIFS(monthly!E:E,monthly!$A:$A,"&gt;="&amp;$A219,monthly!$B:$B,"&lt;="&amp;$B219))</f>
        <v>104.88065423723867</v>
      </c>
      <c r="N219">
        <f>IF(COUNTIFS(monthly!F:F,"",monthly!$A:$A,"&gt;="&amp;$A219,monthly!$B:$B,"&lt;="&amp;$B219)&gt;0,"NA",AVERAGEIFS(monthly!F:F,monthly!$A:$A,"&gt;="&amp;$A219,monthly!$B:$B,"&lt;="&amp;$B219))</f>
        <v>104.61603829943033</v>
      </c>
      <c r="O219">
        <f>IF(COUNTIFS(monthly!G:G,"",monthly!$A:$A,"&gt;="&amp;$A219,monthly!$B:$B,"&lt;="&amp;$B219)&gt;0,"NA",AVERAGEIFS(monthly!G:G,monthly!$A:$A,"&gt;="&amp;$A219,monthly!$B:$B,"&lt;="&amp;$B219))</f>
        <v>113.06666666666666</v>
      </c>
      <c r="P219">
        <f>IF(COUNTIFS(monthly!H:H,"",monthly!$A:$A,"&gt;="&amp;$A219,monthly!$B:$B,"&lt;="&amp;$B219)&gt;0,"NA",AVERAGEIFS(monthly!H:H,monthly!$A:$A,"&gt;="&amp;$A219,monthly!$B:$B,"&lt;="&amp;$B219))</f>
        <v>137.36666666666667</v>
      </c>
      <c r="Q219">
        <f>IF(COUNTIFS(monthly!I:I,"",monthly!$A:$A,"&gt;="&amp;$A219,monthly!$B:$B,"&lt;="&amp;$B219)&gt;0,"NA",AVERAGEIFS(monthly!I:I,monthly!$A:$A,"&gt;="&amp;$A219,monthly!$B:$B,"&lt;="&amp;$B219))</f>
        <v>84.899999999999991</v>
      </c>
      <c r="R219">
        <f>IF(COUNTIFS(monthly!J:J,"",monthly!$A:$A,"&gt;="&amp;$A219,monthly!$B:$B,"&lt;="&amp;$B219)&gt;0,"NA",AVERAGEIFS(monthly!J:J,monthly!$A:$A,"&gt;="&amp;$A219,monthly!$B:$B,"&lt;="&amp;$B219))</f>
        <v>12.056666666666667</v>
      </c>
      <c r="S219">
        <f>IF(COUNTIFS(monthly!K:K,"",monthly!$A:$A,"&gt;="&amp;$A219,monthly!$B:$B,"&lt;="&amp;$B219)&gt;0,"NA",AVERAGEIFS(monthly!K:K,monthly!$A:$A,"&gt;="&amp;$A219,monthly!$B:$B,"&lt;="&amp;$B219))</f>
        <v>4.32</v>
      </c>
      <c r="T219">
        <f>IF(COUNTIFS(monthly!L:L,"",monthly!$A:$A,"&gt;="&amp;$A219,monthly!$B:$B,"&lt;="&amp;$B219)&gt;0,"NA",AVERAGEIFS(monthly!L:L,monthly!$A:$A,"&gt;="&amp;$A219,monthly!$B:$B,"&lt;="&amp;$B219))</f>
        <v>5.3300000000000018</v>
      </c>
      <c r="U219">
        <f>IF(COUNTIFS(monthly!M:M,"",monthly!$A:$A,"&gt;="&amp;$A219,monthly!$B:$B,"&lt;="&amp;$B219)&gt;0,"NA",AVERAGEIFS(monthly!M:M,monthly!$A:$A,"&gt;="&amp;$A219,monthly!$B:$B,"&lt;="&amp;$B219))</f>
        <v>-1.0100000000000009</v>
      </c>
      <c r="V219">
        <f>IF(COUNTIFS(monthly!N:N,"",monthly!$A:$A,"&gt;="&amp;$A219,monthly!$B:$B,"&lt;="&amp;$B219)&gt;0,"NA",AVERAGEIFS(monthly!N:N,monthly!$A:$A,"&gt;="&amp;$A219,monthly!$B:$B,"&lt;="&amp;$B219))</f>
        <v>3.9820000000000007</v>
      </c>
      <c r="W219">
        <f>IF(COUNTIFS(monthly!O:O,"",monthly!$A:$A,"&gt;="&amp;$A219,monthly!$B:$B,"&lt;="&amp;$B219)&gt;0,"NA",AVERAGEIFS(monthly!O:O,monthly!$A:$A,"&gt;="&amp;$A219,monthly!$B:$B,"&lt;="&amp;$B219))</f>
        <v>4.8221291866028704</v>
      </c>
      <c r="X219">
        <f>IF(COUNTIFS(monthly!P:P,"",monthly!$A:$A,"&gt;="&amp;$A219,monthly!$B:$B,"&lt;="&amp;$B219)&gt;0,"NA",AVERAGEIFS(monthly!P:P,monthly!$A:$A,"&gt;="&amp;$A219,monthly!$B:$B,"&lt;="&amp;$B219))</f>
        <v>-0.84012918660287028</v>
      </c>
      <c r="Y219">
        <f>IF(COUNTIFS(monthly!Q:Q,"",monthly!$A:$A,"&gt;="&amp;$A219,monthly!$B:$B,"&lt;="&amp;$B219)&gt;0,"NA",AVERAGEIFS(monthly!Q:Q,monthly!$A:$A,"&gt;="&amp;$A219,monthly!$B:$B,"&lt;="&amp;$B219))</f>
        <v>4.2783333333333333</v>
      </c>
      <c r="Z219">
        <f>IF(COUNTIFS(monthly!R:R,"",monthly!$A:$A,"&gt;="&amp;$A219,monthly!$B:$B,"&lt;="&amp;$B219)&gt;0,"NA",AVERAGEIFS(monthly!R:R,monthly!$A:$A,"&gt;="&amp;$A219,monthly!$B:$B,"&lt;="&amp;$B219))</f>
        <v>4.4422089314194588</v>
      </c>
      <c r="AA219">
        <f>IF(COUNTIFS(monthly!S:S,"",monthly!$A:$A,"&gt;="&amp;$A219,monthly!$B:$B,"&lt;="&amp;$B219)&gt;0,"NA",AVERAGEIFS(monthly!S:S,monthly!$A:$A,"&gt;="&amp;$A219,monthly!$B:$B,"&lt;="&amp;$B219))</f>
        <v>-0.16387559808612492</v>
      </c>
      <c r="AB219">
        <f>IF(COUNTIFS(monthly!T:T,"",monthly!$A:$A,"&gt;="&amp;$A219,monthly!$B:$B,"&lt;="&amp;$B219)&gt;0,"NA",AVERAGEIFS(monthly!T:T,monthly!$A:$A,"&gt;="&amp;$A219,monthly!$B:$B,"&lt;="&amp;$B219))</f>
        <v>13.954474308300396</v>
      </c>
      <c r="AC219">
        <f>IF(COUNTIFS(monthly!U:U,"",monthly!$A:$A,"&gt;="&amp;$A219,monthly!$B:$B,"&lt;="&amp;$B219)&gt;0,"NA",AVERAGEIFS(monthly!U:U,monthly!$A:$A,"&gt;="&amp;$A219,monthly!$B:$B,"&lt;="&amp;$B219))</f>
        <v>173.73450077803338</v>
      </c>
      <c r="AD219">
        <f>IF(COUNTIFS(monthly!V:V,"",monthly!$A:$A,"&gt;="&amp;$A219,monthly!$B:$B,"&lt;="&amp;$B219)&gt;0,"NA",AVERAGEIFS(monthly!V:V,monthly!$A:$A,"&gt;="&amp;$A219,monthly!$B:$B,"&lt;="&amp;$B219))</f>
        <v>88.35181106821581</v>
      </c>
      <c r="AE219">
        <f>IF(COUNTIFS(monthly!W:W,"",monthly!$A:$A,"&gt;="&amp;$A219,monthly!$B:$B,"&lt;="&amp;$B219)&gt;0,"NA",AVERAGEIFS(monthly!W:W,monthly!$A:$A,"&gt;="&amp;$A219,monthly!$B:$B,"&lt;="&amp;$B219))</f>
        <v>135.8540013631185</v>
      </c>
      <c r="AF219">
        <f>IF(COUNTIFS(monthly!X:X,"",monthly!$A:$A,"&gt;="&amp;$A219,monthly!$B:$B,"&lt;="&amp;$B219)&gt;0,"NA",AVERAGEIFS(monthly!X:X,monthly!$A:$A,"&gt;="&amp;$A219,monthly!$B:$B,"&lt;="&amp;$B219))</f>
        <v>142.619384765625</v>
      </c>
      <c r="AG219">
        <f>IF(COUNTIFS(monthly!Y:Y,"",monthly!$A:$A,"&gt;="&amp;$A219,monthly!$B:$B,"&lt;="&amp;$B219)&gt;0,"NA",AVERAGEIFS(monthly!Y:Y,monthly!$A:$A,"&gt;="&amp;$A219,monthly!$B:$B,"&lt;="&amp;$B219))</f>
        <v>136.29446665445963</v>
      </c>
      <c r="AH219">
        <f>IF(COUNTIFS(monthly!Z:Z,"",monthly!$A:$A,"&gt;="&amp;$A219,monthly!$B:$B,"&lt;="&amp;$B219)&gt;0,"NA",AVERAGEIFS(monthly!Z:Z,monthly!$A:$A,"&gt;="&amp;$A219,monthly!$B:$B,"&lt;="&amp;$B219))</f>
        <v>0.22122937440872192</v>
      </c>
    </row>
    <row r="220" spans="1:34" x14ac:dyDescent="0.2">
      <c r="A220" s="1">
        <v>45474</v>
      </c>
      <c r="B220" s="1">
        <v>45565</v>
      </c>
      <c r="C220">
        <f>IF(ISBLANK(VLOOKUP($A220,quarterly_data,MATCH(C$1,quarterly!$1:$1,FALSE),FALSE)),"NA",VLOOKUP($A220,quarterly_data,MATCH(C$1,quarterly!$1:$1,FALSE),FALSE))</f>
        <v>145.22303878369135</v>
      </c>
      <c r="D220">
        <f>IF(ISBLANK(VLOOKUP($A220,quarterly_data,MATCH(D$1,quarterly!$1:$1,FALSE),FALSE)),"NA",VLOOKUP($A220,quarterly_data,MATCH(D$1,quarterly!$1:$1,FALSE),FALSE))</f>
        <v>95.5</v>
      </c>
      <c r="E220">
        <f>IF(ISBLANK(VLOOKUP($A220,quarterly_data,MATCH(E$1,quarterly!$1:$1,FALSE),FALSE)),"NA",VLOOKUP($A220,quarterly_data,MATCH(E$1,quarterly!$1:$1,FALSE),FALSE))</f>
        <v>0</v>
      </c>
      <c r="F220">
        <f>IF(ISBLANK(VLOOKUP($A220,quarterly_data,MATCH(F$1,quarterly!$1:$1,FALSE),FALSE)),"NA",VLOOKUP($A220,quarterly_data,MATCH(F$1,quarterly!$1:$1,FALSE),FALSE))</f>
        <v>0</v>
      </c>
      <c r="G220">
        <f>IF(ISBLANK(VLOOKUP($A220,quarterly_data,MATCH(G$1,quarterly!$1:$1,FALSE),FALSE)),"NA",VLOOKUP($A220,quarterly_data,MATCH(G$1,quarterly!$1:$1,FALSE),FALSE))</f>
        <v>23478.57</v>
      </c>
      <c r="H220">
        <f>IF(ISBLANK(VLOOKUP($A220,quarterly_data,MATCH(H$1,quarterly!$1:$1,FALSE),FALSE)),"NA",VLOOKUP($A220,quarterly_data,MATCH(H$1,quarterly!$1:$1,FALSE),FALSE))</f>
        <v>673895</v>
      </c>
      <c r="I220">
        <f>IF(ISBLANK(VLOOKUP($A220,quarterly_data,MATCH(I$1,quarterly!$1:$1,FALSE),FALSE)),"NA",VLOOKUP($A220,quarterly_data,MATCH(I$1,quarterly!$1:$1,FALSE),FALSE))</f>
        <v>0.8</v>
      </c>
      <c r="J220">
        <f>IF(ISBLANK(VLOOKUP($A220,quarterly_data,MATCH(J$1,quarterly!$1:$1,FALSE),FALSE)),"NA",VLOOKUP($A220,quarterly_data,MATCH(J$1,quarterly!$1:$1,FALSE),FALSE))</f>
        <v>96.62</v>
      </c>
      <c r="K220">
        <f>IF(COUNTIFS(monthly!C:C,"",monthly!$A:$A,"&gt;="&amp;$A220,monthly!$B:$B,"&lt;="&amp;$B220)&gt;0,"NA",AVERAGEIFS(monthly!C:C,monthly!$A:$A,"&gt;="&amp;$A220,monthly!$B:$B,"&lt;="&amp;$B220))</f>
        <v>62.266666666666673</v>
      </c>
      <c r="L220">
        <f>IF(COUNTIFS(monthly!D:D,"",monthly!$A:$A,"&gt;="&amp;$A220,monthly!$B:$B,"&lt;="&amp;$B220)&gt;0,"NA",AVERAGEIFS(monthly!D:D,monthly!$A:$A,"&gt;="&amp;$A220,monthly!$B:$B,"&lt;="&amp;$B220))</f>
        <v>0.67430000000000001</v>
      </c>
      <c r="M220">
        <f>IF(COUNTIFS(monthly!E:E,"",monthly!$A:$A,"&gt;="&amp;$A220,monthly!$B:$B,"&lt;="&amp;$B220)&gt;0,"NA",AVERAGEIFS(monthly!E:E,monthly!$A:$A,"&gt;="&amp;$A220,monthly!$B:$B,"&lt;="&amp;$B220))</f>
        <v>100.47734266996777</v>
      </c>
      <c r="N220">
        <f>IF(COUNTIFS(monthly!F:F,"",monthly!$A:$A,"&gt;="&amp;$A220,monthly!$B:$B,"&lt;="&amp;$B220)&gt;0,"NA",AVERAGEIFS(monthly!F:F,monthly!$A:$A,"&gt;="&amp;$A220,monthly!$B:$B,"&lt;="&amp;$B220))</f>
        <v>99.441075903166265</v>
      </c>
      <c r="O220">
        <f>IF(COUNTIFS(monthly!G:G,"",monthly!$A:$A,"&gt;="&amp;$A220,monthly!$B:$B,"&lt;="&amp;$B220)&gt;0,"NA",AVERAGEIFS(monthly!G:G,monthly!$A:$A,"&gt;="&amp;$A220,monthly!$B:$B,"&lt;="&amp;$B220))</f>
        <v>99.866666666666674</v>
      </c>
      <c r="P220">
        <f>IF(COUNTIFS(monthly!H:H,"",monthly!$A:$A,"&gt;="&amp;$A220,monthly!$B:$B,"&lt;="&amp;$B220)&gt;0,"NA",AVERAGEIFS(monthly!H:H,monthly!$A:$A,"&gt;="&amp;$A220,monthly!$B:$B,"&lt;="&amp;$B220))</f>
        <v>140.86666666666665</v>
      </c>
      <c r="Q220">
        <f>IF(COUNTIFS(monthly!I:I,"",monthly!$A:$A,"&gt;="&amp;$A220,monthly!$B:$B,"&lt;="&amp;$B220)&gt;0,"NA",AVERAGEIFS(monthly!I:I,monthly!$A:$A,"&gt;="&amp;$A220,monthly!$B:$B,"&lt;="&amp;$B220))</f>
        <v>80.166666666666671</v>
      </c>
      <c r="R220">
        <f>IF(COUNTIFS(monthly!J:J,"",monthly!$A:$A,"&gt;="&amp;$A220,monthly!$B:$B,"&lt;="&amp;$B220)&gt;0,"NA",AVERAGEIFS(monthly!J:J,monthly!$A:$A,"&gt;="&amp;$A220,monthly!$B:$B,"&lt;="&amp;$B220))</f>
        <v>12.926666666666668</v>
      </c>
      <c r="S220">
        <f>IF(COUNTIFS(monthly!K:K,"",monthly!$A:$A,"&gt;="&amp;$A220,monthly!$B:$B,"&lt;="&amp;$B220)&gt;0,"NA",AVERAGEIFS(monthly!K:K,monthly!$A:$A,"&gt;="&amp;$A220,monthly!$B:$B,"&lt;="&amp;$B220))</f>
        <v>4.34</v>
      </c>
      <c r="T220">
        <f>IF(COUNTIFS(monthly!L:L,"",monthly!$A:$A,"&gt;="&amp;$A220,monthly!$B:$B,"&lt;="&amp;$B220)&gt;0,"NA",AVERAGEIFS(monthly!L:L,monthly!$A:$A,"&gt;="&amp;$A220,monthly!$B:$B,"&lt;="&amp;$B220))</f>
        <v>5.2633333333333345</v>
      </c>
      <c r="U220">
        <f>IF(COUNTIFS(monthly!M:M,"",monthly!$A:$A,"&gt;="&amp;$A220,monthly!$B:$B,"&lt;="&amp;$B220)&gt;0,"NA",AVERAGEIFS(monthly!M:M,monthly!$A:$A,"&gt;="&amp;$A220,monthly!$B:$B,"&lt;="&amp;$B220))</f>
        <v>-0.923333333333335</v>
      </c>
      <c r="V220">
        <f>IF(COUNTIFS(monthly!N:N,"",monthly!$A:$A,"&gt;="&amp;$A220,monthly!$B:$B,"&lt;="&amp;$B220)&gt;0,"NA",AVERAGEIFS(monthly!N:N,monthly!$A:$A,"&gt;="&amp;$A220,monthly!$B:$B,"&lt;="&amp;$B220))</f>
        <v>3.7749999999999999</v>
      </c>
      <c r="W220">
        <f>IF(COUNTIFS(monthly!O:O,"",monthly!$A:$A,"&gt;="&amp;$A220,monthly!$B:$B,"&lt;="&amp;$B220)&gt;0,"NA",AVERAGEIFS(monthly!O:O,monthly!$A:$A,"&gt;="&amp;$A220,monthly!$B:$B,"&lt;="&amp;$B220))</f>
        <v>4.0279545454545449</v>
      </c>
      <c r="X220">
        <f>IF(COUNTIFS(monthly!P:P,"",monthly!$A:$A,"&gt;="&amp;$A220,monthly!$B:$B,"&lt;="&amp;$B220)&gt;0,"NA",AVERAGEIFS(monthly!P:P,monthly!$A:$A,"&gt;="&amp;$A220,monthly!$B:$B,"&lt;="&amp;$B220))</f>
        <v>-0.25295454545454543</v>
      </c>
      <c r="Y220">
        <f>IF(COUNTIFS(monthly!Q:Q,"",monthly!$A:$A,"&gt;="&amp;$A220,monthly!$B:$B,"&lt;="&amp;$B220)&gt;0,"NA",AVERAGEIFS(monthly!Q:Q,monthly!$A:$A,"&gt;="&amp;$A220,monthly!$B:$B,"&lt;="&amp;$B220))</f>
        <v>4.0746666666666664</v>
      </c>
      <c r="Z220">
        <f>IF(COUNTIFS(monthly!R:R,"",monthly!$A:$A,"&gt;="&amp;$A220,monthly!$B:$B,"&lt;="&amp;$B220)&gt;0,"NA",AVERAGEIFS(monthly!R:R,monthly!$A:$A,"&gt;="&amp;$A220,monthly!$B:$B,"&lt;="&amp;$B220))</f>
        <v>3.9476818181818185</v>
      </c>
      <c r="AA220">
        <f>IF(COUNTIFS(monthly!S:S,"",monthly!$A:$A,"&gt;="&amp;$A220,monthly!$B:$B,"&lt;="&amp;$B220)&gt;0,"NA",AVERAGEIFS(monthly!S:S,monthly!$A:$A,"&gt;="&amp;$A220,monthly!$B:$B,"&lt;="&amp;$B220))</f>
        <v>0.12698484848484806</v>
      </c>
      <c r="AB220">
        <f>IF(COUNTIFS(monthly!T:T,"",monthly!$A:$A,"&gt;="&amp;$A220,monthly!$B:$B,"&lt;="&amp;$B220)&gt;0,"NA",AVERAGEIFS(monthly!T:T,monthly!$A:$A,"&gt;="&amp;$A220,monthly!$B:$B,"&lt;="&amp;$B220))</f>
        <v>17.116506368028109</v>
      </c>
      <c r="AC220">
        <f>IF(COUNTIFS(monthly!U:U,"",monthly!$A:$A,"&gt;="&amp;$A220,monthly!$B:$B,"&lt;="&amp;$B220)&gt;0,"NA",AVERAGEIFS(monthly!U:U,monthly!$A:$A,"&gt;="&amp;$A220,monthly!$B:$B,"&lt;="&amp;$B220))</f>
        <v>204.44761594196947</v>
      </c>
      <c r="AD220">
        <f>IF(COUNTIFS(monthly!V:V,"",monthly!$A:$A,"&gt;="&amp;$A220,monthly!$B:$B,"&lt;="&amp;$B220)&gt;0,"NA",AVERAGEIFS(monthly!V:V,monthly!$A:$A,"&gt;="&amp;$A220,monthly!$B:$B,"&lt;="&amp;$B220))</f>
        <v>127.37164839341766</v>
      </c>
      <c r="AE220">
        <f>IF(COUNTIFS(monthly!W:W,"",monthly!$A:$A,"&gt;="&amp;$A220,monthly!$B:$B,"&lt;="&amp;$B220)&gt;0,"NA",AVERAGEIFS(monthly!W:W,monthly!$A:$A,"&gt;="&amp;$A220,monthly!$B:$B,"&lt;="&amp;$B220))</f>
        <v>121.24290720621745</v>
      </c>
      <c r="AF220">
        <f>IF(COUNTIFS(monthly!X:X,"",monthly!$A:$A,"&gt;="&amp;$A220,monthly!$B:$B,"&lt;="&amp;$B220)&gt;0,"NA",AVERAGEIFS(monthly!X:X,monthly!$A:$A,"&gt;="&amp;$A220,monthly!$B:$B,"&lt;="&amp;$B220))</f>
        <v>118.00077056884766</v>
      </c>
      <c r="AG220">
        <f>IF(COUNTIFS(monthly!Y:Y,"",monthly!$A:$A,"&gt;="&amp;$A220,monthly!$B:$B,"&lt;="&amp;$B220)&gt;0,"NA",AVERAGEIFS(monthly!Y:Y,monthly!$A:$A,"&gt;="&amp;$A220,monthly!$B:$B,"&lt;="&amp;$B220))</f>
        <v>131.94812774658203</v>
      </c>
      <c r="AH220">
        <f>IF(COUNTIFS(monthly!Z:Z,"",monthly!$A:$A,"&gt;="&amp;$A220,monthly!$B:$B,"&lt;="&amp;$B220)&gt;0,"NA",AVERAGEIFS(monthly!Z:Z,monthly!$A:$A,"&gt;="&amp;$A220,monthly!$B:$B,"&lt;="&amp;$B220))</f>
        <v>0.10979442795117696</v>
      </c>
    </row>
    <row r="221" spans="1:34" x14ac:dyDescent="0.2">
      <c r="A221" s="1">
        <v>45566</v>
      </c>
      <c r="B221" s="1">
        <v>45657</v>
      </c>
      <c r="C221">
        <f>IF(ISBLANK(VLOOKUP($A221,quarterly_data,MATCH(C$1,quarterly!$1:$1,FALSE),FALSE)),"NA",VLOOKUP($A221,quarterly_data,MATCH(C$1,quarterly!$1:$1,FALSE),FALSE))</f>
        <v>143.14555804416196</v>
      </c>
      <c r="D221">
        <f>IF(ISBLANK(VLOOKUP($A221,quarterly_data,MATCH(D$1,quarterly!$1:$1,FALSE),FALSE)),"NA",VLOOKUP($A221,quarterly_data,MATCH(D$1,quarterly!$1:$1,FALSE),FALSE))</f>
        <v>96.7</v>
      </c>
      <c r="E221">
        <f>IF(ISBLANK(VLOOKUP($A221,quarterly_data,MATCH(E$1,quarterly!$1:$1,FALSE),FALSE)),"NA",VLOOKUP($A221,quarterly_data,MATCH(E$1,quarterly!$1:$1,FALSE),FALSE))</f>
        <v>7.1942400000000004E-2</v>
      </c>
      <c r="F221">
        <f>IF(ISBLANK(VLOOKUP($A221,quarterly_data,MATCH(F$1,quarterly!$1:$1,FALSE),FALSE)),"NA",VLOOKUP($A221,quarterly_data,MATCH(F$1,quarterly!$1:$1,FALSE),FALSE))</f>
        <v>1.43885E-2</v>
      </c>
      <c r="G221">
        <f>IF(ISBLANK(VLOOKUP($A221,quarterly_data,MATCH(G$1,quarterly!$1:$1,FALSE),FALSE)),"NA",VLOOKUP($A221,quarterly_data,MATCH(G$1,quarterly!$1:$1,FALSE),FALSE))</f>
        <v>23586.542000000001</v>
      </c>
      <c r="H221">
        <f>IF(ISBLANK(VLOOKUP($A221,quarterly_data,MATCH(H$1,quarterly!$1:$1,FALSE),FALSE)),"NA",VLOOKUP($A221,quarterly_data,MATCH(H$1,quarterly!$1:$1,FALSE),FALSE))</f>
        <v>676864</v>
      </c>
      <c r="I221">
        <f>IF(ISBLANK(VLOOKUP($A221,quarterly_data,MATCH(I$1,quarterly!$1:$1,FALSE),FALSE)),"NA",VLOOKUP($A221,quarterly_data,MATCH(I$1,quarterly!$1:$1,FALSE),FALSE))</f>
        <v>0.5</v>
      </c>
      <c r="J221">
        <f>IF(ISBLANK(VLOOKUP($A221,quarterly_data,MATCH(J$1,quarterly!$1:$1,FALSE),FALSE)),"NA",VLOOKUP($A221,quarterly_data,MATCH(J$1,quarterly!$1:$1,FALSE),FALSE))</f>
        <v>96.81</v>
      </c>
      <c r="K221">
        <f>IF(COUNTIFS(monthly!C:C,"",monthly!$A:$A,"&gt;="&amp;$A221,monthly!$B:$B,"&lt;="&amp;$B221)&gt;0,"NA",AVERAGEIFS(monthly!C:C,monthly!$A:$A,"&gt;="&amp;$A221,monthly!$B:$B,"&lt;="&amp;$B221))</f>
        <v>60.9</v>
      </c>
      <c r="L221">
        <f>IF(COUNTIFS(monthly!D:D,"",monthly!$A:$A,"&gt;="&amp;$A221,monthly!$B:$B,"&lt;="&amp;$B221)&gt;0,"NA",AVERAGEIFS(monthly!D:D,monthly!$A:$A,"&gt;="&amp;$A221,monthly!$B:$B,"&lt;="&amp;$B221))</f>
        <v>0.6434333333333333</v>
      </c>
      <c r="M221">
        <f>IF(COUNTIFS(monthly!E:E,"",monthly!$A:$A,"&gt;="&amp;$A221,monthly!$B:$B,"&lt;="&amp;$B221)&gt;0,"NA",AVERAGEIFS(monthly!E:E,monthly!$A:$A,"&gt;="&amp;$A221,monthly!$B:$B,"&lt;="&amp;$B221))</f>
        <v>102.44580965696167</v>
      </c>
      <c r="N221">
        <f>IF(COUNTIFS(monthly!F:F,"",monthly!$A:$A,"&gt;="&amp;$A221,monthly!$B:$B,"&lt;="&amp;$B221)&gt;0,"NA",AVERAGEIFS(monthly!F:F,monthly!$A:$A,"&gt;="&amp;$A221,monthly!$B:$B,"&lt;="&amp;$B221))</f>
        <v>103.63640591734934</v>
      </c>
      <c r="O221">
        <f>IF(COUNTIFS(monthly!G:G,"",monthly!$A:$A,"&gt;="&amp;$A221,monthly!$B:$B,"&lt;="&amp;$B221)&gt;0,"NA",AVERAGEIFS(monthly!G:G,monthly!$A:$A,"&gt;="&amp;$A221,monthly!$B:$B,"&lt;="&amp;$B221))</f>
        <v>101.36666666666667</v>
      </c>
      <c r="P221">
        <f>IF(COUNTIFS(monthly!H:H,"",monthly!$A:$A,"&gt;="&amp;$A221,monthly!$B:$B,"&lt;="&amp;$B221)&gt;0,"NA",AVERAGEIFS(monthly!H:H,monthly!$A:$A,"&gt;="&amp;$A221,monthly!$B:$B,"&lt;="&amp;$B221))</f>
        <v>139.5</v>
      </c>
      <c r="Q221">
        <f>IF(COUNTIFS(monthly!I:I,"",monthly!$A:$A,"&gt;="&amp;$A221,monthly!$B:$B,"&lt;="&amp;$B221)&gt;0,"NA",AVERAGEIFS(monthly!I:I,monthly!$A:$A,"&gt;="&amp;$A221,monthly!$B:$B,"&lt;="&amp;$B221))</f>
        <v>74.63333333333334</v>
      </c>
      <c r="R221">
        <f>IF(COUNTIFS(monthly!J:J,"",monthly!$A:$A,"&gt;="&amp;$A221,monthly!$B:$B,"&lt;="&amp;$B221)&gt;0,"NA",AVERAGEIFS(monthly!J:J,monthly!$A:$A,"&gt;="&amp;$A221,monthly!$B:$B,"&lt;="&amp;$B221))</f>
        <v>12.666666666666666</v>
      </c>
      <c r="S221">
        <f>IF(COUNTIFS(monthly!K:K,"",monthly!$A:$A,"&gt;="&amp;$A221,monthly!$B:$B,"&lt;="&amp;$B221)&gt;0,"NA",AVERAGEIFS(monthly!K:K,monthly!$A:$A,"&gt;="&amp;$A221,monthly!$B:$B,"&lt;="&amp;$B221))</f>
        <v>4.34</v>
      </c>
      <c r="T221">
        <f>IF(COUNTIFS(monthly!L:L,"",monthly!$A:$A,"&gt;="&amp;$A221,monthly!$B:$B,"&lt;="&amp;$B221)&gt;0,"NA",AVERAGEIFS(monthly!L:L,monthly!$A:$A,"&gt;="&amp;$A221,monthly!$B:$B,"&lt;="&amp;$B221))</f>
        <v>4.647831541218638</v>
      </c>
      <c r="U221">
        <f>IF(COUNTIFS(monthly!M:M,"",monthly!$A:$A,"&gt;="&amp;$A221,monthly!$B:$B,"&lt;="&amp;$B221)&gt;0,"NA",AVERAGEIFS(monthly!M:M,monthly!$A:$A,"&gt;="&amp;$A221,monthly!$B:$B,"&lt;="&amp;$B221))</f>
        <v>-0.30783154121863837</v>
      </c>
      <c r="V221">
        <f>IF(COUNTIFS(monthly!N:N,"",monthly!$A:$A,"&gt;="&amp;$A221,monthly!$B:$B,"&lt;="&amp;$B221)&gt;0,"NA",AVERAGEIFS(monthly!N:N,monthly!$A:$A,"&gt;="&amp;$A221,monthly!$B:$B,"&lt;="&amp;$B221))</f>
        <v>3.9280000000000004</v>
      </c>
      <c r="W221">
        <f>IF(COUNTIFS(monthly!O:O,"",monthly!$A:$A,"&gt;="&amp;$A221,monthly!$B:$B,"&lt;="&amp;$B221)&gt;0,"NA",AVERAGEIFS(monthly!O:O,monthly!$A:$A,"&gt;="&amp;$A221,monthly!$B:$B,"&lt;="&amp;$B221))</f>
        <v>4.1517851446798817</v>
      </c>
      <c r="X221">
        <f>IF(COUNTIFS(monthly!P:P,"",monthly!$A:$A,"&gt;="&amp;$A221,monthly!$B:$B,"&lt;="&amp;$B221)&gt;0,"NA",AVERAGEIFS(monthly!P:P,monthly!$A:$A,"&gt;="&amp;$A221,monthly!$B:$B,"&lt;="&amp;$B221))</f>
        <v>-0.22378514467988145</v>
      </c>
      <c r="Y221">
        <f>IF(COUNTIFS(monthly!Q:Q,"",monthly!$A:$A,"&gt;="&amp;$A221,monthly!$B:$B,"&lt;="&amp;$B221)&gt;0,"NA",AVERAGEIFS(monthly!Q:Q,monthly!$A:$A,"&gt;="&amp;$A221,monthly!$B:$B,"&lt;="&amp;$B221))</f>
        <v>4.3746666666666663</v>
      </c>
      <c r="Z221">
        <f>IF(COUNTIFS(monthly!R:R,"",monthly!$A:$A,"&gt;="&amp;$A221,monthly!$B:$B,"&lt;="&amp;$B221)&gt;0,"NA",AVERAGEIFS(monthly!R:R,monthly!$A:$A,"&gt;="&amp;$A221,monthly!$B:$B,"&lt;="&amp;$B221))</f>
        <v>4.2808908635224423</v>
      </c>
      <c r="AA221">
        <f>IF(COUNTIFS(monthly!S:S,"",monthly!$A:$A,"&gt;="&amp;$A221,monthly!$B:$B,"&lt;="&amp;$B221)&gt;0,"NA",AVERAGEIFS(monthly!S:S,monthly!$A:$A,"&gt;="&amp;$A221,monthly!$B:$B,"&lt;="&amp;$B221))</f>
        <v>9.3775803144224554E-2</v>
      </c>
      <c r="AB221">
        <f>IF(COUNTIFS(monthly!T:T,"",monthly!$A:$A,"&gt;="&amp;$A221,monthly!$B:$B,"&lt;="&amp;$B221)&gt;0,"NA",AVERAGEIFS(monthly!T:T,monthly!$A:$A,"&gt;="&amp;$A221,monthly!$B:$B,"&lt;="&amp;$B221))</f>
        <v>17.280766045548656</v>
      </c>
      <c r="AC221">
        <f>IF(COUNTIFS(monthly!U:U,"",monthly!$A:$A,"&gt;="&amp;$A221,monthly!$B:$B,"&lt;="&amp;$B221)&gt;0,"NA",AVERAGEIFS(monthly!U:U,monthly!$A:$A,"&gt;="&amp;$A221,monthly!$B:$B,"&lt;="&amp;$B221))</f>
        <v>268.13628580985272</v>
      </c>
      <c r="AD221">
        <f>IF(COUNTIFS(monthly!V:V,"",monthly!$A:$A,"&gt;="&amp;$A221,monthly!$B:$B,"&lt;="&amp;$B221)&gt;0,"NA",AVERAGEIFS(monthly!V:V,monthly!$A:$A,"&gt;="&amp;$A221,monthly!$B:$B,"&lt;="&amp;$B221))</f>
        <v>175.27139244519412</v>
      </c>
      <c r="AE221">
        <f>IF(COUNTIFS(monthly!W:W,"",monthly!$A:$A,"&gt;="&amp;$A221,monthly!$B:$B,"&lt;="&amp;$B221)&gt;0,"NA",AVERAGEIFS(monthly!W:W,monthly!$A:$A,"&gt;="&amp;$A221,monthly!$B:$B,"&lt;="&amp;$B221))</f>
        <v>133.98576354980469</v>
      </c>
      <c r="AF221">
        <f>IF(COUNTIFS(monthly!X:X,"",monthly!$A:$A,"&gt;="&amp;$A221,monthly!$B:$B,"&lt;="&amp;$B221)&gt;0,"NA",AVERAGEIFS(monthly!X:X,monthly!$A:$A,"&gt;="&amp;$A221,monthly!$B:$B,"&lt;="&amp;$B221))</f>
        <v>131.94027709960938</v>
      </c>
      <c r="AG221">
        <f>IF(COUNTIFS(monthly!Y:Y,"",monthly!$A:$A,"&gt;="&amp;$A221,monthly!$B:$B,"&lt;="&amp;$B221)&gt;0,"NA",AVERAGEIFS(monthly!Y:Y,monthly!$A:$A,"&gt;="&amp;$A221,monthly!$B:$B,"&lt;="&amp;$B221))</f>
        <v>145.02033233642578</v>
      </c>
      <c r="AH221">
        <f>IF(COUNTIFS(monthly!Z:Z,"",monthly!$A:$A,"&gt;="&amp;$A221,monthly!$B:$B,"&lt;="&amp;$B221)&gt;0,"NA",AVERAGEIFS(monthly!Z:Z,monthly!$A:$A,"&gt;="&amp;$A221,monthly!$B:$B,"&lt;="&amp;$B221))</f>
        <v>0.11196869860092799</v>
      </c>
    </row>
    <row r="222" spans="1:34" x14ac:dyDescent="0.2">
      <c r="A222" s="1">
        <v>45658</v>
      </c>
      <c r="B222" s="1">
        <v>45747</v>
      </c>
      <c r="C222">
        <f>IF(ISBLANK(VLOOKUP($A222,quarterly_data,MATCH(C$1,quarterly!$1:$1,FALSE),FALSE)),"NA",VLOOKUP($A222,quarterly_data,MATCH(C$1,quarterly!$1:$1,FALSE),FALSE))</f>
        <v>139.67238671145634</v>
      </c>
      <c r="D222">
        <f>IF(ISBLANK(VLOOKUP($A222,quarterly_data,MATCH(D$1,quarterly!$1:$1,FALSE),FALSE)),"NA",VLOOKUP($A222,quarterly_data,MATCH(D$1,quarterly!$1:$1,FALSE),FALSE))</f>
        <v>96.1</v>
      </c>
      <c r="E222">
        <f>IF(ISBLANK(VLOOKUP($A222,quarterly_data,MATCH(E$1,quarterly!$1:$1,FALSE),FALSE)),"NA",VLOOKUP($A222,quarterly_data,MATCH(E$1,quarterly!$1:$1,FALSE),FALSE))</f>
        <v>7.0358100000000007E-2</v>
      </c>
      <c r="F222">
        <f>IF(ISBLANK(VLOOKUP($A222,quarterly_data,MATCH(F$1,quarterly!$1:$1,FALSE),FALSE)),"NA",VLOOKUP($A222,quarterly_data,MATCH(F$1,quarterly!$1:$1,FALSE),FALSE))</f>
        <v>2.1265900000000001E-2</v>
      </c>
      <c r="G222">
        <f>IF(ISBLANK(VLOOKUP($A222,quarterly_data,MATCH(G$1,quarterly!$1:$1,FALSE),FALSE)),"NA",VLOOKUP($A222,quarterly_data,MATCH(G$1,quarterly!$1:$1,FALSE),FALSE))</f>
        <v>23548.21</v>
      </c>
      <c r="H222">
        <f>IF(ISBLANK(VLOOKUP($A222,quarterly_data,MATCH(H$1,quarterly!$1:$1,FALSE),FALSE)),"NA",VLOOKUP($A222,quarterly_data,MATCH(H$1,quarterly!$1:$1,FALSE),FALSE))</f>
        <v>679519</v>
      </c>
      <c r="I222">
        <f>IF(ISBLANK(VLOOKUP($A222,quarterly_data,MATCH(I$1,quarterly!$1:$1,FALSE),FALSE)),"NA",VLOOKUP($A222,quarterly_data,MATCH(I$1,quarterly!$1:$1,FALSE),FALSE))</f>
        <v>0.7</v>
      </c>
      <c r="J222">
        <f>IF(ISBLANK(VLOOKUP($A222,quarterly_data,MATCH(J$1,quarterly!$1:$1,FALSE),FALSE)),"NA",VLOOKUP($A222,quarterly_data,MATCH(J$1,quarterly!$1:$1,FALSE),FALSE))</f>
        <v>97.7</v>
      </c>
      <c r="K222">
        <f>IF(COUNTIFS(monthly!C:C,"",monthly!$A:$A,"&gt;="&amp;$A222,monthly!$B:$B,"&lt;="&amp;$B222)&gt;0,"NA",AVERAGEIFS(monthly!C:C,monthly!$A:$A,"&gt;="&amp;$A222,monthly!$B:$B,"&lt;="&amp;$B222))</f>
        <v>59.566666666666663</v>
      </c>
      <c r="L222">
        <f>IF(COUNTIFS(monthly!D:D,"",monthly!$A:$A,"&gt;="&amp;$A222,monthly!$B:$B,"&lt;="&amp;$B222)&gt;0,"NA",AVERAGEIFS(monthly!D:D,monthly!$A:$A,"&gt;="&amp;$A222,monthly!$B:$B,"&lt;="&amp;$B222))</f>
        <v>0.62396666666666667</v>
      </c>
      <c r="M222">
        <f>IF(COUNTIFS(monthly!E:E,"",monthly!$A:$A,"&gt;="&amp;$A222,monthly!$B:$B,"&lt;="&amp;$B222)&gt;0,"NA",AVERAGEIFS(monthly!E:E,monthly!$A:$A,"&gt;="&amp;$A222,monthly!$B:$B,"&lt;="&amp;$B222))</f>
        <v>101.92388699257617</v>
      </c>
      <c r="N222">
        <f>IF(COUNTIFS(monthly!F:F,"",monthly!$A:$A,"&gt;="&amp;$A222,monthly!$B:$B,"&lt;="&amp;$B222)&gt;0,"NA",AVERAGEIFS(monthly!F:F,monthly!$A:$A,"&gt;="&amp;$A222,monthly!$B:$B,"&lt;="&amp;$B222))</f>
        <v>101.38300728296132</v>
      </c>
      <c r="O222">
        <f>IF(COUNTIFS(monthly!G:G,"",monthly!$A:$A,"&gt;="&amp;$A222,monthly!$B:$B,"&lt;="&amp;$B222)&gt;0,"NA",AVERAGEIFS(monthly!G:G,monthly!$A:$A,"&gt;="&amp;$A222,monthly!$B:$B,"&lt;="&amp;$B222))</f>
        <v>101.59999999999998</v>
      </c>
      <c r="P222">
        <f>IF(COUNTIFS(monthly!H:H,"",monthly!$A:$A,"&gt;="&amp;$A222,monthly!$B:$B,"&lt;="&amp;$B222)&gt;0,"NA",AVERAGEIFS(monthly!H:H,monthly!$A:$A,"&gt;="&amp;$A222,monthly!$B:$B,"&lt;="&amp;$B222))</f>
        <v>109.83333333333333</v>
      </c>
      <c r="Q222">
        <f>IF(COUNTIFS(monthly!I:I,"",monthly!$A:$A,"&gt;="&amp;$A222,monthly!$B:$B,"&lt;="&amp;$B222)&gt;0,"NA",AVERAGEIFS(monthly!I:I,monthly!$A:$A,"&gt;="&amp;$A222,monthly!$B:$B,"&lt;="&amp;$B222))</f>
        <v>75.666666666666671</v>
      </c>
      <c r="R222">
        <f>IF(COUNTIFS(monthly!J:J,"",monthly!$A:$A,"&gt;="&amp;$A222,monthly!$B:$B,"&lt;="&amp;$B222)&gt;0,"NA",AVERAGEIFS(monthly!J:J,monthly!$A:$A,"&gt;="&amp;$A222,monthly!$B:$B,"&lt;="&amp;$B222))</f>
        <v>12.839999999999998</v>
      </c>
      <c r="S222">
        <f>IF(COUNTIFS(monthly!K:K,"",monthly!$A:$A,"&gt;="&amp;$A222,monthly!$B:$B,"&lt;="&amp;$B222)&gt;0,"NA",AVERAGEIFS(monthly!K:K,monthly!$A:$A,"&gt;="&amp;$A222,monthly!$B:$B,"&lt;="&amp;$B222))</f>
        <v>4.2233333333333336</v>
      </c>
      <c r="T222">
        <f>IF(COUNTIFS(monthly!L:L,"",monthly!$A:$A,"&gt;="&amp;$A222,monthly!$B:$B,"&lt;="&amp;$B222)&gt;0,"NA",AVERAGEIFS(monthly!L:L,monthly!$A:$A,"&gt;="&amp;$A222,monthly!$B:$B,"&lt;="&amp;$B222))</f>
        <v>4.33</v>
      </c>
      <c r="U222">
        <f>IF(COUNTIFS(monthly!M:M,"",monthly!$A:$A,"&gt;="&amp;$A222,monthly!$B:$B,"&lt;="&amp;$B222)&gt;0,"NA",AVERAGEIFS(monthly!M:M,monthly!$A:$A,"&gt;="&amp;$A222,monthly!$B:$B,"&lt;="&amp;$B222))</f>
        <v>-0.10666666666666647</v>
      </c>
      <c r="V222">
        <f>IF(COUNTIFS(monthly!N:N,"",monthly!$A:$A,"&gt;="&amp;$A222,monthly!$B:$B,"&lt;="&amp;$B222)&gt;0,"NA",AVERAGEIFS(monthly!N:N,monthly!$A:$A,"&gt;="&amp;$A222,monthly!$B:$B,"&lt;="&amp;$B222))</f>
        <v>3.8140000000000001</v>
      </c>
      <c r="W222">
        <f>IF(COUNTIFS(monthly!O:O,"",monthly!$A:$A,"&gt;="&amp;$A222,monthly!$B:$B,"&lt;="&amp;$B222)&gt;0,"NA",AVERAGEIFS(monthly!O:O,monthly!$A:$A,"&gt;="&amp;$A222,monthly!$B:$B,"&lt;="&amp;$B222))</f>
        <v>4.1506349206349205</v>
      </c>
      <c r="X222">
        <f>IF(COUNTIFS(monthly!P:P,"",monthly!$A:$A,"&gt;="&amp;$A222,monthly!$B:$B,"&lt;="&amp;$B222)&gt;0,"NA",AVERAGEIFS(monthly!P:P,monthly!$A:$A,"&gt;="&amp;$A222,monthly!$B:$B,"&lt;="&amp;$B222))</f>
        <v>-0.33663492063492023</v>
      </c>
      <c r="Y222">
        <f>IF(COUNTIFS(monthly!Q:Q,"",monthly!$A:$A,"&gt;="&amp;$A222,monthly!$B:$B,"&lt;="&amp;$B222)&gt;0,"NA",AVERAGEIFS(monthly!Q:Q,monthly!$A:$A,"&gt;="&amp;$A222,monthly!$B:$B,"&lt;="&amp;$B222))</f>
        <v>4.4416666666666664</v>
      </c>
      <c r="Z222">
        <f>IF(COUNTIFS(monthly!R:R,"",monthly!$A:$A,"&gt;="&amp;$A222,monthly!$B:$B,"&lt;="&amp;$B222)&gt;0,"NA",AVERAGEIFS(monthly!R:R,monthly!$A:$A,"&gt;="&amp;$A222,monthly!$B:$B,"&lt;="&amp;$B222))</f>
        <v>4.4535254803675848</v>
      </c>
      <c r="AA222">
        <f>IF(COUNTIFS(monthly!S:S,"",monthly!$A:$A,"&gt;="&amp;$A222,monthly!$B:$B,"&lt;="&amp;$B222)&gt;0,"NA",AVERAGEIFS(monthly!S:S,monthly!$A:$A,"&gt;="&amp;$A222,monthly!$B:$B,"&lt;="&amp;$B222))</f>
        <v>-1.1858813700918644E-2</v>
      </c>
      <c r="AB222">
        <f>IF(COUNTIFS(monthly!T:T,"",monthly!$A:$A,"&gt;="&amp;$A222,monthly!$B:$B,"&lt;="&amp;$B222)&gt;0,"NA",AVERAGEIFS(monthly!T:T,monthly!$A:$A,"&gt;="&amp;$A222,monthly!$B:$B,"&lt;="&amp;$B222))</f>
        <v>18.524354978354978</v>
      </c>
      <c r="AC222">
        <f>IF(COUNTIFS(monthly!U:U,"",monthly!$A:$A,"&gt;="&amp;$A222,monthly!$B:$B,"&lt;="&amp;$B222)&gt;0,"NA",AVERAGEIFS(monthly!U:U,monthly!$A:$A,"&gt;="&amp;$A222,monthly!$B:$B,"&lt;="&amp;$B222))</f>
        <v>368.23861148931627</v>
      </c>
      <c r="AD222">
        <f>IF(COUNTIFS(monthly!V:V,"",monthly!$A:$A,"&gt;="&amp;$A222,monthly!$B:$B,"&lt;="&amp;$B222)&gt;0,"NA",AVERAGEIFS(monthly!V:V,monthly!$A:$A,"&gt;="&amp;$A222,monthly!$B:$B,"&lt;="&amp;$B222))</f>
        <v>256.42988559177007</v>
      </c>
      <c r="AE222">
        <f>IF(COUNTIFS(monthly!W:W,"",monthly!$A:$A,"&gt;="&amp;$A222,monthly!$B:$B,"&lt;="&amp;$B222)&gt;0,"NA",AVERAGEIFS(monthly!W:W,monthly!$A:$A,"&gt;="&amp;$A222,monthly!$B:$B,"&lt;="&amp;$B222))</f>
        <v>142.03828938802084</v>
      </c>
      <c r="AF222">
        <f>IF(COUNTIFS(monthly!X:X,"",monthly!$A:$A,"&gt;="&amp;$A222,monthly!$B:$B,"&lt;="&amp;$B222)&gt;0,"NA",AVERAGEIFS(monthly!X:X,monthly!$A:$A,"&gt;="&amp;$A222,monthly!$B:$B,"&lt;="&amp;$B222))</f>
        <v>150.51053873697916</v>
      </c>
      <c r="AG222">
        <f>IF(COUNTIFS(monthly!Y:Y,"",monthly!$A:$A,"&gt;="&amp;$A222,monthly!$B:$B,"&lt;="&amp;$B222)&gt;0,"NA",AVERAGEIFS(monthly!Y:Y,monthly!$A:$A,"&gt;="&amp;$A222,monthly!$B:$B,"&lt;="&amp;$B222))</f>
        <v>136.70484670003256</v>
      </c>
      <c r="AH222">
        <f>IF(COUNTIFS(monthly!Z:Z,"",monthly!$A:$A,"&gt;="&amp;$A222,monthly!$B:$B,"&lt;="&amp;$B222)&gt;0,"NA",AVERAGEIFS(monthly!Z:Z,monthly!$A:$A,"&gt;="&amp;$A222,monthly!$B:$B,"&lt;="&amp;$B222))</f>
        <v>0.14502629389365515</v>
      </c>
    </row>
    <row r="223" spans="1:34" x14ac:dyDescent="0.2">
      <c r="A223" s="1">
        <v>45748</v>
      </c>
      <c r="B223" s="1">
        <v>45838</v>
      </c>
      <c r="C223">
        <f>IF(ISBLANK(VLOOKUP($A223,quarterly_data,MATCH(C$1,quarterly!$1:$1,FALSE),FALSE)),"NA",VLOOKUP($A223,quarterly_data,MATCH(C$1,quarterly!$1:$1,FALSE),FALSE))</f>
        <v>139.44593590258978</v>
      </c>
      <c r="D223">
        <f>IF(ISBLANK(VLOOKUP($A223,quarterly_data,MATCH(D$1,quarterly!$1:$1,FALSE),FALSE)),"NA",VLOOKUP($A223,quarterly_data,MATCH(D$1,quarterly!$1:$1,FALSE),FALSE))</f>
        <v>95.3</v>
      </c>
      <c r="E223">
        <f>IF(ISBLANK(VLOOKUP($A223,quarterly_data,MATCH(E$1,quarterly!$1:$1,FALSE),FALSE)),"NA",VLOOKUP($A223,quarterly_data,MATCH(E$1,quarterly!$1:$1,FALSE),FALSE))</f>
        <v>7.5511599999999998E-2</v>
      </c>
      <c r="F223">
        <f>IF(ISBLANK(VLOOKUP($A223,quarterly_data,MATCH(F$1,quarterly!$1:$1,FALSE),FALSE)),"NA",VLOOKUP($A223,quarterly_data,MATCH(F$1,quarterly!$1:$1,FALSE),FALSE))</f>
        <v>2.4536200000000001E-2</v>
      </c>
      <c r="G223">
        <f>IF(ISBLANK(VLOOKUP($A223,quarterly_data,MATCH(G$1,quarterly!$1:$1,FALSE),FALSE)),"NA",VLOOKUP($A223,quarterly_data,MATCH(G$1,quarterly!$1:$1,FALSE),FALSE))</f>
        <v>23770.975999999999</v>
      </c>
      <c r="H223">
        <f>IF(ISBLANK(VLOOKUP($A223,quarterly_data,MATCH(H$1,quarterly!$1:$1,FALSE),FALSE)),"NA",VLOOKUP($A223,quarterly_data,MATCH(H$1,quarterly!$1:$1,FALSE),FALSE))</f>
        <v>684822</v>
      </c>
      <c r="I223">
        <f>IF(ISBLANK(VLOOKUP($A223,quarterly_data,MATCH(I$1,quarterly!$1:$1,FALSE),FALSE)),"NA",VLOOKUP($A223,quarterly_data,MATCH(I$1,quarterly!$1:$1,FALSE),FALSE))</f>
        <v>0.6</v>
      </c>
      <c r="J223">
        <f>IF(ISBLANK(VLOOKUP($A223,quarterly_data,MATCH(J$1,quarterly!$1:$1,FALSE),FALSE)),"NA",VLOOKUP($A223,quarterly_data,MATCH(J$1,quarterly!$1:$1,FALSE),FALSE))</f>
        <v>98.43</v>
      </c>
      <c r="K223">
        <f>IF(COUNTIFS(monthly!C:C,"",monthly!$A:$A,"&gt;="&amp;$A223,monthly!$B:$B,"&lt;="&amp;$B223)&gt;0,"NA",AVERAGEIFS(monthly!C:C,monthly!$A:$A,"&gt;="&amp;$A223,monthly!$B:$B,"&lt;="&amp;$B223))</f>
        <v>59.866666666666667</v>
      </c>
      <c r="L223">
        <f>IF(COUNTIFS(monthly!D:D,"",monthly!$A:$A,"&gt;="&amp;$A223,monthly!$B:$B,"&lt;="&amp;$B223)&gt;0,"NA",AVERAGEIFS(monthly!D:D,monthly!$A:$A,"&gt;="&amp;$A223,monthly!$B:$B,"&lt;="&amp;$B223))</f>
        <v>0.64673333333333327</v>
      </c>
      <c r="M223">
        <f>IF(COUNTIFS(monthly!E:E,"",monthly!$A:$A,"&gt;="&amp;$A223,monthly!$B:$B,"&lt;="&amp;$B223)&gt;0,"NA",AVERAGEIFS(monthly!E:E,monthly!$A:$A,"&gt;="&amp;$A223,monthly!$B:$B,"&lt;="&amp;$B223))</f>
        <v>95.152960680494289</v>
      </c>
      <c r="N223">
        <f>IF(COUNTIFS(monthly!F:F,"",monthly!$A:$A,"&gt;="&amp;$A223,monthly!$B:$B,"&lt;="&amp;$B223)&gt;0,"NA",AVERAGEIFS(monthly!F:F,monthly!$A:$A,"&gt;="&amp;$A223,monthly!$B:$B,"&lt;="&amp;$B223))</f>
        <v>95.539510896523311</v>
      </c>
      <c r="O223">
        <f>IF(COUNTIFS(monthly!G:G,"",monthly!$A:$A,"&gt;="&amp;$A223,monthly!$B:$B,"&lt;="&amp;$B223)&gt;0,"NA",AVERAGEIFS(monthly!G:G,monthly!$A:$A,"&gt;="&amp;$A223,monthly!$B:$B,"&lt;="&amp;$B223))</f>
        <v>95.5</v>
      </c>
      <c r="P223">
        <f>IF(COUNTIFS(monthly!H:H,"",monthly!$A:$A,"&gt;="&amp;$A223,monthly!$B:$B,"&lt;="&amp;$B223)&gt;0,"NA",AVERAGEIFS(monthly!H:H,monthly!$A:$A,"&gt;="&amp;$A223,monthly!$B:$B,"&lt;="&amp;$B223))</f>
        <v>104</v>
      </c>
      <c r="Q223">
        <f>IF(COUNTIFS(monthly!I:I,"",monthly!$A:$A,"&gt;="&amp;$A223,monthly!$B:$B,"&lt;="&amp;$B223)&gt;0,"NA",AVERAGEIFS(monthly!I:I,monthly!$A:$A,"&gt;="&amp;$A223,monthly!$B:$B,"&lt;="&amp;$B223))</f>
        <v>67.8</v>
      </c>
      <c r="R223">
        <f>IF(COUNTIFS(monthly!J:J,"",monthly!$A:$A,"&gt;="&amp;$A223,monthly!$B:$B,"&lt;="&amp;$B223)&gt;0,"NA",AVERAGEIFS(monthly!J:J,monthly!$A:$A,"&gt;="&amp;$A223,monthly!$B:$B,"&lt;="&amp;$B223))</f>
        <v>12.39</v>
      </c>
      <c r="S223">
        <f>IF(COUNTIFS(monthly!K:K,"",monthly!$A:$A,"&gt;="&amp;$A223,monthly!$B:$B,"&lt;="&amp;$B223)&gt;0,"NA",AVERAGEIFS(monthly!K:K,monthly!$A:$A,"&gt;="&amp;$A223,monthly!$B:$B,"&lt;="&amp;$B223))</f>
        <v>3.9766666666666666</v>
      </c>
      <c r="T223">
        <f>IF(COUNTIFS(monthly!L:L,"",monthly!$A:$A,"&gt;="&amp;$A223,monthly!$B:$B,"&lt;="&amp;$B223)&gt;0,"NA",AVERAGEIFS(monthly!L:L,monthly!$A:$A,"&gt;="&amp;$A223,monthly!$B:$B,"&lt;="&amp;$B223))</f>
        <v>4.3299999999999992</v>
      </c>
      <c r="U223">
        <f>IF(COUNTIFS(monthly!M:M,"",monthly!$A:$A,"&gt;="&amp;$A223,monthly!$B:$B,"&lt;="&amp;$B223)&gt;0,"NA",AVERAGEIFS(monthly!M:M,monthly!$A:$A,"&gt;="&amp;$A223,monthly!$B:$B,"&lt;="&amp;$B223))</f>
        <v>-0.35333333333333289</v>
      </c>
      <c r="V223">
        <f>IF(COUNTIFS(monthly!N:N,"",monthly!$A:$A,"&gt;="&amp;$A223,monthly!$B:$B,"&lt;="&amp;$B223)&gt;0,"NA",AVERAGEIFS(monthly!N:N,monthly!$A:$A,"&gt;="&amp;$A223,monthly!$B:$B,"&lt;="&amp;$B223))</f>
        <v>3.3376666666666672</v>
      </c>
      <c r="W223">
        <f>IF(COUNTIFS(monthly!O:O,"",monthly!$A:$A,"&gt;="&amp;$A223,monthly!$B:$B,"&lt;="&amp;$B223)&gt;0,"NA",AVERAGEIFS(monthly!O:O,monthly!$A:$A,"&gt;="&amp;$A223,monthly!$B:$B,"&lt;="&amp;$B223))</f>
        <v>3.8622063492063492</v>
      </c>
      <c r="X223">
        <f>IF(COUNTIFS(monthly!P:P,"",monthly!$A:$A,"&gt;="&amp;$A223,monthly!$B:$B,"&lt;="&amp;$B223)&gt;0,"NA",AVERAGEIFS(monthly!P:P,monthly!$A:$A,"&gt;="&amp;$A223,monthly!$B:$B,"&lt;="&amp;$B223))</f>
        <v>-0.52453968253968231</v>
      </c>
      <c r="Y223">
        <f>IF(COUNTIFS(monthly!Q:Q,"",monthly!$A:$A,"&gt;="&amp;$A223,monthly!$B:$B,"&lt;="&amp;$B223)&gt;0,"NA",AVERAGEIFS(monthly!Q:Q,monthly!$A:$A,"&gt;="&amp;$A223,monthly!$B:$B,"&lt;="&amp;$B223))</f>
        <v>4.2750000000000004</v>
      </c>
      <c r="Z223">
        <f>IF(COUNTIFS(monthly!R:R,"",monthly!$A:$A,"&gt;="&amp;$A223,monthly!$B:$B,"&lt;="&amp;$B223)&gt;0,"NA",AVERAGEIFS(monthly!R:R,monthly!$A:$A,"&gt;="&amp;$A223,monthly!$B:$B,"&lt;="&amp;$B223))</f>
        <v>4.3621190476190481</v>
      </c>
      <c r="AA223">
        <f>IF(COUNTIFS(monthly!S:S,"",monthly!$A:$A,"&gt;="&amp;$A223,monthly!$B:$B,"&lt;="&amp;$B223)&gt;0,"NA",AVERAGEIFS(monthly!S:S,monthly!$A:$A,"&gt;="&amp;$A223,monthly!$B:$B,"&lt;="&amp;$B223))</f>
        <v>-8.7119047619048054E-2</v>
      </c>
      <c r="AB223">
        <f>IF(COUNTIFS(monthly!T:T,"",monthly!$A:$A,"&gt;="&amp;$A223,monthly!$B:$B,"&lt;="&amp;$B223)&gt;0,"NA",AVERAGEIFS(monthly!T:T,monthly!$A:$A,"&gt;="&amp;$A223,monthly!$B:$B,"&lt;="&amp;$B223))</f>
        <v>23.610598845598847</v>
      </c>
      <c r="AC223">
        <f>IF(COUNTIFS(monthly!U:U,"",monthly!$A:$A,"&gt;="&amp;$A223,monthly!$B:$B,"&lt;="&amp;$B223)&gt;0,"NA",AVERAGEIFS(monthly!U:U,monthly!$A:$A,"&gt;="&amp;$A223,monthly!$B:$B,"&lt;="&amp;$B223))</f>
        <v>497.22608974113473</v>
      </c>
      <c r="AD223">
        <f>IF(COUNTIFS(monthly!V:V,"",monthly!$A:$A,"&gt;="&amp;$A223,monthly!$B:$B,"&lt;="&amp;$B223)&gt;0,"NA",AVERAGEIFS(monthly!V:V,monthly!$A:$A,"&gt;="&amp;$A223,monthly!$B:$B,"&lt;="&amp;$B223))</f>
        <v>454.16066491730197</v>
      </c>
      <c r="AE223">
        <f>IF(COUNTIFS(monthly!W:W,"",monthly!$A:$A,"&gt;="&amp;$A223,monthly!$B:$B,"&lt;="&amp;$B223)&gt;0,"NA",AVERAGEIFS(monthly!W:W,monthly!$A:$A,"&gt;="&amp;$A223,monthly!$B:$B,"&lt;="&amp;$B223))</f>
        <v>177.06434631347656</v>
      </c>
      <c r="AF223">
        <f>IF(COUNTIFS(monthly!X:X,"",monthly!$A:$A,"&gt;="&amp;$A223,monthly!$B:$B,"&lt;="&amp;$B223)&gt;0,"NA",AVERAGEIFS(monthly!X:X,monthly!$A:$A,"&gt;="&amp;$A223,monthly!$B:$B,"&lt;="&amp;$B223))</f>
        <v>217.86195882161459</v>
      </c>
      <c r="AG223">
        <f>IF(COUNTIFS(monthly!Y:Y,"",monthly!$A:$A,"&gt;="&amp;$A223,monthly!$B:$B,"&lt;="&amp;$B223)&gt;0,"NA",AVERAGEIFS(monthly!Y:Y,monthly!$A:$A,"&gt;="&amp;$A223,monthly!$B:$B,"&lt;="&amp;$B223))</f>
        <v>155.13958231608072</v>
      </c>
      <c r="AH223">
        <f>IF(COUNTIFS(monthly!Z:Z,"",monthly!$A:$A,"&gt;="&amp;$A223,monthly!$B:$B,"&lt;="&amp;$B223)&gt;0,"NA",AVERAGEIFS(monthly!Z:Z,monthly!$A:$A,"&gt;="&amp;$A223,monthly!$B:$B,"&lt;="&amp;$B223))</f>
        <v>0.19424504041671753</v>
      </c>
    </row>
    <row r="224" spans="1:34" x14ac:dyDescent="0.2">
      <c r="A224" s="1">
        <v>45839</v>
      </c>
      <c r="B224" s="1">
        <v>45930</v>
      </c>
      <c r="C224">
        <f>IF(ISBLANK(VLOOKUP($A224,quarterly_data,MATCH(C$1,quarterly!$1:$1,FALSE),FALSE)),"NA",VLOOKUP($A224,quarterly_data,MATCH(C$1,quarterly!$1:$1,FALSE),FALSE))</f>
        <v>142.32831713496219</v>
      </c>
      <c r="D224">
        <f>IF(ISBLANK(VLOOKUP($A224,quarterly_data,MATCH(D$1,quarterly!$1:$1,FALSE),FALSE)),"NA",VLOOKUP($A224,quarterly_data,MATCH(D$1,quarterly!$1:$1,FALSE),FALSE))</f>
        <v>95.2</v>
      </c>
      <c r="E224">
        <f>IF(ISBLANK(VLOOKUP($A224,quarterly_data,MATCH(E$1,quarterly!$1:$1,FALSE),FALSE)),"NA",VLOOKUP($A224,quarterly_data,MATCH(E$1,quarterly!$1:$1,FALSE),FALSE))</f>
        <v>0.17130619999999999</v>
      </c>
      <c r="F224">
        <f>IF(ISBLANK(VLOOKUP($A224,quarterly_data,MATCH(F$1,quarterly!$1:$1,FALSE),FALSE)),"NA",VLOOKUP($A224,quarterly_data,MATCH(F$1,quarterly!$1:$1,FALSE),FALSE))</f>
        <v>4.4157700000000001E-2</v>
      </c>
      <c r="G224">
        <f>IF(ISBLANK(VLOOKUP($A224,quarterly_data,MATCH(G$1,quarterly!$1:$1,FALSE),FALSE)),"NA",VLOOKUP($A224,quarterly_data,MATCH(G$1,quarterly!$1:$1,FALSE),FALSE))</f>
        <v>24026.833999999999</v>
      </c>
      <c r="H224">
        <f>IF(ISBLANK(VLOOKUP($A224,quarterly_data,MATCH(H$1,quarterly!$1:$1,FALSE),FALSE)),"NA",VLOOKUP($A224,quarterly_data,MATCH(H$1,quarterly!$1:$1,FALSE),FALSE))</f>
        <v>688271</v>
      </c>
      <c r="I224">
        <f>IF(ISBLANK(VLOOKUP($A224,quarterly_data,MATCH(I$1,quarterly!$1:$1,FALSE),FALSE)),"NA",VLOOKUP($A224,quarterly_data,MATCH(I$1,quarterly!$1:$1,FALSE),FALSE))</f>
        <v>1</v>
      </c>
      <c r="J224">
        <f>IF(ISBLANK(VLOOKUP($A224,quarterly_data,MATCH(J$1,quarterly!$1:$1,FALSE),FALSE)),"NA",VLOOKUP($A224,quarterly_data,MATCH(J$1,quarterly!$1:$1,FALSE),FALSE))</f>
        <v>99.73</v>
      </c>
      <c r="K224">
        <f>IF(COUNTIFS(monthly!C:C,"",monthly!$A:$A,"&gt;="&amp;$A224,monthly!$B:$B,"&lt;="&amp;$B224)&gt;0,"NA",AVERAGEIFS(monthly!C:C,monthly!$A:$A,"&gt;="&amp;$A224,monthly!$B:$B,"&lt;="&amp;$B224))</f>
        <v>60.699999999999996</v>
      </c>
      <c r="L224">
        <f>IF(COUNTIFS(monthly!D:D,"",monthly!$A:$A,"&gt;="&amp;$A224,monthly!$B:$B,"&lt;="&amp;$B224)&gt;0,"NA",AVERAGEIFS(monthly!D:D,monthly!$A:$A,"&gt;="&amp;$A224,monthly!$B:$B,"&lt;="&amp;$B224))</f>
        <v>0.6536333333333334</v>
      </c>
      <c r="M224">
        <f>IF(COUNTIFS(monthly!E:E,"",monthly!$A:$A,"&gt;="&amp;$A224,monthly!$B:$B,"&lt;="&amp;$B224)&gt;0,"NA",AVERAGEIFS(monthly!E:E,monthly!$A:$A,"&gt;="&amp;$A224,monthly!$B:$B,"&lt;="&amp;$B224))</f>
        <v>96.730470472684203</v>
      </c>
      <c r="N224">
        <f>IF(COUNTIFS(monthly!F:F,"",monthly!$A:$A,"&gt;="&amp;$A224,monthly!$B:$B,"&lt;="&amp;$B224)&gt;0,"NA",AVERAGEIFS(monthly!F:F,monthly!$A:$A,"&gt;="&amp;$A224,monthly!$B:$B,"&lt;="&amp;$B224))</f>
        <v>97.944000853455677</v>
      </c>
      <c r="O224">
        <f>IF(COUNTIFS(monthly!G:G,"",monthly!$A:$A,"&gt;="&amp;$A224,monthly!$B:$B,"&lt;="&amp;$B224)&gt;0,"NA",AVERAGEIFS(monthly!G:G,monthly!$A:$A,"&gt;="&amp;$A224,monthly!$B:$B,"&lt;="&amp;$B224))</f>
        <v>100.10000000000001</v>
      </c>
      <c r="P224">
        <f>IF(COUNTIFS(monthly!H:H,"",monthly!$A:$A,"&gt;="&amp;$A224,monthly!$B:$B,"&lt;="&amp;$B224)&gt;0,"NA",AVERAGEIFS(monthly!H:H,monthly!$A:$A,"&gt;="&amp;$A224,monthly!$B:$B,"&lt;="&amp;$B224))</f>
        <v>110.46666666666668</v>
      </c>
      <c r="Q224">
        <f>IF(COUNTIFS(monthly!I:I,"",monthly!$A:$A,"&gt;="&amp;$A224,monthly!$B:$B,"&lt;="&amp;$B224)&gt;0,"NA",AVERAGEIFS(monthly!I:I,monthly!$A:$A,"&gt;="&amp;$A224,monthly!$B:$B,"&lt;="&amp;$B224))</f>
        <v>69.066666666666663</v>
      </c>
      <c r="R224">
        <f>IF(COUNTIFS(monthly!J:J,"",monthly!$A:$A,"&gt;="&amp;$A224,monthly!$B:$B,"&lt;="&amp;$B224)&gt;0,"NA",AVERAGEIFS(monthly!J:J,monthly!$A:$A,"&gt;="&amp;$A224,monthly!$B:$B,"&lt;="&amp;$B224))</f>
        <v>11.723333333333334</v>
      </c>
      <c r="S224">
        <f>IF(COUNTIFS(monthly!K:K,"",monthly!$A:$A,"&gt;="&amp;$A224,monthly!$B:$B,"&lt;="&amp;$B224)&gt;0,"NA",AVERAGEIFS(monthly!K:K,monthly!$A:$A,"&gt;="&amp;$A224,monthly!$B:$B,"&lt;="&amp;$B224))</f>
        <v>3.7099999999999995</v>
      </c>
      <c r="T224">
        <f>IF(COUNTIFS(monthly!L:L,"",monthly!$A:$A,"&gt;="&amp;$A224,monthly!$B:$B,"&lt;="&amp;$B224)&gt;0,"NA",AVERAGEIFS(monthly!L:L,monthly!$A:$A,"&gt;="&amp;$A224,monthly!$B:$B,"&lt;="&amp;$B224))</f>
        <v>4.294888888888889</v>
      </c>
      <c r="U224">
        <f>IF(COUNTIFS(monthly!M:M,"",monthly!$A:$A,"&gt;="&amp;$A224,monthly!$B:$B,"&lt;="&amp;$B224)&gt;0,"NA",AVERAGEIFS(monthly!M:M,monthly!$A:$A,"&gt;="&amp;$A224,monthly!$B:$B,"&lt;="&amp;$B224))</f>
        <v>-0.58488888888888901</v>
      </c>
      <c r="V224">
        <f>IF(COUNTIFS(monthly!N:N,"",monthly!$A:$A,"&gt;="&amp;$A224,monthly!$B:$B,"&lt;="&amp;$B224)&gt;0,"NA",AVERAGEIFS(monthly!N:N,monthly!$A:$A,"&gt;="&amp;$A224,monthly!$B:$B,"&lt;="&amp;$B224))</f>
        <v>3.3559999999999999</v>
      </c>
      <c r="W224">
        <f>IF(COUNTIFS(monthly!O:O,"",monthly!$A:$A,"&gt;="&amp;$A224,monthly!$B:$B,"&lt;="&amp;$B224)&gt;0,"NA",AVERAGEIFS(monthly!O:O,monthly!$A:$A,"&gt;="&amp;$A224,monthly!$B:$B,"&lt;="&amp;$B224))</f>
        <v>3.7182178932178931</v>
      </c>
      <c r="X224">
        <f>IF(COUNTIFS(monthly!P:P,"",monthly!$A:$A,"&gt;="&amp;$A224,monthly!$B:$B,"&lt;="&amp;$B224)&gt;0,"NA",AVERAGEIFS(monthly!P:P,monthly!$A:$A,"&gt;="&amp;$A224,monthly!$B:$B,"&lt;="&amp;$B224))</f>
        <v>-0.36221789321789322</v>
      </c>
      <c r="Y224">
        <f>IF(COUNTIFS(monthly!Q:Q,"",monthly!$A:$A,"&gt;="&amp;$A224,monthly!$B:$B,"&lt;="&amp;$B224)&gt;0,"NA",AVERAGEIFS(monthly!Q:Q,monthly!$A:$A,"&gt;="&amp;$A224,monthly!$B:$B,"&lt;="&amp;$B224))</f>
        <v>4.2880000000000003</v>
      </c>
      <c r="Z224">
        <f>IF(COUNTIFS(monthly!R:R,"",monthly!$A:$A,"&gt;="&amp;$A224,monthly!$B:$B,"&lt;="&amp;$B224)&gt;0,"NA",AVERAGEIFS(monthly!R:R,monthly!$A:$A,"&gt;="&amp;$A224,monthly!$B:$B,"&lt;="&amp;$B224))</f>
        <v>4.2590187590187591</v>
      </c>
      <c r="AA224">
        <f>IF(COUNTIFS(monthly!S:S,"",monthly!$A:$A,"&gt;="&amp;$A224,monthly!$B:$B,"&lt;="&amp;$B224)&gt;0,"NA",AVERAGEIFS(monthly!S:S,monthly!$A:$A,"&gt;="&amp;$A224,monthly!$B:$B,"&lt;="&amp;$B224))</f>
        <v>2.8981240981241402E-2</v>
      </c>
      <c r="AB224">
        <f>IF(COUNTIFS(monthly!T:T,"",monthly!$A:$A,"&gt;="&amp;$A224,monthly!$B:$B,"&lt;="&amp;$B224)&gt;0,"NA",AVERAGEIFS(monthly!T:T,monthly!$A:$A,"&gt;="&amp;$A224,monthly!$B:$B,"&lt;="&amp;$B224))</f>
        <v>15.973465085638999</v>
      </c>
      <c r="AC224">
        <f>IF(COUNTIFS(monthly!U:U,"",monthly!$A:$A,"&gt;="&amp;$A224,monthly!$B:$B,"&lt;="&amp;$B224)&gt;0,"NA",AVERAGEIFS(monthly!U:U,monthly!$A:$A,"&gt;="&amp;$A224,monthly!$B:$B,"&lt;="&amp;$B224))</f>
        <v>348.33866558764913</v>
      </c>
      <c r="AD224">
        <f>IF(COUNTIFS(monthly!V:V,"",monthly!$A:$A,"&gt;="&amp;$A224,monthly!$B:$B,"&lt;="&amp;$B224)&gt;0,"NA",AVERAGEIFS(monthly!V:V,monthly!$A:$A,"&gt;="&amp;$A224,monthly!$B:$B,"&lt;="&amp;$B224))</f>
        <v>192.45548763608278</v>
      </c>
      <c r="AE224">
        <f>IF(COUNTIFS(monthly!W:W,"",monthly!$A:$A,"&gt;="&amp;$A224,monthly!$B:$B,"&lt;="&amp;$B224)&gt;0,"NA",AVERAGEIFS(monthly!W:W,monthly!$A:$A,"&gt;="&amp;$A224,monthly!$B:$B,"&lt;="&amp;$B224))</f>
        <v>133.16623433430991</v>
      </c>
      <c r="AF224">
        <f>IF(COUNTIFS(monthly!X:X,"",monthly!$A:$A,"&gt;="&amp;$A224,monthly!$B:$B,"&lt;="&amp;$B224)&gt;0,"NA",AVERAGEIFS(monthly!X:X,monthly!$A:$A,"&gt;="&amp;$A224,monthly!$B:$B,"&lt;="&amp;$B224))</f>
        <v>153.00627644856772</v>
      </c>
      <c r="AG224">
        <f>IF(COUNTIFS(monthly!Y:Y,"",monthly!$A:$A,"&gt;="&amp;$A224,monthly!$B:$B,"&lt;="&amp;$B224)&gt;0,"NA",AVERAGEIFS(monthly!Y:Y,monthly!$A:$A,"&gt;="&amp;$A224,monthly!$B:$B,"&lt;="&amp;$B224))</f>
        <v>118.75629170735677</v>
      </c>
      <c r="AH224">
        <f>IF(COUNTIFS(monthly!Z:Z,"",monthly!$A:$A,"&gt;="&amp;$A224,monthly!$B:$B,"&lt;="&amp;$B224)&gt;0,"NA",AVERAGEIFS(monthly!Z:Z,monthly!$A:$A,"&gt;="&amp;$A224,monthly!$B:$B,"&lt;="&amp;$B224))</f>
        <v>0.1976186583439509</v>
      </c>
    </row>
    <row r="225" spans="1:34" x14ac:dyDescent="0.2">
      <c r="A225" s="1">
        <v>45931</v>
      </c>
      <c r="B225" s="1">
        <v>46022</v>
      </c>
      <c r="C225">
        <f>IF(ISBLANK(VLOOKUP($A225,quarterly_data,MATCH(C$1,quarterly!$1:$1,FALSE),FALSE)),"NA",VLOOKUP($A225,quarterly_data,MATCH(C$1,quarterly!$1:$1,FALSE),FALSE))</f>
        <v>144.78391947498289</v>
      </c>
      <c r="D225">
        <f>IF(ISBLANK(VLOOKUP($A225,quarterly_data,MATCH(D$1,quarterly!$1:$1,FALSE),FALSE)),"NA",VLOOKUP($A225,quarterly_data,MATCH(D$1,quarterly!$1:$1,FALSE),FALSE))</f>
        <v>95.3</v>
      </c>
      <c r="E225">
        <f>IF(ISBLANK(VLOOKUP($A225,quarterly_data,MATCH(E$1,quarterly!$1:$1,FALSE),FALSE)),"NA",VLOOKUP($A225,quarterly_data,MATCH(E$1,quarterly!$1:$1,FALSE),FALSE))</f>
        <v>0.1831837</v>
      </c>
      <c r="F225">
        <f>IF(ISBLANK(VLOOKUP($A225,quarterly_data,MATCH(F$1,quarterly!$1:$1,FALSE),FALSE)),"NA",VLOOKUP($A225,quarterly_data,MATCH(F$1,quarterly!$1:$1,FALSE),FALSE))</f>
        <v>5.6284399999999998E-2</v>
      </c>
      <c r="G225">
        <f>IF(ISBLANK(VLOOKUP($A225,quarterly_data,MATCH(G$1,quarterly!$1:$1,FALSE),FALSE)),"NA",VLOOKUP($A225,quarterly_data,MATCH(G$1,quarterly!$1:$1,FALSE),FALSE))</f>
        <v>24055.749</v>
      </c>
      <c r="H225">
        <f>IF(ISBLANK(VLOOKUP($A225,quarterly_data,MATCH(H$1,quarterly!$1:$1,FALSE),FALSE)),"NA",VLOOKUP($A225,quarterly_data,MATCH(H$1,quarterly!$1:$1,FALSE),FALSE))</f>
        <v>694551</v>
      </c>
      <c r="I225">
        <f>IF(ISBLANK(VLOOKUP($A225,quarterly_data,MATCH(I$1,quarterly!$1:$1,FALSE),FALSE)),"NA",VLOOKUP($A225,quarterly_data,MATCH(I$1,quarterly!$1:$1,FALSE),FALSE))</f>
        <v>0.9</v>
      </c>
      <c r="J225">
        <f>IF(ISBLANK(VLOOKUP($A225,quarterly_data,MATCH(J$1,quarterly!$1:$1,FALSE),FALSE)),"NA",VLOOKUP($A225,quarterly_data,MATCH(J$1,quarterly!$1:$1,FALSE),FALSE))</f>
        <v>100.32</v>
      </c>
      <c r="K225">
        <f>IF(COUNTIFS(monthly!C:C,"",monthly!$A:$A,"&gt;="&amp;$A225,monthly!$B:$B,"&lt;="&amp;$B225)&gt;0,"NA",AVERAGEIFS(monthly!C:C,monthly!$A:$A,"&gt;="&amp;$A225,monthly!$B:$B,"&lt;="&amp;$B225))</f>
        <v>61.533333333333339</v>
      </c>
      <c r="L225">
        <f>IF(COUNTIFS(monthly!D:D,"",monthly!$A:$A,"&gt;="&amp;$A225,monthly!$B:$B,"&lt;="&amp;$B225)&gt;0,"NA",AVERAGEIFS(monthly!D:D,monthly!$A:$A,"&gt;="&amp;$A225,monthly!$B:$B,"&lt;="&amp;$B225))</f>
        <v>0.65923333333333334</v>
      </c>
      <c r="M225">
        <f>IF(COUNTIFS(monthly!E:E,"",monthly!$A:$A,"&gt;="&amp;$A225,monthly!$B:$B,"&lt;="&amp;$B225)&gt;0,"NA",AVERAGEIFS(monthly!E:E,monthly!$A:$A,"&gt;="&amp;$A225,monthly!$B:$B,"&lt;="&amp;$B225))</f>
        <v>102.07928088714732</v>
      </c>
      <c r="N225">
        <f>IF(COUNTIFS(monthly!F:F,"",monthly!$A:$A,"&gt;="&amp;$A225,monthly!$B:$B,"&lt;="&amp;$B225)&gt;0,"NA",AVERAGEIFS(monthly!F:F,monthly!$A:$A,"&gt;="&amp;$A225,monthly!$B:$B,"&lt;="&amp;$B225))</f>
        <v>102.993142592773</v>
      </c>
      <c r="O225">
        <f>IF(COUNTIFS(monthly!G:G,"",monthly!$A:$A,"&gt;="&amp;$A225,monthly!$B:$B,"&lt;="&amp;$B225)&gt;0,"NA",AVERAGEIFS(monthly!G:G,monthly!$A:$A,"&gt;="&amp;$A225,monthly!$B:$B,"&lt;="&amp;$B225))</f>
        <v>103.53333333333335</v>
      </c>
      <c r="P225">
        <f>IF(COUNTIFS(monthly!H:H,"",monthly!$A:$A,"&gt;="&amp;$A225,monthly!$B:$B,"&lt;="&amp;$B225)&gt;0,"NA",AVERAGEIFS(monthly!H:H,monthly!$A:$A,"&gt;="&amp;$A225,monthly!$B:$B,"&lt;="&amp;$B225))</f>
        <v>109.26666666666667</v>
      </c>
      <c r="Q225">
        <f>IF(COUNTIFS(monthly!I:I,"",monthly!$A:$A,"&gt;="&amp;$A225,monthly!$B:$B,"&lt;="&amp;$B225)&gt;0,"NA",AVERAGEIFS(monthly!I:I,monthly!$A:$A,"&gt;="&amp;$A225,monthly!$B:$B,"&lt;="&amp;$B225))</f>
        <v>63.666666666666664</v>
      </c>
      <c r="R225">
        <f>IF(COUNTIFS(monthly!J:J,"",monthly!$A:$A,"&gt;="&amp;$A225,monthly!$B:$B,"&lt;="&amp;$B225)&gt;0,"NA",AVERAGEIFS(monthly!J:J,monthly!$A:$A,"&gt;="&amp;$A225,monthly!$B:$B,"&lt;="&amp;$B225))</f>
        <v>11.19</v>
      </c>
      <c r="S225">
        <f>IF(COUNTIFS(monthly!K:K,"",monthly!$A:$A,"&gt;="&amp;$A225,monthly!$B:$B,"&lt;="&amp;$B225)&gt;0,"NA",AVERAGEIFS(monthly!K:K,monthly!$A:$A,"&gt;="&amp;$A225,monthly!$B:$B,"&lt;="&amp;$B225))</f>
        <v>3.6</v>
      </c>
      <c r="T225">
        <f>IF(COUNTIFS(monthly!L:L,"",monthly!$A:$A,"&gt;="&amp;$A225,monthly!$B:$B,"&lt;="&amp;$B225)&gt;0,"NA",AVERAGEIFS(monthly!L:L,monthly!$A:$A,"&gt;="&amp;$A225,monthly!$B:$B,"&lt;="&amp;$B225))</f>
        <v>3.8950143369175625</v>
      </c>
      <c r="U225">
        <f>IF(COUNTIFS(monthly!M:M,"",monthly!$A:$A,"&gt;="&amp;$A225,monthly!$B:$B,"&lt;="&amp;$B225)&gt;0,"NA",AVERAGEIFS(monthly!M:M,monthly!$A:$A,"&gt;="&amp;$A225,monthly!$B:$B,"&lt;="&amp;$B225))</f>
        <v>-0.29501433691756257</v>
      </c>
      <c r="V225">
        <f>IF(COUNTIFS(monthly!N:N,"",monthly!$A:$A,"&gt;="&amp;$A225,monthly!$B:$B,"&lt;="&amp;$B225)&gt;0,"NA",AVERAGEIFS(monthly!N:N,monthly!$A:$A,"&gt;="&amp;$A225,monthly!$B:$B,"&lt;="&amp;$B225))</f>
        <v>3.7046666666666668</v>
      </c>
      <c r="W225">
        <f>IF(COUNTIFS(monthly!O:O,"",monthly!$A:$A,"&gt;="&amp;$A225,monthly!$B:$B,"&lt;="&amp;$B225)&gt;0,"NA",AVERAGEIFS(monthly!O:O,monthly!$A:$A,"&gt;="&amp;$A225,monthly!$B:$B,"&lt;="&amp;$B225))</f>
        <v>3.5240909090909085</v>
      </c>
      <c r="X225">
        <f>IF(COUNTIFS(monthly!P:P,"",monthly!$A:$A,"&gt;="&amp;$A225,monthly!$B:$B,"&lt;="&amp;$B225)&gt;0,"NA",AVERAGEIFS(monthly!P:P,monthly!$A:$A,"&gt;="&amp;$A225,monthly!$B:$B,"&lt;="&amp;$B225))</f>
        <v>0.18057575757575797</v>
      </c>
      <c r="Y225">
        <f>IF(COUNTIFS(monthly!Q:Q,"",monthly!$A:$A,"&gt;="&amp;$A225,monthly!$B:$B,"&lt;="&amp;$B225)&gt;0,"NA",AVERAGEIFS(monthly!Q:Q,monthly!$A:$A,"&gt;="&amp;$A225,monthly!$B:$B,"&lt;="&amp;$B225))</f>
        <v>4.4563333333333333</v>
      </c>
      <c r="Z225">
        <f>IF(COUNTIFS(monthly!R:R,"",monthly!$A:$A,"&gt;="&amp;$A225,monthly!$B:$B,"&lt;="&amp;$B225)&gt;0,"NA",AVERAGEIFS(monthly!R:R,monthly!$A:$A,"&gt;="&amp;$A225,monthly!$B:$B,"&lt;="&amp;$B225))</f>
        <v>4.0996296296296295</v>
      </c>
      <c r="AA225">
        <f>IF(COUNTIFS(monthly!S:S,"",monthly!$A:$A,"&gt;="&amp;$A225,monthly!$B:$B,"&lt;="&amp;$B225)&gt;0,"NA",AVERAGEIFS(monthly!S:S,monthly!$A:$A,"&gt;="&amp;$A225,monthly!$B:$B,"&lt;="&amp;$B225))</f>
        <v>0.35670370370370402</v>
      </c>
      <c r="AB225">
        <f>IF(COUNTIFS(monthly!T:T,"",monthly!$A:$A,"&gt;="&amp;$A225,monthly!$B:$B,"&lt;="&amp;$B225)&gt;0,"NA",AVERAGEIFS(monthly!T:T,monthly!$A:$A,"&gt;="&amp;$A225,monthly!$B:$B,"&lt;="&amp;$B225))</f>
        <v>17.801401185770754</v>
      </c>
      <c r="AC225">
        <f>IF(COUNTIFS(monthly!U:U,"",monthly!$A:$A,"&gt;="&amp;$A225,monthly!$B:$B,"&lt;="&amp;$B225)&gt;0,"NA",AVERAGEIFS(monthly!U:U,monthly!$A:$A,"&gt;="&amp;$A225,monthly!$B:$B,"&lt;="&amp;$B225))</f>
        <v>364.99996319034381</v>
      </c>
      <c r="AD225">
        <f>IF(COUNTIFS(monthly!V:V,"",monthly!$A:$A,"&gt;="&amp;$A225,monthly!$B:$B,"&lt;="&amp;$B225)&gt;0,"NA",AVERAGEIFS(monthly!V:V,monthly!$A:$A,"&gt;="&amp;$A225,monthly!$B:$B,"&lt;="&amp;$B225))</f>
        <v>163.83956659616499</v>
      </c>
      <c r="AE225">
        <f>IF(COUNTIFS(monthly!W:W,"",monthly!$A:$A,"&gt;="&amp;$A225,monthly!$B:$B,"&lt;="&amp;$B225)&gt;0,"NA",AVERAGEIFS(monthly!W:W,monthly!$A:$A,"&gt;="&amp;$A225,monthly!$B:$B,"&lt;="&amp;$B225))</f>
        <v>129.96845499674478</v>
      </c>
      <c r="AF225">
        <f>IF(COUNTIFS(monthly!X:X,"",monthly!$A:$A,"&gt;="&amp;$A225,monthly!$B:$B,"&lt;="&amp;$B225)&gt;0,"NA",AVERAGEIFS(monthly!X:X,monthly!$A:$A,"&gt;="&amp;$A225,monthly!$B:$B,"&lt;="&amp;$B225))</f>
        <v>143.66350046793619</v>
      </c>
      <c r="AG225">
        <f>IF(COUNTIFS(monthly!Y:Y,"",monthly!$A:$A,"&gt;="&amp;$A225,monthly!$B:$B,"&lt;="&amp;$B225)&gt;0,"NA",AVERAGEIFS(monthly!Y:Y,monthly!$A:$A,"&gt;="&amp;$A225,monthly!$B:$B,"&lt;="&amp;$B225))</f>
        <v>121.12643432617188</v>
      </c>
      <c r="AH225">
        <f>IF(COUNTIFS(monthly!Z:Z,"",monthly!$A:$A,"&gt;="&amp;$A225,monthly!$B:$B,"&lt;="&amp;$B225)&gt;0,"NA",AVERAGEIFS(monthly!Z:Z,monthly!$A:$A,"&gt;="&amp;$A225,monthly!$B:$B,"&lt;="&amp;$B225))</f>
        <v>0.23600930223862329</v>
      </c>
    </row>
    <row r="226" spans="1:34" x14ac:dyDescent="0.2">
      <c r="A226" s="1">
        <v>46023</v>
      </c>
      <c r="B226" s="1">
        <v>46112</v>
      </c>
      <c r="C226">
        <f>IF(ISBLANK(VLOOKUP($A226,quarterly_data,MATCH(C$1,quarterly!$1:$1,FALSE),FALSE)),"NA",VLOOKUP($A226,quarterly_data,MATCH(C$1,quarterly!$1:$1,FALSE),FALSE))</f>
        <v>152.50811939881072</v>
      </c>
      <c r="D226">
        <f>IF(ISBLANK(VLOOKUP($A226,quarterly_data,MATCH(D$1,quarterly!$1:$1,FALSE),FALSE)),"NA",VLOOKUP($A226,quarterly_data,MATCH(D$1,quarterly!$1:$1,FALSE),FALSE))</f>
        <v>96.3</v>
      </c>
      <c r="E226">
        <f>IF(ISBLANK(VLOOKUP($A226,quarterly_data,MATCH(E$1,quarterly!$1:$1,FALSE),FALSE)),"NA",VLOOKUP($A226,quarterly_data,MATCH(E$1,quarterly!$1:$1,FALSE),FALSE))</f>
        <v>0.17048840000000001</v>
      </c>
      <c r="F226">
        <f>IF(ISBLANK(VLOOKUP($A226,quarterly_data,MATCH(F$1,quarterly!$1:$1,FALSE),FALSE)),"NA",VLOOKUP($A226,quarterly_data,MATCH(F$1,quarterly!$1:$1,FALSE),FALSE))</f>
        <v>5.8126299999999999E-2</v>
      </c>
      <c r="G226">
        <f>IF(ISBLANK(VLOOKUP($A226,quarterly_data,MATCH(G$1,quarterly!$1:$1,FALSE),FALSE)),"NA",VLOOKUP($A226,quarterly_data,MATCH(G$1,quarterly!$1:$1,FALSE),FALSE))</f>
        <v>24180.419000000002</v>
      </c>
      <c r="H226">
        <f>IF(ISBLANK(VLOOKUP($A226,quarterly_data,MATCH(H$1,quarterly!$1:$1,FALSE),FALSE)),"NA",VLOOKUP($A226,quarterly_data,MATCH(H$1,quarterly!$1:$1,FALSE),FALSE))</f>
        <v>696539</v>
      </c>
      <c r="I226">
        <f>IF(ISBLANK(VLOOKUP($A226,quarterly_data,MATCH(I$1,quarterly!$1:$1,FALSE),FALSE)),"NA",VLOOKUP($A226,quarterly_data,MATCH(I$1,quarterly!$1:$1,FALSE),FALSE))</f>
        <v>0.8</v>
      </c>
      <c r="J226">
        <f>IF(ISBLANK(VLOOKUP($A226,quarterly_data,MATCH(J$1,quarterly!$1:$1,FALSE),FALSE)),"NA",VLOOKUP($A226,quarterly_data,MATCH(J$1,quarterly!$1:$1,FALSE),FALSE))</f>
        <v>101.7</v>
      </c>
      <c r="K226">
        <f>IF(COUNTIFS(monthly!C:C,"",monthly!$A:$A,"&gt;="&amp;$A226,monthly!$B:$B,"&lt;="&amp;$B226)&gt;0,"NA",AVERAGEIFS(monthly!C:C,monthly!$A:$A,"&gt;="&amp;$A226,monthly!$B:$B,"&lt;="&amp;$B226))</f>
        <v>64.766666666666666</v>
      </c>
      <c r="L226">
        <f>IF(COUNTIFS(monthly!D:D,"",monthly!$A:$A,"&gt;="&amp;$A226,monthly!$B:$B,"&lt;="&amp;$B226)&gt;0,"NA",AVERAGEIFS(monthly!D:D,monthly!$A:$A,"&gt;="&amp;$A226,monthly!$B:$B,"&lt;="&amp;$B226))</f>
        <v>0.69916666666666671</v>
      </c>
      <c r="M226">
        <f>IF(COUNTIFS(monthly!E:E,"",monthly!$A:$A,"&gt;="&amp;$A226,monthly!$B:$B,"&lt;="&amp;$B226)&gt;0,"NA",AVERAGEIFS(monthly!E:E,monthly!$A:$A,"&gt;="&amp;$A226,monthly!$B:$B,"&lt;="&amp;$B226))</f>
        <v>108.74942982343732</v>
      </c>
      <c r="N226">
        <f>IF(COUNTIFS(monthly!F:F,"",monthly!$A:$A,"&gt;="&amp;$A226,monthly!$B:$B,"&lt;="&amp;$B226)&gt;0,"NA",AVERAGEIFS(monthly!F:F,monthly!$A:$A,"&gt;="&amp;$A226,monthly!$B:$B,"&lt;="&amp;$B226))</f>
        <v>110.799793581031</v>
      </c>
      <c r="O226">
        <f>IF(COUNTIFS(monthly!G:G,"",monthly!$A:$A,"&gt;="&amp;$A226,monthly!$B:$B,"&lt;="&amp;$B226)&gt;0,"NA",AVERAGEIFS(monthly!G:G,monthly!$A:$A,"&gt;="&amp;$A226,monthly!$B:$B,"&lt;="&amp;$B226))</f>
        <v>102.93333333333334</v>
      </c>
      <c r="P226">
        <f>IF(COUNTIFS(monthly!H:H,"",monthly!$A:$A,"&gt;="&amp;$A226,monthly!$B:$B,"&lt;="&amp;$B226)&gt;0,"NA",AVERAGEIFS(monthly!H:H,monthly!$A:$A,"&gt;="&amp;$A226,monthly!$B:$B,"&lt;="&amp;$B226))</f>
        <v>122.26666666666665</v>
      </c>
      <c r="Q226">
        <f>IF(COUNTIFS(monthly!I:I,"",monthly!$A:$A,"&gt;="&amp;$A226,monthly!$B:$B,"&lt;="&amp;$B226)&gt;0,"NA",AVERAGEIFS(monthly!I:I,monthly!$A:$A,"&gt;="&amp;$A226,monthly!$B:$B,"&lt;="&amp;$B226))</f>
        <v>80.533333333333317</v>
      </c>
      <c r="R226">
        <f>IF(COUNTIFS(monthly!J:J,"",monthly!$A:$A,"&gt;="&amp;$A226,monthly!$B:$B,"&lt;="&amp;$B226)&gt;0,"NA",AVERAGEIFS(monthly!J:J,monthly!$A:$A,"&gt;="&amp;$A226,monthly!$B:$B,"&lt;="&amp;$B226))</f>
        <v>11.410000000000002</v>
      </c>
      <c r="S226">
        <f>IF(COUNTIFS(monthly!K:K,"",monthly!$A:$A,"&gt;="&amp;$A226,monthly!$B:$B,"&lt;="&amp;$B226)&gt;0,"NA",AVERAGEIFS(monthly!K:K,monthly!$A:$A,"&gt;="&amp;$A226,monthly!$B:$B,"&lt;="&amp;$B226))</f>
        <v>3.7966666666666669</v>
      </c>
      <c r="T226">
        <f>IF(COUNTIFS(monthly!L:L,"",monthly!$A:$A,"&gt;="&amp;$A226,monthly!$B:$B,"&lt;="&amp;$B226)&gt;0,"NA",AVERAGEIFS(monthly!L:L,monthly!$A:$A,"&gt;="&amp;$A226,monthly!$B:$B,"&lt;="&amp;$B226))</f>
        <v>3.64</v>
      </c>
      <c r="U226">
        <f>IF(COUNTIFS(monthly!M:M,"",monthly!$A:$A,"&gt;="&amp;$A226,monthly!$B:$B,"&lt;="&amp;$B226)&gt;0,"NA",AVERAGEIFS(monthly!M:M,monthly!$A:$A,"&gt;="&amp;$A226,monthly!$B:$B,"&lt;="&amp;$B226))</f>
        <v>0.15666666666666659</v>
      </c>
      <c r="V226">
        <f>IF(COUNTIFS(monthly!N:N,"",monthly!$A:$A,"&gt;="&amp;$A226,monthly!$B:$B,"&lt;="&amp;$B226)&gt;0,"NA",AVERAGEIFS(monthly!N:N,monthly!$A:$A,"&gt;="&amp;$A226,monthly!$B:$B,"&lt;="&amp;$B226))</f>
        <v>4.2823333333333338</v>
      </c>
      <c r="W226">
        <f>IF(COUNTIFS(monthly!O:O,"",monthly!$A:$A,"&gt;="&amp;$A226,monthly!$B:$B,"&lt;="&amp;$B226)&gt;0,"NA",AVERAGEIFS(monthly!O:O,monthly!$A:$A,"&gt;="&amp;$A226,monthly!$B:$B,"&lt;="&amp;$B226))</f>
        <v>3.5743748006379583</v>
      </c>
      <c r="X226">
        <f>IF(COUNTIFS(monthly!P:P,"",monthly!$A:$A,"&gt;="&amp;$A226,monthly!$B:$B,"&lt;="&amp;$B226)&gt;0,"NA",AVERAGEIFS(monthly!P:P,monthly!$A:$A,"&gt;="&amp;$A226,monthly!$B:$B,"&lt;="&amp;$B226))</f>
        <v>0.70795853269537534</v>
      </c>
      <c r="Y226">
        <f>IF(COUNTIFS(monthly!Q:Q,"",monthly!$A:$A,"&gt;="&amp;$A226,monthly!$B:$B,"&lt;="&amp;$B226)&gt;0,"NA",AVERAGEIFS(monthly!Q:Q,monthly!$A:$A,"&gt;="&amp;$A226,monthly!$B:$B,"&lt;="&amp;$B226))</f>
        <v>4.8113333333333328</v>
      </c>
      <c r="Z226">
        <f>IF(COUNTIFS(monthly!R:R,"",monthly!$A:$A,"&gt;="&amp;$A226,monthly!$B:$B,"&lt;="&amp;$B226)&gt;0,"NA",AVERAGEIFS(monthly!R:R,monthly!$A:$A,"&gt;="&amp;$A226,monthly!$B:$B,"&lt;="&amp;$B226))</f>
        <v>4.1950661881977673</v>
      </c>
      <c r="AA226">
        <f>IF(COUNTIFS(monthly!S:S,"",monthly!$A:$A,"&gt;="&amp;$A226,monthly!$B:$B,"&lt;="&amp;$B226)&gt;0,"NA",AVERAGEIFS(monthly!S:S,monthly!$A:$A,"&gt;="&amp;$A226,monthly!$B:$B,"&lt;="&amp;$B226))</f>
        <v>0.61626714513556635</v>
      </c>
      <c r="AB226">
        <f>IF(COUNTIFS(monthly!T:T,"",monthly!$A:$A,"&gt;="&amp;$A226,monthly!$B:$B,"&lt;="&amp;$B226)&gt;0,"NA",AVERAGEIFS(monthly!T:T,monthly!$A:$A,"&gt;="&amp;$A226,monthly!$B:$B,"&lt;="&amp;$B226))</f>
        <v>20.327621933621931</v>
      </c>
      <c r="AC226">
        <f>IF(COUNTIFS(monthly!U:U,"",monthly!$A:$A,"&gt;="&amp;$A226,monthly!$B:$B,"&lt;="&amp;$B226)&gt;0,"NA",AVERAGEIFS(monthly!U:U,monthly!$A:$A,"&gt;="&amp;$A226,monthly!$B:$B,"&lt;="&amp;$B226))</f>
        <v>390.79673037120227</v>
      </c>
      <c r="AD226">
        <f>IF(COUNTIFS(monthly!V:V,"",monthly!$A:$A,"&gt;="&amp;$A226,monthly!$B:$B,"&lt;="&amp;$B226)&gt;0,"NA",AVERAGEIFS(monthly!V:V,monthly!$A:$A,"&gt;="&amp;$A226,monthly!$B:$B,"&lt;="&amp;$B226))</f>
        <v>212.00107327971295</v>
      </c>
      <c r="AE226">
        <f>IF(COUNTIFS(monthly!W:W,"",monthly!$A:$A,"&gt;="&amp;$A226,monthly!$B:$B,"&lt;="&amp;$B226)&gt;0,"NA",AVERAGEIFS(monthly!W:W,monthly!$A:$A,"&gt;="&amp;$A226,monthly!$B:$B,"&lt;="&amp;$B226))</f>
        <v>206.22403208414713</v>
      </c>
      <c r="AF226">
        <f>IF(COUNTIFS(monthly!X:X,"",monthly!$A:$A,"&gt;="&amp;$A226,monthly!$B:$B,"&lt;="&amp;$B226)&gt;0,"NA",AVERAGEIFS(monthly!X:X,monthly!$A:$A,"&gt;="&amp;$A226,monthly!$B:$B,"&lt;="&amp;$B226))</f>
        <v>231.79380289713541</v>
      </c>
      <c r="AG226">
        <f>IF(COUNTIFS(monthly!Y:Y,"",monthly!$A:$A,"&gt;="&amp;$A226,monthly!$B:$B,"&lt;="&amp;$B226)&gt;0,"NA",AVERAGEIFS(monthly!Y:Y,monthly!$A:$A,"&gt;="&amp;$A226,monthly!$B:$B,"&lt;="&amp;$B226))</f>
        <v>210.60769144694009</v>
      </c>
      <c r="AH226">
        <f>IF(COUNTIFS(monthly!Z:Z,"",monthly!$A:$A,"&gt;="&amp;$A226,monthly!$B:$B,"&lt;="&amp;$B226)&gt;0,"NA",AVERAGEIFS(monthly!Z:Z,monthly!$A:$A,"&gt;="&amp;$A226,monthly!$B:$B,"&lt;="&amp;$B226))</f>
        <v>0.25323655953009921</v>
      </c>
    </row>
    <row r="227" spans="1:34" x14ac:dyDescent="0.2">
      <c r="A227" s="1">
        <v>46113</v>
      </c>
      <c r="B227" s="1">
        <v>46203</v>
      </c>
      <c r="C227">
        <f>IF(ISBLANK(VLOOKUP($A227,quarterly_data,MATCH(C$1,quarterly!$1:$1,FALSE),FALSE)),"NA",VLOOKUP($A227,quarterly_data,MATCH(C$1,quarterly!$1:$1,FALSE),FALSE))</f>
        <v>157.31890990074345</v>
      </c>
      <c r="D227">
        <f>IF(ISBLANK(VLOOKUP($A227,quarterly_data,MATCH(D$1,quarterly!$1:$1,FALSE),FALSE)),"NA",VLOOKUP($A227,quarterly_data,MATCH(D$1,quarterly!$1:$1,FALSE),FALSE))</f>
        <v>94.8</v>
      </c>
      <c r="E227">
        <f>IF(ISBLANK(VLOOKUP($A227,quarterly_data,MATCH(E$1,quarterly!$1:$1,FALSE),FALSE)),"NA",VLOOKUP($A227,quarterly_data,MATCH(E$1,quarterly!$1:$1,FALSE),FALSE))</f>
        <v>8.5012299999999999E-2</v>
      </c>
      <c r="F227">
        <f>IF(ISBLANK(VLOOKUP($A227,quarterly_data,MATCH(F$1,quarterly!$1:$1,FALSE),FALSE)),"NA",VLOOKUP($A227,quarterly_data,MATCH(F$1,quarterly!$1:$1,FALSE),FALSE))</f>
        <v>4.0157400000000003E-2</v>
      </c>
      <c r="G227">
        <f>IF(ISBLANK(VLOOKUP($A227,quarterly_data,MATCH(G$1,quarterly!$1:$1,FALSE),FALSE)),"NA",VLOOKUP($A227,quarterly_data,MATCH(G$1,quarterly!$1:$1,FALSE),FALSE))</f>
        <v>24269.613000000001</v>
      </c>
      <c r="H227">
        <f>IF(ISBLANK(VLOOKUP($A227,quarterly_data,MATCH(H$1,quarterly!$1:$1,FALSE),FALSE)),"NA",VLOOKUP($A227,quarterly_data,MATCH(H$1,quarterly!$1:$1,FALSE),FALSE))</f>
        <v>699461</v>
      </c>
      <c r="I227">
        <f>IF(ISBLANK(VLOOKUP($A227,quarterly_data,MATCH(I$1,quarterly!$1:$1,FALSE),FALSE)),"NA",VLOOKUP($A227,quarterly_data,MATCH(I$1,quarterly!$1:$1,FALSE),FALSE))</f>
        <v>0.8</v>
      </c>
      <c r="J227">
        <f>IF(ISBLANK(VLOOKUP($A227,quarterly_data,MATCH(J$1,quarterly!$1:$1,FALSE),FALSE)),"NA",VLOOKUP($A227,quarterly_data,MATCH(J$1,quarterly!$1:$1,FALSE),FALSE))</f>
        <v>102.31</v>
      </c>
      <c r="K227">
        <f>IF(COUNTIFS(monthly!C:C,"",monthly!$A:$A,"&gt;="&amp;$A227,monthly!$B:$B,"&lt;="&amp;$B227)&gt;0,"NA",AVERAGEIFS(monthly!C:C,monthly!$A:$A,"&gt;="&amp;$A227,monthly!$B:$B,"&lt;="&amp;$B227))</f>
        <v>65.833333333333329</v>
      </c>
      <c r="L227">
        <f>IF(COUNTIFS(monthly!D:D,"",monthly!$A:$A,"&gt;="&amp;$A227,monthly!$B:$B,"&lt;="&amp;$B227)&gt;0,"NA",AVERAGEIFS(monthly!D:D,monthly!$A:$A,"&gt;="&amp;$A227,monthly!$B:$B,"&lt;="&amp;$B227))</f>
        <v>0.70486666666666675</v>
      </c>
      <c r="M227">
        <f>IF(COUNTIFS(monthly!E:E,"",monthly!$A:$A,"&gt;="&amp;$A227,monthly!$B:$B,"&lt;="&amp;$B227)&gt;0,"NA",AVERAGEIFS(monthly!E:E,monthly!$A:$A,"&gt;="&amp;$A227,monthly!$B:$B,"&lt;="&amp;$B227))</f>
        <v>111.84429891730667</v>
      </c>
      <c r="N227">
        <f>IF(COUNTIFS(monthly!F:F,"",monthly!$A:$A,"&gt;="&amp;$A227,monthly!$B:$B,"&lt;="&amp;$B227)&gt;0,"NA",AVERAGEIFS(monthly!F:F,monthly!$A:$A,"&gt;="&amp;$A227,monthly!$B:$B,"&lt;="&amp;$B227))</f>
        <v>113.64614636540766</v>
      </c>
      <c r="O227">
        <f>IF(COUNTIFS(monthly!G:G,"",monthly!$A:$A,"&gt;="&amp;$A227,monthly!$B:$B,"&lt;="&amp;$B227)&gt;0,"NA",AVERAGEIFS(monthly!G:G,monthly!$A:$A,"&gt;="&amp;$A227,monthly!$B:$B,"&lt;="&amp;$B227))</f>
        <v>105.16666666666667</v>
      </c>
      <c r="P227">
        <f>IF(COUNTIFS(monthly!H:H,"",monthly!$A:$A,"&gt;="&amp;$A227,monthly!$B:$B,"&lt;="&amp;$B227)&gt;0,"NA",AVERAGEIFS(monthly!H:H,monthly!$A:$A,"&gt;="&amp;$A227,monthly!$B:$B,"&lt;="&amp;$B227))</f>
        <v>135.43333333333334</v>
      </c>
      <c r="Q227">
        <f>IF(COUNTIFS(monthly!I:I,"",monthly!$A:$A,"&gt;="&amp;$A227,monthly!$B:$B,"&lt;="&amp;$B227)&gt;0,"NA",AVERAGEIFS(monthly!I:I,monthly!$A:$A,"&gt;="&amp;$A227,monthly!$B:$B,"&lt;="&amp;$B227))</f>
        <v>104.43333333333334</v>
      </c>
      <c r="R227">
        <f>IF(COUNTIFS(monthly!J:J,"",monthly!$A:$A,"&gt;="&amp;$A227,monthly!$B:$B,"&lt;="&amp;$B227)&gt;0,"NA",AVERAGEIFS(monthly!J:J,monthly!$A:$A,"&gt;="&amp;$A227,monthly!$B:$B,"&lt;="&amp;$B227))</f>
        <v>13.44</v>
      </c>
      <c r="S227">
        <f>IF(COUNTIFS(monthly!K:K,"",monthly!$A:$A,"&gt;="&amp;$A227,monthly!$B:$B,"&lt;="&amp;$B227)&gt;0,"NA",AVERAGEIFS(monthly!K:K,monthly!$A:$A,"&gt;="&amp;$A227,monthly!$B:$B,"&lt;="&amp;$B227))</f>
        <v>4.253333333333333</v>
      </c>
      <c r="T227">
        <f>IF(COUNTIFS(monthly!L:L,"",monthly!$A:$A,"&gt;="&amp;$A227,monthly!$B:$B,"&lt;="&amp;$B227)&gt;0,"NA",AVERAGEIFS(monthly!L:L,monthly!$A:$A,"&gt;="&amp;$A227,monthly!$B:$B,"&lt;="&amp;$B227))</f>
        <v>3.631025089605735</v>
      </c>
      <c r="U227">
        <f>IF(COUNTIFS(monthly!M:M,"",monthly!$A:$A,"&gt;="&amp;$A227,monthly!$B:$B,"&lt;="&amp;$B227)&gt;0,"NA",AVERAGEIFS(monthly!M:M,monthly!$A:$A,"&gt;="&amp;$A227,monthly!$B:$B,"&lt;="&amp;$B227))</f>
        <v>0.62230824372759797</v>
      </c>
      <c r="V227">
        <f>IF(COUNTIFS(monthly!N:N,"",monthly!$A:$A,"&gt;="&amp;$A227,monthly!$B:$B,"&lt;="&amp;$B227)&gt;0,"NA",AVERAGEIFS(monthly!N:N,monthly!$A:$A,"&gt;="&amp;$A227,monthly!$B:$B,"&lt;="&amp;$B227))</f>
        <v>4.6060000000000008</v>
      </c>
      <c r="W227">
        <f>IF(COUNTIFS(monthly!O:O,"",monthly!$A:$A,"&gt;="&amp;$A227,monthly!$B:$B,"&lt;="&amp;$B227)&gt;0,"NA",AVERAGEIFS(monthly!O:O,monthly!$A:$A,"&gt;="&amp;$A227,monthly!$B:$B,"&lt;="&amp;$B227))</f>
        <v>3.9689826839826838</v>
      </c>
      <c r="X227">
        <f>IF(COUNTIFS(monthly!P:P,"",monthly!$A:$A,"&gt;="&amp;$A227,monthly!$B:$B,"&lt;="&amp;$B227)&gt;0,"NA",AVERAGEIFS(monthly!P:P,monthly!$A:$A,"&gt;="&amp;$A227,monthly!$B:$B,"&lt;="&amp;$B227))</f>
        <v>0.63701731601731648</v>
      </c>
      <c r="Y227">
        <f>IF(COUNTIFS(monthly!Q:Q,"",monthly!$A:$A,"&gt;="&amp;$A227,monthly!$B:$B,"&lt;="&amp;$B227)&gt;0,"NA",AVERAGEIFS(monthly!Q:Q,monthly!$A:$A,"&gt;="&amp;$A227,monthly!$B:$B,"&lt;="&amp;$B227))</f>
        <v>4.9273333333333333</v>
      </c>
      <c r="Z227">
        <f>IF(COUNTIFS(monthly!R:R,"",monthly!$A:$A,"&gt;="&amp;$A227,monthly!$B:$B,"&lt;="&amp;$B227)&gt;0,"NA",AVERAGEIFS(monthly!R:R,monthly!$A:$A,"&gt;="&amp;$A227,monthly!$B:$B,"&lt;="&amp;$B227))</f>
        <v>4.4245223665223667</v>
      </c>
      <c r="AA227">
        <f>IF(COUNTIFS(monthly!S:S,"",monthly!$A:$A,"&gt;="&amp;$A227,monthly!$B:$B,"&lt;="&amp;$B227)&gt;0,"NA",AVERAGEIFS(monthly!S:S,monthly!$A:$A,"&gt;="&amp;$A227,monthly!$B:$B,"&lt;="&amp;$B227))</f>
        <v>0.50281096681096715</v>
      </c>
      <c r="AB227">
        <f>IF(COUNTIFS(monthly!T:T,"",monthly!$A:$A,"&gt;="&amp;$A227,monthly!$B:$B,"&lt;="&amp;$B227)&gt;0,"NA",AVERAGEIFS(monthly!T:T,monthly!$A:$A,"&gt;="&amp;$A227,monthly!$B:$B,"&lt;="&amp;$B227))</f>
        <v>18.31862193362193</v>
      </c>
      <c r="AC227">
        <f>IF(COUNTIFS(monthly!U:U,"",monthly!$A:$A,"&gt;="&amp;$A227,monthly!$B:$B,"&lt;="&amp;$B227)&gt;0,"NA",AVERAGEIFS(monthly!U:U,monthly!$A:$A,"&gt;="&amp;$A227,monthly!$B:$B,"&lt;="&amp;$B227))</f>
        <v>315.57953326216375</v>
      </c>
      <c r="AD227">
        <f>IF(COUNTIFS(monthly!V:V,"",monthly!$A:$A,"&gt;="&amp;$A227,monthly!$B:$B,"&lt;="&amp;$B227)&gt;0,"NA",AVERAGEIFS(monthly!V:V,monthly!$A:$A,"&gt;="&amp;$A227,monthly!$B:$B,"&lt;="&amp;$B227))</f>
        <v>297.91141251667312</v>
      </c>
      <c r="AE227">
        <f>IF(COUNTIFS(monthly!W:W,"",monthly!$A:$A,"&gt;="&amp;$A227,monthly!$B:$B,"&lt;="&amp;$B227)&gt;0,"NA",AVERAGEIFS(monthly!W:W,monthly!$A:$A,"&gt;="&amp;$A227,monthly!$B:$B,"&lt;="&amp;$B227))</f>
        <v>211.26911417643228</v>
      </c>
      <c r="AF227">
        <f>IF(COUNTIFS(monthly!X:X,"",monthly!$A:$A,"&gt;="&amp;$A227,monthly!$B:$B,"&lt;="&amp;$B227)&gt;0,"NA",AVERAGEIFS(monthly!X:X,monthly!$A:$A,"&gt;="&amp;$A227,monthly!$B:$B,"&lt;="&amp;$B227))</f>
        <v>239.01214090983072</v>
      </c>
      <c r="AG227">
        <f>IF(COUNTIFS(monthly!Y:Y,"",monthly!$A:$A,"&gt;="&amp;$A227,monthly!$B:$B,"&lt;="&amp;$B227)&gt;0,"NA",AVERAGEIFS(monthly!Y:Y,monthly!$A:$A,"&gt;="&amp;$A227,monthly!$B:$B,"&lt;="&amp;$B227))</f>
        <v>235.34016418457031</v>
      </c>
      <c r="AH227">
        <f>IF(COUNTIFS(monthly!Z:Z,"",monthly!$A:$A,"&gt;="&amp;$A227,monthly!$B:$B,"&lt;="&amp;$B227)&gt;0,"NA",AVERAGEIFS(monthly!Z:Z,monthly!$A:$A,"&gt;="&amp;$A227,monthly!$B:$B,"&lt;="&amp;$B227))</f>
        <v>0.20705034583806992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A46E1-A789-EA41-AD14-465D2D81420F}">
  <dimension ref="A1:Z681"/>
  <sheetViews>
    <sheetView zoomScale="150" zoomScaleNormal="15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RowHeight="16" x14ac:dyDescent="0.2"/>
  <cols>
    <col min="2" max="2" width="11.83203125" bestFit="1" customWidth="1"/>
    <col min="6" max="6" width="19.33203125" customWidth="1"/>
    <col min="13" max="13" width="16.83203125" customWidth="1"/>
    <col min="17" max="19" width="13.33203125" customWidth="1"/>
  </cols>
  <sheetData>
    <row r="1" spans="1:26" x14ac:dyDescent="0.2">
      <c r="A1" t="s">
        <v>203</v>
      </c>
      <c r="B1" t="s">
        <v>204</v>
      </c>
      <c r="C1" t="s">
        <v>176</v>
      </c>
      <c r="D1" t="s">
        <v>177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  <c r="J1" t="s">
        <v>183</v>
      </c>
      <c r="K1" t="s">
        <v>171</v>
      </c>
      <c r="L1" t="s">
        <v>185</v>
      </c>
      <c r="M1" t="s">
        <v>186</v>
      </c>
      <c r="N1" s="2" t="s">
        <v>187</v>
      </c>
      <c r="O1" t="s">
        <v>188</v>
      </c>
      <c r="P1" t="s">
        <v>189</v>
      </c>
      <c r="Q1" t="s">
        <v>190</v>
      </c>
      <c r="R1" t="s">
        <v>191</v>
      </c>
      <c r="S1" t="s">
        <v>202</v>
      </c>
      <c r="T1" t="s">
        <v>173</v>
      </c>
      <c r="U1" t="s">
        <v>192</v>
      </c>
      <c r="V1" t="s">
        <v>193</v>
      </c>
      <c r="W1" t="s">
        <v>194</v>
      </c>
      <c r="X1" t="s">
        <v>195</v>
      </c>
      <c r="Y1" t="s">
        <v>196</v>
      </c>
      <c r="Z1" t="s">
        <v>207</v>
      </c>
    </row>
    <row r="2" spans="1:26" x14ac:dyDescent="0.2">
      <c r="A2" s="1">
        <v>25569</v>
      </c>
      <c r="B2" s="1">
        <v>25599</v>
      </c>
      <c r="D2">
        <v>1.1185</v>
      </c>
      <c r="G2">
        <v>9.8000000000000007</v>
      </c>
      <c r="H2">
        <v>7.8</v>
      </c>
      <c r="I2">
        <v>1.2</v>
      </c>
      <c r="L2">
        <v>8.9767741935483869</v>
      </c>
      <c r="Q2">
        <v>5.95</v>
      </c>
      <c r="R2">
        <v>7.794761904761903</v>
      </c>
      <c r="S2">
        <f>Q2-R2</f>
        <v>-1.8447619047619028</v>
      </c>
    </row>
    <row r="3" spans="1:26" x14ac:dyDescent="0.2">
      <c r="A3" s="1">
        <v>25600</v>
      </c>
      <c r="B3" s="1">
        <v>25627</v>
      </c>
      <c r="D3">
        <v>1.1209</v>
      </c>
      <c r="G3">
        <v>9.8000000000000007</v>
      </c>
      <c r="H3">
        <v>7.8</v>
      </c>
      <c r="I3">
        <v>1.2</v>
      </c>
      <c r="L3">
        <v>8.9782142857142855</v>
      </c>
      <c r="Q3">
        <v>5.96</v>
      </c>
      <c r="R3">
        <v>7.2383333333333342</v>
      </c>
      <c r="S3">
        <f t="shared" ref="S3:S66" si="0">Q3-R3</f>
        <v>-1.2783333333333342</v>
      </c>
    </row>
    <row r="4" spans="1:26" x14ac:dyDescent="0.2">
      <c r="A4" s="1">
        <v>25628</v>
      </c>
      <c r="B4" s="1">
        <v>25658</v>
      </c>
      <c r="D4">
        <v>1.1207</v>
      </c>
      <c r="G4">
        <v>9.8000000000000007</v>
      </c>
      <c r="H4">
        <v>7.8</v>
      </c>
      <c r="I4">
        <v>1.2</v>
      </c>
      <c r="L4">
        <v>7.7622580645161285</v>
      </c>
      <c r="Q4">
        <v>6.05</v>
      </c>
      <c r="R4">
        <v>7.0728571428571438</v>
      </c>
      <c r="S4">
        <f t="shared" si="0"/>
        <v>-1.022857142857144</v>
      </c>
    </row>
    <row r="5" spans="1:26" x14ac:dyDescent="0.2">
      <c r="A5" s="1">
        <v>25659</v>
      </c>
      <c r="B5" s="1">
        <v>25688</v>
      </c>
      <c r="D5">
        <v>1.1206</v>
      </c>
      <c r="G5">
        <v>9.8000000000000007</v>
      </c>
      <c r="H5">
        <v>7.8</v>
      </c>
      <c r="I5">
        <v>1.2</v>
      </c>
      <c r="L5">
        <v>8.096333333333332</v>
      </c>
      <c r="Q5">
        <v>6.94</v>
      </c>
      <c r="R5">
        <v>7.3909090909090907</v>
      </c>
      <c r="S5">
        <f t="shared" si="0"/>
        <v>-0.45090909090909026</v>
      </c>
    </row>
    <row r="6" spans="1:26" x14ac:dyDescent="0.2">
      <c r="A6" s="1">
        <v>25689</v>
      </c>
      <c r="B6" s="1">
        <v>25719</v>
      </c>
      <c r="C6">
        <v>100</v>
      </c>
      <c r="D6">
        <v>1.1186</v>
      </c>
      <c r="G6">
        <v>9.8000000000000007</v>
      </c>
      <c r="H6">
        <v>7.8</v>
      </c>
      <c r="I6">
        <v>1.2</v>
      </c>
      <c r="L6">
        <v>7.9464516129032239</v>
      </c>
      <c r="Q6">
        <v>6.85</v>
      </c>
      <c r="R6">
        <v>7.9061904761904751</v>
      </c>
      <c r="S6">
        <f t="shared" si="0"/>
        <v>-1.0561904761904755</v>
      </c>
    </row>
    <row r="7" spans="1:26" x14ac:dyDescent="0.2">
      <c r="A7" s="1">
        <v>25720</v>
      </c>
      <c r="B7" s="1">
        <v>25749</v>
      </c>
      <c r="C7">
        <v>99.6</v>
      </c>
      <c r="D7">
        <v>1.1158999999999999</v>
      </c>
      <c r="G7">
        <v>9.8000000000000007</v>
      </c>
      <c r="H7">
        <v>7.8</v>
      </c>
      <c r="I7">
        <v>1.2</v>
      </c>
      <c r="L7">
        <v>7.6049999999999995</v>
      </c>
      <c r="Q7">
        <v>6.86</v>
      </c>
      <c r="R7">
        <v>7.8418181818181836</v>
      </c>
      <c r="S7">
        <f t="shared" si="0"/>
        <v>-0.98181818181818326</v>
      </c>
    </row>
    <row r="8" spans="1:26" x14ac:dyDescent="0.2">
      <c r="A8" s="1">
        <v>25750</v>
      </c>
      <c r="B8" s="1">
        <v>25780</v>
      </c>
      <c r="C8">
        <v>99.4</v>
      </c>
      <c r="D8">
        <v>1.1133999999999999</v>
      </c>
      <c r="G8">
        <v>9.8000000000000007</v>
      </c>
      <c r="H8">
        <v>7.8</v>
      </c>
      <c r="I8">
        <v>1.2</v>
      </c>
      <c r="L8">
        <v>7.2148387096774185</v>
      </c>
      <c r="Q8">
        <v>6.89</v>
      </c>
      <c r="R8">
        <v>7.4572727272727262</v>
      </c>
      <c r="S8">
        <f t="shared" si="0"/>
        <v>-0.56727272727272648</v>
      </c>
    </row>
    <row r="9" spans="1:26" x14ac:dyDescent="0.2">
      <c r="A9" s="1">
        <v>25781</v>
      </c>
      <c r="B9" s="1">
        <v>25811</v>
      </c>
      <c r="C9">
        <v>99.1</v>
      </c>
      <c r="D9">
        <v>1.1100000000000001</v>
      </c>
      <c r="G9">
        <v>9.8000000000000007</v>
      </c>
      <c r="H9">
        <v>7.8</v>
      </c>
      <c r="I9">
        <v>1.2</v>
      </c>
      <c r="L9">
        <v>6.6151612903225798</v>
      </c>
      <c r="Q9">
        <v>6.87</v>
      </c>
      <c r="R9">
        <v>7.5271428571428585</v>
      </c>
      <c r="S9">
        <f t="shared" si="0"/>
        <v>-0.65714285714285836</v>
      </c>
    </row>
    <row r="10" spans="1:26" x14ac:dyDescent="0.2">
      <c r="A10" s="1">
        <v>25812</v>
      </c>
      <c r="B10" s="1">
        <v>25841</v>
      </c>
      <c r="C10">
        <v>99.2</v>
      </c>
      <c r="D10">
        <v>1.1117999999999999</v>
      </c>
      <c r="G10">
        <v>9.8000000000000007</v>
      </c>
      <c r="H10">
        <v>7.8</v>
      </c>
      <c r="I10">
        <v>1.2</v>
      </c>
      <c r="L10">
        <v>6.2896666666666663</v>
      </c>
      <c r="Q10">
        <v>6.87</v>
      </c>
      <c r="R10">
        <v>7.3895238095238103</v>
      </c>
      <c r="S10">
        <f t="shared" si="0"/>
        <v>-0.51952380952381016</v>
      </c>
    </row>
    <row r="11" spans="1:26" x14ac:dyDescent="0.2">
      <c r="A11" s="1">
        <v>25842</v>
      </c>
      <c r="B11" s="1">
        <v>25872</v>
      </c>
      <c r="C11">
        <v>99.2</v>
      </c>
      <c r="D11">
        <v>1.1131</v>
      </c>
      <c r="G11">
        <v>9.8000000000000007</v>
      </c>
      <c r="H11">
        <v>7.8</v>
      </c>
      <c r="I11">
        <v>1.2</v>
      </c>
      <c r="L11">
        <v>6.2038709677419339</v>
      </c>
      <c r="Q11">
        <v>6.88</v>
      </c>
      <c r="R11">
        <v>7.3266666666666662</v>
      </c>
      <c r="S11">
        <f t="shared" si="0"/>
        <v>-0.44666666666666632</v>
      </c>
    </row>
    <row r="12" spans="1:26" x14ac:dyDescent="0.2">
      <c r="A12" s="1">
        <v>25873</v>
      </c>
      <c r="B12" s="1">
        <v>25902</v>
      </c>
      <c r="C12">
        <v>99.2</v>
      </c>
      <c r="D12">
        <v>1.1131</v>
      </c>
      <c r="G12">
        <v>9.8000000000000007</v>
      </c>
      <c r="H12">
        <v>7.8</v>
      </c>
      <c r="I12">
        <v>1.2</v>
      </c>
      <c r="L12">
        <v>5.6013333333333319</v>
      </c>
      <c r="Q12">
        <v>6.83</v>
      </c>
      <c r="R12">
        <v>6.841111111111112</v>
      </c>
      <c r="S12">
        <f t="shared" si="0"/>
        <v>-1.111111111111196E-2</v>
      </c>
    </row>
    <row r="13" spans="1:26" x14ac:dyDescent="0.2">
      <c r="A13" s="1">
        <v>25903</v>
      </c>
      <c r="B13" s="1">
        <v>25933</v>
      </c>
      <c r="C13">
        <v>99.3</v>
      </c>
      <c r="D13">
        <v>1.1146</v>
      </c>
      <c r="G13">
        <v>9.8000000000000007</v>
      </c>
      <c r="H13">
        <v>7.8</v>
      </c>
      <c r="I13">
        <v>1.2</v>
      </c>
      <c r="L13">
        <v>4.9006451612903223</v>
      </c>
      <c r="Q13">
        <v>6.81</v>
      </c>
      <c r="R13">
        <v>6.3913636363636366</v>
      </c>
      <c r="S13">
        <f t="shared" si="0"/>
        <v>0.41863636363636303</v>
      </c>
    </row>
    <row r="14" spans="1:26" x14ac:dyDescent="0.2">
      <c r="A14" s="1">
        <v>25934</v>
      </c>
      <c r="B14" s="1">
        <v>25964</v>
      </c>
      <c r="C14">
        <v>100</v>
      </c>
      <c r="D14">
        <v>1.1256999999999999</v>
      </c>
      <c r="G14">
        <v>10.3</v>
      </c>
      <c r="H14">
        <v>8.6999999999999993</v>
      </c>
      <c r="I14">
        <v>1.6</v>
      </c>
      <c r="L14">
        <v>4.1422580645161284</v>
      </c>
      <c r="Q14">
        <v>6.85</v>
      </c>
      <c r="R14">
        <v>6.238500000000001</v>
      </c>
      <c r="S14">
        <f t="shared" si="0"/>
        <v>0.6114999999999986</v>
      </c>
    </row>
    <row r="15" spans="1:26" x14ac:dyDescent="0.2">
      <c r="A15" s="1">
        <v>25965</v>
      </c>
      <c r="B15" s="1">
        <v>25992</v>
      </c>
      <c r="C15">
        <v>100</v>
      </c>
      <c r="D15">
        <v>1.1262000000000001</v>
      </c>
      <c r="G15">
        <v>10.3</v>
      </c>
      <c r="H15">
        <v>8.6999999999999993</v>
      </c>
      <c r="I15">
        <v>1.6</v>
      </c>
      <c r="L15">
        <v>3.7207142857142843</v>
      </c>
      <c r="Q15">
        <v>6.85</v>
      </c>
      <c r="R15">
        <v>6.1122222222222229</v>
      </c>
      <c r="S15">
        <f t="shared" si="0"/>
        <v>0.73777777777777676</v>
      </c>
    </row>
    <row r="16" spans="1:26" x14ac:dyDescent="0.2">
      <c r="A16" s="1">
        <v>25993</v>
      </c>
      <c r="B16" s="1">
        <v>26023</v>
      </c>
      <c r="C16">
        <v>100</v>
      </c>
      <c r="D16">
        <v>1.1256999999999999</v>
      </c>
      <c r="G16">
        <v>10.3</v>
      </c>
      <c r="H16">
        <v>8.6999999999999993</v>
      </c>
      <c r="I16">
        <v>1.6</v>
      </c>
      <c r="L16">
        <v>3.7116129032258063</v>
      </c>
      <c r="Q16">
        <v>6.84</v>
      </c>
      <c r="R16">
        <v>5.7034782608695656</v>
      </c>
      <c r="S16">
        <f t="shared" si="0"/>
        <v>1.1365217391304343</v>
      </c>
    </row>
    <row r="17" spans="1:19" x14ac:dyDescent="0.2">
      <c r="A17" s="1">
        <v>26024</v>
      </c>
      <c r="B17" s="1">
        <v>26053</v>
      </c>
      <c r="C17">
        <v>100</v>
      </c>
      <c r="D17">
        <v>1.1267</v>
      </c>
      <c r="G17">
        <v>10.3</v>
      </c>
      <c r="H17">
        <v>8.6999999999999993</v>
      </c>
      <c r="I17">
        <v>1.6</v>
      </c>
      <c r="L17">
        <v>4.1559999999999997</v>
      </c>
      <c r="Q17">
        <v>6.85</v>
      </c>
      <c r="R17">
        <v>5.8338095238095224</v>
      </c>
      <c r="S17">
        <f t="shared" si="0"/>
        <v>1.0161904761904772</v>
      </c>
    </row>
    <row r="18" spans="1:19" x14ac:dyDescent="0.2">
      <c r="A18" s="1">
        <v>26054</v>
      </c>
      <c r="B18" s="1">
        <v>26084</v>
      </c>
      <c r="C18">
        <v>99.8</v>
      </c>
      <c r="D18">
        <v>1.1261000000000001</v>
      </c>
      <c r="G18">
        <v>10.3</v>
      </c>
      <c r="H18">
        <v>8.6999999999999993</v>
      </c>
      <c r="I18">
        <v>1.6</v>
      </c>
      <c r="L18">
        <v>4.6322580645161278</v>
      </c>
      <c r="Q18">
        <v>6.82</v>
      </c>
      <c r="R18">
        <v>6.3925000000000001</v>
      </c>
      <c r="S18">
        <f t="shared" si="0"/>
        <v>0.42750000000000021</v>
      </c>
    </row>
    <row r="19" spans="1:19" x14ac:dyDescent="0.2">
      <c r="A19" s="1">
        <v>26085</v>
      </c>
      <c r="B19" s="1">
        <v>26114</v>
      </c>
      <c r="C19">
        <v>99.8</v>
      </c>
      <c r="D19">
        <v>1.1266</v>
      </c>
      <c r="G19">
        <v>10.3</v>
      </c>
      <c r="H19">
        <v>8.6999999999999993</v>
      </c>
      <c r="I19">
        <v>1.6</v>
      </c>
      <c r="L19">
        <v>4.9113333333333316</v>
      </c>
      <c r="Q19">
        <v>6.83</v>
      </c>
      <c r="R19">
        <v>6.5222727272727266</v>
      </c>
      <c r="S19">
        <f t="shared" si="0"/>
        <v>0.30772727272727352</v>
      </c>
    </row>
    <row r="20" spans="1:19" x14ac:dyDescent="0.2">
      <c r="A20" s="1">
        <v>26115</v>
      </c>
      <c r="B20" s="1">
        <v>26145</v>
      </c>
      <c r="C20">
        <v>99.7</v>
      </c>
      <c r="D20">
        <v>1.1264000000000001</v>
      </c>
      <c r="G20">
        <v>10.3</v>
      </c>
      <c r="H20">
        <v>8.6999999999999993</v>
      </c>
      <c r="I20">
        <v>1.7</v>
      </c>
      <c r="L20">
        <v>5.3087096774193538</v>
      </c>
      <c r="Q20">
        <v>6.81</v>
      </c>
      <c r="R20">
        <v>6.7295238095238092</v>
      </c>
      <c r="S20">
        <f t="shared" si="0"/>
        <v>8.0476190476190368E-2</v>
      </c>
    </row>
    <row r="21" spans="1:19" x14ac:dyDescent="0.2">
      <c r="A21" s="1">
        <v>26146</v>
      </c>
      <c r="B21" s="1">
        <v>26176</v>
      </c>
      <c r="C21">
        <v>99.3</v>
      </c>
      <c r="D21">
        <v>1.1487000000000001</v>
      </c>
      <c r="G21">
        <v>10.3</v>
      </c>
      <c r="H21">
        <v>8.6999999999999993</v>
      </c>
      <c r="I21">
        <v>1.7</v>
      </c>
      <c r="L21">
        <v>5.5667741935483868</v>
      </c>
      <c r="Q21">
        <v>6.82</v>
      </c>
      <c r="R21">
        <v>6.5827272727272739</v>
      </c>
      <c r="S21">
        <f t="shared" si="0"/>
        <v>0.23727272727272641</v>
      </c>
    </row>
    <row r="22" spans="1:19" x14ac:dyDescent="0.2">
      <c r="A22" s="1">
        <v>26177</v>
      </c>
      <c r="B22" s="1">
        <v>26206</v>
      </c>
      <c r="C22">
        <v>99.8</v>
      </c>
      <c r="D22">
        <v>1.157</v>
      </c>
      <c r="G22">
        <v>10.3</v>
      </c>
      <c r="H22">
        <v>8.6999999999999993</v>
      </c>
      <c r="I22">
        <v>1.7</v>
      </c>
      <c r="L22">
        <v>5.5536666666666656</v>
      </c>
      <c r="Q22">
        <v>6.78</v>
      </c>
      <c r="R22">
        <v>6.1395238095238103</v>
      </c>
      <c r="S22">
        <f t="shared" si="0"/>
        <v>0.64047619047618998</v>
      </c>
    </row>
    <row r="23" spans="1:19" x14ac:dyDescent="0.2">
      <c r="A23" s="1">
        <v>26207</v>
      </c>
      <c r="B23" s="1">
        <v>26237</v>
      </c>
      <c r="C23">
        <v>99.4</v>
      </c>
      <c r="D23">
        <v>1.1614</v>
      </c>
      <c r="G23">
        <v>10.3</v>
      </c>
      <c r="H23">
        <v>8.6999999999999993</v>
      </c>
      <c r="I23">
        <v>1.7</v>
      </c>
      <c r="L23">
        <v>5.1993548387096764</v>
      </c>
      <c r="Q23">
        <v>6.58</v>
      </c>
      <c r="R23">
        <v>5.9257894736842118</v>
      </c>
      <c r="S23">
        <f t="shared" si="0"/>
        <v>0.65421052631578824</v>
      </c>
    </row>
    <row r="24" spans="1:19" x14ac:dyDescent="0.2">
      <c r="A24" s="1">
        <v>26238</v>
      </c>
      <c r="B24" s="1">
        <v>26267</v>
      </c>
      <c r="C24">
        <v>99.3</v>
      </c>
      <c r="D24">
        <v>1.1615</v>
      </c>
      <c r="G24">
        <v>10.3</v>
      </c>
      <c r="H24">
        <v>8.6999999999999993</v>
      </c>
      <c r="I24">
        <v>1.7</v>
      </c>
      <c r="L24">
        <v>4.910333333333333</v>
      </c>
      <c r="Q24">
        <v>6.38</v>
      </c>
      <c r="R24">
        <v>5.81</v>
      </c>
      <c r="S24">
        <f t="shared" si="0"/>
        <v>0.57000000000000028</v>
      </c>
    </row>
    <row r="25" spans="1:19" x14ac:dyDescent="0.2">
      <c r="A25" s="1">
        <v>26268</v>
      </c>
      <c r="B25" s="1">
        <v>26298</v>
      </c>
      <c r="C25">
        <v>99.8</v>
      </c>
      <c r="D25">
        <v>1.1910000000000001</v>
      </c>
      <c r="G25">
        <v>10.3</v>
      </c>
      <c r="H25">
        <v>8.6999999999999993</v>
      </c>
      <c r="I25">
        <v>1.7</v>
      </c>
      <c r="L25">
        <v>4.138387096774192</v>
      </c>
      <c r="Q25">
        <v>6.15</v>
      </c>
      <c r="R25">
        <v>5.9263636363636358</v>
      </c>
      <c r="S25">
        <f t="shared" si="0"/>
        <v>0.22363636363636452</v>
      </c>
    </row>
    <row r="26" spans="1:19" x14ac:dyDescent="0.2">
      <c r="A26" s="1">
        <v>26299</v>
      </c>
      <c r="B26" s="1">
        <v>26329</v>
      </c>
      <c r="C26">
        <v>98.8</v>
      </c>
      <c r="D26">
        <v>1.1910000000000001</v>
      </c>
      <c r="G26">
        <v>10.3</v>
      </c>
      <c r="H26">
        <v>9.6</v>
      </c>
      <c r="I26">
        <v>1.8</v>
      </c>
      <c r="L26">
        <v>3.5058064516129024</v>
      </c>
      <c r="Q26">
        <v>6.14</v>
      </c>
      <c r="R26">
        <v>5.9476190476190469</v>
      </c>
      <c r="S26">
        <f t="shared" si="0"/>
        <v>0.19238095238095276</v>
      </c>
    </row>
    <row r="27" spans="1:19" x14ac:dyDescent="0.2">
      <c r="A27" s="1">
        <v>26330</v>
      </c>
      <c r="B27" s="1">
        <v>26358</v>
      </c>
      <c r="C27">
        <v>98.1</v>
      </c>
      <c r="D27">
        <v>1.1910000000000001</v>
      </c>
      <c r="G27">
        <v>10.3</v>
      </c>
      <c r="H27">
        <v>9.6</v>
      </c>
      <c r="I27">
        <v>1.8</v>
      </c>
      <c r="L27">
        <v>3.2955172413793097</v>
      </c>
      <c r="Q27">
        <v>5.84</v>
      </c>
      <c r="R27">
        <v>6.0810000000000004</v>
      </c>
      <c r="S27">
        <f t="shared" si="0"/>
        <v>-0.24100000000000055</v>
      </c>
    </row>
    <row r="28" spans="1:19" x14ac:dyDescent="0.2">
      <c r="A28" s="1">
        <v>26359</v>
      </c>
      <c r="B28" s="1">
        <v>26389</v>
      </c>
      <c r="C28">
        <v>97.8</v>
      </c>
      <c r="D28">
        <v>1.1910000000000001</v>
      </c>
      <c r="G28">
        <v>10.3</v>
      </c>
      <c r="H28">
        <v>9.6</v>
      </c>
      <c r="I28">
        <v>1.8</v>
      </c>
      <c r="L28">
        <v>3.8293548387096776</v>
      </c>
      <c r="Q28">
        <v>5.84</v>
      </c>
      <c r="R28">
        <v>6.0686363636363634</v>
      </c>
      <c r="S28">
        <f t="shared" si="0"/>
        <v>-0.22863636363636353</v>
      </c>
    </row>
    <row r="29" spans="1:19" x14ac:dyDescent="0.2">
      <c r="A29" s="1">
        <v>26390</v>
      </c>
      <c r="B29" s="1">
        <v>26419</v>
      </c>
      <c r="C29">
        <v>97.9</v>
      </c>
      <c r="D29">
        <v>1.1910000000000001</v>
      </c>
      <c r="G29">
        <v>10.3</v>
      </c>
      <c r="H29">
        <v>9.6</v>
      </c>
      <c r="I29">
        <v>1.8</v>
      </c>
      <c r="L29">
        <v>4.1710000000000003</v>
      </c>
      <c r="Q29">
        <v>5.85</v>
      </c>
      <c r="R29">
        <v>6.1944999999999988</v>
      </c>
      <c r="S29">
        <f t="shared" si="0"/>
        <v>-0.34449999999999914</v>
      </c>
    </row>
    <row r="30" spans="1:19" x14ac:dyDescent="0.2">
      <c r="A30" s="1">
        <v>26420</v>
      </c>
      <c r="B30" s="1">
        <v>26450</v>
      </c>
      <c r="C30">
        <v>97.9</v>
      </c>
      <c r="D30">
        <v>1.1910000000000001</v>
      </c>
      <c r="G30">
        <v>10.3</v>
      </c>
      <c r="H30">
        <v>9.6</v>
      </c>
      <c r="I30">
        <v>1.8</v>
      </c>
      <c r="L30">
        <v>4.2696774193548395</v>
      </c>
      <c r="Q30">
        <v>5.85</v>
      </c>
      <c r="R30">
        <v>6.126363636363636</v>
      </c>
      <c r="S30">
        <f t="shared" si="0"/>
        <v>-0.27636363636363637</v>
      </c>
    </row>
    <row r="31" spans="1:19" x14ac:dyDescent="0.2">
      <c r="A31" s="1">
        <v>26451</v>
      </c>
      <c r="B31" s="1">
        <v>26480</v>
      </c>
      <c r="C31">
        <v>98.5</v>
      </c>
      <c r="D31">
        <v>1.1910000000000001</v>
      </c>
      <c r="G31">
        <v>10.3</v>
      </c>
      <c r="H31">
        <v>9.6</v>
      </c>
      <c r="I31">
        <v>1.8</v>
      </c>
      <c r="L31">
        <v>4.4646666666666652</v>
      </c>
      <c r="Q31">
        <v>5.85</v>
      </c>
      <c r="R31">
        <v>6.1068181818181815</v>
      </c>
      <c r="S31">
        <f t="shared" si="0"/>
        <v>-0.25681818181818183</v>
      </c>
    </row>
    <row r="32" spans="1:19" x14ac:dyDescent="0.2">
      <c r="A32" s="1">
        <v>26481</v>
      </c>
      <c r="B32" s="1">
        <v>26511</v>
      </c>
      <c r="C32">
        <v>98.6</v>
      </c>
      <c r="D32">
        <v>1.1910000000000001</v>
      </c>
      <c r="G32">
        <v>10.3</v>
      </c>
      <c r="H32">
        <v>9.6</v>
      </c>
      <c r="I32">
        <v>1.9</v>
      </c>
      <c r="L32">
        <v>4.5490322580645159</v>
      </c>
      <c r="Q32">
        <v>5.8</v>
      </c>
      <c r="R32">
        <v>6.1130000000000004</v>
      </c>
      <c r="S32">
        <f t="shared" si="0"/>
        <v>-0.31300000000000061</v>
      </c>
    </row>
    <row r="33" spans="1:19" x14ac:dyDescent="0.2">
      <c r="A33" s="1">
        <v>26512</v>
      </c>
      <c r="B33" s="1">
        <v>26542</v>
      </c>
      <c r="C33">
        <v>98.5</v>
      </c>
      <c r="D33">
        <v>1.1910000000000001</v>
      </c>
      <c r="G33">
        <v>10.3</v>
      </c>
      <c r="H33">
        <v>9.6</v>
      </c>
      <c r="I33">
        <v>1.9</v>
      </c>
      <c r="L33">
        <v>4.8051612903225811</v>
      </c>
      <c r="Q33">
        <v>5.75</v>
      </c>
      <c r="R33">
        <v>6.2104347826086945</v>
      </c>
      <c r="S33">
        <f t="shared" si="0"/>
        <v>-0.46043478260869453</v>
      </c>
    </row>
    <row r="34" spans="1:19" x14ac:dyDescent="0.2">
      <c r="A34" s="1">
        <v>26543</v>
      </c>
      <c r="B34" s="1">
        <v>26572</v>
      </c>
      <c r="C34">
        <v>98.9</v>
      </c>
      <c r="D34">
        <v>1.1910000000000001</v>
      </c>
      <c r="G34">
        <v>10.3</v>
      </c>
      <c r="H34">
        <v>9.6</v>
      </c>
      <c r="I34">
        <v>1.9</v>
      </c>
      <c r="L34">
        <v>4.8743333333333316</v>
      </c>
      <c r="Q34">
        <v>5.75</v>
      </c>
      <c r="R34">
        <v>6.5495000000000001</v>
      </c>
      <c r="S34">
        <f t="shared" si="0"/>
        <v>-0.7995000000000001</v>
      </c>
    </row>
    <row r="35" spans="1:19" x14ac:dyDescent="0.2">
      <c r="A35" s="1">
        <v>26573</v>
      </c>
      <c r="B35" s="1">
        <v>26603</v>
      </c>
      <c r="C35">
        <v>99.8</v>
      </c>
      <c r="D35">
        <v>1.1910000000000001</v>
      </c>
      <c r="G35">
        <v>10.3</v>
      </c>
      <c r="H35">
        <v>9.6</v>
      </c>
      <c r="I35">
        <v>1.9</v>
      </c>
      <c r="L35">
        <v>5.0451612903225795</v>
      </c>
      <c r="Q35">
        <v>5.77</v>
      </c>
      <c r="R35">
        <v>6.4794999999999998</v>
      </c>
      <c r="S35">
        <f t="shared" si="0"/>
        <v>-0.70950000000000024</v>
      </c>
    </row>
    <row r="36" spans="1:19" x14ac:dyDescent="0.2">
      <c r="A36" s="1">
        <v>26604</v>
      </c>
      <c r="B36" s="1">
        <v>26633</v>
      </c>
      <c r="C36">
        <v>99.4</v>
      </c>
      <c r="D36">
        <v>1.1910000000000001</v>
      </c>
      <c r="G36">
        <v>10.3</v>
      </c>
      <c r="H36">
        <v>9.6</v>
      </c>
      <c r="I36">
        <v>1.9</v>
      </c>
      <c r="L36">
        <v>5.056333333333332</v>
      </c>
      <c r="Q36">
        <v>5.76</v>
      </c>
      <c r="R36">
        <v>6.2804999999999991</v>
      </c>
      <c r="S36">
        <f t="shared" si="0"/>
        <v>-0.5204999999999993</v>
      </c>
    </row>
    <row r="37" spans="1:19" x14ac:dyDescent="0.2">
      <c r="A37" s="1">
        <v>26634</v>
      </c>
      <c r="B37" s="1">
        <v>26664</v>
      </c>
      <c r="C37">
        <v>106.5</v>
      </c>
      <c r="D37">
        <v>1.2749999999999999</v>
      </c>
      <c r="G37">
        <v>10.3</v>
      </c>
      <c r="H37">
        <v>9.6</v>
      </c>
      <c r="I37">
        <v>1.9</v>
      </c>
      <c r="L37">
        <v>5.3322580645161279</v>
      </c>
      <c r="Q37">
        <v>5.78</v>
      </c>
      <c r="R37">
        <v>6.3585000000000012</v>
      </c>
      <c r="S37">
        <f t="shared" si="0"/>
        <v>-0.5785000000000009</v>
      </c>
    </row>
    <row r="38" spans="1:19" x14ac:dyDescent="0.2">
      <c r="A38" s="1">
        <v>26665</v>
      </c>
      <c r="B38" s="1">
        <v>26695</v>
      </c>
      <c r="C38">
        <v>105.9</v>
      </c>
      <c r="D38">
        <v>1.2749999999999999</v>
      </c>
      <c r="G38">
        <v>10.3</v>
      </c>
      <c r="H38">
        <v>11.5</v>
      </c>
      <c r="I38">
        <v>2.1</v>
      </c>
      <c r="L38">
        <v>5.944516129032257</v>
      </c>
      <c r="Q38">
        <v>5.69</v>
      </c>
      <c r="R38">
        <v>6.4645454545454548</v>
      </c>
      <c r="S38">
        <f t="shared" si="0"/>
        <v>-0.77454545454545443</v>
      </c>
    </row>
    <row r="39" spans="1:19" x14ac:dyDescent="0.2">
      <c r="A39" s="1">
        <v>26696</v>
      </c>
      <c r="B39" s="1">
        <v>26723</v>
      </c>
      <c r="C39">
        <v>110.7</v>
      </c>
      <c r="D39">
        <v>1.4167000000000001</v>
      </c>
      <c r="G39">
        <v>10.3</v>
      </c>
      <c r="H39">
        <v>11.5</v>
      </c>
      <c r="I39">
        <v>2.1</v>
      </c>
      <c r="L39">
        <v>6.5842857142857136</v>
      </c>
      <c r="Q39">
        <v>5.76</v>
      </c>
      <c r="R39">
        <v>6.6355555555555554</v>
      </c>
      <c r="S39">
        <f t="shared" si="0"/>
        <v>-0.87555555555555564</v>
      </c>
    </row>
    <row r="40" spans="1:19" x14ac:dyDescent="0.2">
      <c r="A40" s="1">
        <v>26724</v>
      </c>
      <c r="B40" s="1">
        <v>26754</v>
      </c>
      <c r="C40">
        <v>110.5</v>
      </c>
      <c r="D40">
        <v>1.4167000000000001</v>
      </c>
      <c r="G40">
        <v>10.3</v>
      </c>
      <c r="H40">
        <v>11.5</v>
      </c>
      <c r="I40">
        <v>2.1</v>
      </c>
      <c r="L40">
        <v>7.0903225806451609</v>
      </c>
      <c r="Q40">
        <v>5.8</v>
      </c>
      <c r="R40">
        <v>6.7090909090909099</v>
      </c>
      <c r="S40">
        <f t="shared" si="0"/>
        <v>-0.90909090909091006</v>
      </c>
    </row>
    <row r="41" spans="1:19" x14ac:dyDescent="0.2">
      <c r="A41" s="1">
        <v>26755</v>
      </c>
      <c r="B41" s="1">
        <v>26784</v>
      </c>
      <c r="C41">
        <v>110.5</v>
      </c>
      <c r="D41">
        <v>1.4167000000000001</v>
      </c>
      <c r="G41">
        <v>10.3</v>
      </c>
      <c r="H41">
        <v>11.5</v>
      </c>
      <c r="I41">
        <v>2.4</v>
      </c>
      <c r="L41">
        <v>7.1243333333333316</v>
      </c>
      <c r="Q41">
        <v>6.12</v>
      </c>
      <c r="R41">
        <v>6.668499999999999</v>
      </c>
      <c r="S41">
        <f t="shared" si="0"/>
        <v>-0.54849999999999888</v>
      </c>
    </row>
    <row r="42" spans="1:19" x14ac:dyDescent="0.2">
      <c r="A42" s="1">
        <v>26785</v>
      </c>
      <c r="B42" s="1">
        <v>26815</v>
      </c>
      <c r="C42">
        <v>109.1</v>
      </c>
      <c r="D42">
        <v>1.4167000000000001</v>
      </c>
      <c r="G42">
        <v>10.3</v>
      </c>
      <c r="H42">
        <v>11.5</v>
      </c>
      <c r="I42">
        <v>2.4</v>
      </c>
      <c r="L42">
        <v>7.8393548387096761</v>
      </c>
      <c r="Q42">
        <v>6.2</v>
      </c>
      <c r="R42">
        <v>6.8472727272727276</v>
      </c>
      <c r="S42">
        <f t="shared" si="0"/>
        <v>-0.64727272727272744</v>
      </c>
    </row>
    <row r="43" spans="1:19" x14ac:dyDescent="0.2">
      <c r="A43" s="1">
        <v>26816</v>
      </c>
      <c r="B43" s="1">
        <v>26845</v>
      </c>
      <c r="C43">
        <v>107.9</v>
      </c>
      <c r="D43">
        <v>1.4167000000000001</v>
      </c>
      <c r="G43">
        <v>10.3</v>
      </c>
      <c r="H43">
        <v>11.5</v>
      </c>
      <c r="I43">
        <v>2.4</v>
      </c>
      <c r="L43">
        <v>8.4909999999999979</v>
      </c>
      <c r="Q43">
        <v>6.72</v>
      </c>
      <c r="R43">
        <v>6.8999999999999986</v>
      </c>
      <c r="S43">
        <f t="shared" si="0"/>
        <v>-0.17999999999999883</v>
      </c>
    </row>
    <row r="44" spans="1:19" x14ac:dyDescent="0.2">
      <c r="A44" s="1">
        <v>26846</v>
      </c>
      <c r="B44" s="1">
        <v>26876</v>
      </c>
      <c r="C44">
        <v>107.9</v>
      </c>
      <c r="D44">
        <v>1.4167000000000001</v>
      </c>
      <c r="G44">
        <v>10.3</v>
      </c>
      <c r="H44">
        <v>11.5</v>
      </c>
      <c r="I44">
        <v>2.7</v>
      </c>
      <c r="L44">
        <v>10.400000000000002</v>
      </c>
      <c r="Q44">
        <v>6.74</v>
      </c>
      <c r="R44">
        <v>7.1309523809523814</v>
      </c>
      <c r="S44">
        <f t="shared" si="0"/>
        <v>-0.39095238095238116</v>
      </c>
    </row>
    <row r="45" spans="1:19" x14ac:dyDescent="0.2">
      <c r="A45" s="1">
        <v>26877</v>
      </c>
      <c r="B45" s="1">
        <v>26907</v>
      </c>
      <c r="C45">
        <v>108.9</v>
      </c>
      <c r="D45">
        <v>1.4167000000000001</v>
      </c>
      <c r="G45">
        <v>10.3</v>
      </c>
      <c r="H45">
        <v>11.5</v>
      </c>
      <c r="I45">
        <v>2.7</v>
      </c>
      <c r="L45">
        <v>10.495806451612903</v>
      </c>
      <c r="Q45">
        <v>6.73</v>
      </c>
      <c r="R45">
        <v>7.4047826086956512</v>
      </c>
      <c r="S45">
        <f t="shared" si="0"/>
        <v>-0.67478260869565077</v>
      </c>
    </row>
    <row r="46" spans="1:19" x14ac:dyDescent="0.2">
      <c r="A46" s="1">
        <v>26908</v>
      </c>
      <c r="B46" s="1">
        <v>26937</v>
      </c>
      <c r="C46">
        <v>113.9</v>
      </c>
      <c r="D46">
        <v>1.4875</v>
      </c>
      <c r="G46">
        <v>10.3</v>
      </c>
      <c r="H46">
        <v>11.5</v>
      </c>
      <c r="I46">
        <v>2.7</v>
      </c>
      <c r="L46">
        <v>10.784666666666668</v>
      </c>
      <c r="Q46">
        <v>8.3800000000000008</v>
      </c>
      <c r="R46">
        <v>7.0905263157894725</v>
      </c>
      <c r="S46">
        <f t="shared" si="0"/>
        <v>1.2894736842105283</v>
      </c>
    </row>
    <row r="47" spans="1:19" x14ac:dyDescent="0.2">
      <c r="A47" s="1">
        <v>26938</v>
      </c>
      <c r="B47" s="1">
        <v>26968</v>
      </c>
      <c r="C47">
        <v>113.8</v>
      </c>
      <c r="D47">
        <v>1.4875</v>
      </c>
      <c r="G47">
        <v>10.3</v>
      </c>
      <c r="H47">
        <v>11.5</v>
      </c>
      <c r="I47">
        <v>4.0999999999999996</v>
      </c>
      <c r="L47">
        <v>10.009999999999998</v>
      </c>
      <c r="Q47">
        <v>8.35</v>
      </c>
      <c r="R47">
        <v>6.7942857142857163</v>
      </c>
      <c r="S47">
        <f t="shared" si="0"/>
        <v>1.5557142857142834</v>
      </c>
    </row>
    <row r="48" spans="1:19" x14ac:dyDescent="0.2">
      <c r="A48" s="1">
        <v>26969</v>
      </c>
      <c r="B48" s="1">
        <v>26998</v>
      </c>
      <c r="C48">
        <v>117.3</v>
      </c>
      <c r="D48">
        <v>1.4875</v>
      </c>
      <c r="G48">
        <v>10.3</v>
      </c>
      <c r="H48">
        <v>11.5</v>
      </c>
      <c r="I48">
        <v>4.0999999999999996</v>
      </c>
      <c r="L48">
        <v>10.033666666666665</v>
      </c>
      <c r="Q48">
        <v>8.35</v>
      </c>
      <c r="R48">
        <v>6.7284999999999995</v>
      </c>
      <c r="S48">
        <f t="shared" si="0"/>
        <v>1.6215000000000002</v>
      </c>
    </row>
    <row r="49" spans="1:19" x14ac:dyDescent="0.2">
      <c r="A49" s="1">
        <v>26999</v>
      </c>
      <c r="B49" s="1">
        <v>27029</v>
      </c>
      <c r="C49">
        <v>118.1</v>
      </c>
      <c r="D49">
        <v>1.4875</v>
      </c>
      <c r="G49">
        <v>10.3</v>
      </c>
      <c r="H49">
        <v>11.5</v>
      </c>
      <c r="I49">
        <v>4.0999999999999996</v>
      </c>
      <c r="L49">
        <v>9.9477419354838688</v>
      </c>
      <c r="Q49">
        <v>8.36</v>
      </c>
      <c r="R49">
        <v>6.7436842105263137</v>
      </c>
      <c r="S49">
        <f t="shared" si="0"/>
        <v>1.6163157894736857</v>
      </c>
    </row>
    <row r="50" spans="1:19" x14ac:dyDescent="0.2">
      <c r="A50" s="1">
        <v>27030</v>
      </c>
      <c r="B50" s="1">
        <v>27060</v>
      </c>
      <c r="C50">
        <v>121.3</v>
      </c>
      <c r="D50">
        <v>1.4875</v>
      </c>
      <c r="G50">
        <v>13.4</v>
      </c>
      <c r="H50">
        <v>16.899999999999999</v>
      </c>
      <c r="I50">
        <v>13</v>
      </c>
      <c r="L50">
        <v>9.6483870967741936</v>
      </c>
      <c r="Q50">
        <v>8.36</v>
      </c>
      <c r="R50">
        <v>6.9886363636363624</v>
      </c>
      <c r="S50">
        <f t="shared" si="0"/>
        <v>1.371363636363637</v>
      </c>
    </row>
    <row r="51" spans="1:19" x14ac:dyDescent="0.2">
      <c r="A51" s="1">
        <v>27061</v>
      </c>
      <c r="B51" s="1">
        <v>27088</v>
      </c>
      <c r="C51">
        <v>119</v>
      </c>
      <c r="D51">
        <v>1.4875</v>
      </c>
      <c r="G51">
        <v>13.4</v>
      </c>
      <c r="H51">
        <v>16.899999999999999</v>
      </c>
      <c r="I51">
        <v>13</v>
      </c>
      <c r="L51">
        <v>8.9717857142857138</v>
      </c>
      <c r="Q51">
        <v>8.36</v>
      </c>
      <c r="R51">
        <v>6.9572222222222226</v>
      </c>
      <c r="S51">
        <f t="shared" si="0"/>
        <v>1.4027777777777768</v>
      </c>
    </row>
    <row r="52" spans="1:19" x14ac:dyDescent="0.2">
      <c r="A52" s="1">
        <v>27089</v>
      </c>
      <c r="B52" s="1">
        <v>27119</v>
      </c>
      <c r="C52">
        <v>115.5</v>
      </c>
      <c r="D52">
        <v>1.4875</v>
      </c>
      <c r="G52">
        <v>13.4</v>
      </c>
      <c r="H52">
        <v>16.899999999999999</v>
      </c>
      <c r="I52">
        <v>13</v>
      </c>
      <c r="L52">
        <v>9.3461290322580641</v>
      </c>
      <c r="Q52">
        <v>8.3699999999999992</v>
      </c>
      <c r="R52">
        <v>7.2090476190476185</v>
      </c>
      <c r="S52">
        <f t="shared" si="0"/>
        <v>1.1609523809523807</v>
      </c>
    </row>
    <row r="53" spans="1:19" x14ac:dyDescent="0.2">
      <c r="A53" s="1">
        <v>27120</v>
      </c>
      <c r="B53" s="1">
        <v>27149</v>
      </c>
      <c r="C53">
        <v>116</v>
      </c>
      <c r="D53">
        <v>1.4875</v>
      </c>
      <c r="G53">
        <v>13.4</v>
      </c>
      <c r="H53">
        <v>16.899999999999999</v>
      </c>
      <c r="I53">
        <v>10.6</v>
      </c>
      <c r="L53">
        <v>10.513000000000005</v>
      </c>
      <c r="Q53">
        <v>8.3800000000000008</v>
      </c>
      <c r="R53">
        <v>7.512380952380953</v>
      </c>
      <c r="S53">
        <f t="shared" si="0"/>
        <v>0.86761904761904773</v>
      </c>
    </row>
    <row r="54" spans="1:19" x14ac:dyDescent="0.2">
      <c r="A54" s="1">
        <v>27150</v>
      </c>
      <c r="B54" s="1">
        <v>27180</v>
      </c>
      <c r="C54">
        <v>117</v>
      </c>
      <c r="D54">
        <v>1.4875</v>
      </c>
      <c r="G54">
        <v>13.4</v>
      </c>
      <c r="H54">
        <v>16.899999999999999</v>
      </c>
      <c r="I54">
        <v>10.6</v>
      </c>
      <c r="L54">
        <v>11.306129032258069</v>
      </c>
      <c r="Q54">
        <v>8.4499999999999993</v>
      </c>
      <c r="R54">
        <v>7.5759090909090929</v>
      </c>
      <c r="S54">
        <f t="shared" si="0"/>
        <v>0.87409090909090637</v>
      </c>
    </row>
    <row r="55" spans="1:19" x14ac:dyDescent="0.2">
      <c r="A55" s="1">
        <v>27181</v>
      </c>
      <c r="B55" s="1">
        <v>27210</v>
      </c>
      <c r="C55">
        <v>117.3</v>
      </c>
      <c r="D55">
        <v>1.4875</v>
      </c>
      <c r="G55">
        <v>13.4</v>
      </c>
      <c r="H55">
        <v>16.899999999999999</v>
      </c>
      <c r="I55">
        <v>10.6</v>
      </c>
      <c r="L55">
        <v>11.933</v>
      </c>
      <c r="Q55">
        <v>9.52</v>
      </c>
      <c r="R55">
        <v>7.5354999999999972</v>
      </c>
      <c r="S55">
        <f t="shared" si="0"/>
        <v>1.9845000000000024</v>
      </c>
    </row>
    <row r="56" spans="1:19" x14ac:dyDescent="0.2">
      <c r="A56" s="1">
        <v>27211</v>
      </c>
      <c r="B56" s="1">
        <v>27241</v>
      </c>
      <c r="C56">
        <v>118.8</v>
      </c>
      <c r="D56">
        <v>1.4875</v>
      </c>
      <c r="G56">
        <v>13.4</v>
      </c>
      <c r="H56">
        <v>16.899999999999999</v>
      </c>
      <c r="I56">
        <v>10</v>
      </c>
      <c r="L56">
        <v>12.922903225806452</v>
      </c>
      <c r="Q56">
        <v>9.5</v>
      </c>
      <c r="R56">
        <v>7.8049999999999979</v>
      </c>
      <c r="S56">
        <f t="shared" si="0"/>
        <v>1.6950000000000021</v>
      </c>
    </row>
    <row r="57" spans="1:19" x14ac:dyDescent="0.2">
      <c r="A57" s="1">
        <v>27242</v>
      </c>
      <c r="B57" s="1">
        <v>27272</v>
      </c>
      <c r="C57">
        <v>120.5</v>
      </c>
      <c r="D57">
        <v>1.4875</v>
      </c>
      <c r="G57">
        <v>13.4</v>
      </c>
      <c r="H57">
        <v>16.899999999999999</v>
      </c>
      <c r="I57">
        <v>10</v>
      </c>
      <c r="L57">
        <v>12.005161290322583</v>
      </c>
      <c r="Q57">
        <v>9.5</v>
      </c>
      <c r="R57">
        <v>8.0440909090909098</v>
      </c>
      <c r="S57">
        <f t="shared" si="0"/>
        <v>1.4559090909090902</v>
      </c>
    </row>
    <row r="58" spans="1:19" x14ac:dyDescent="0.2">
      <c r="A58" s="1">
        <v>27273</v>
      </c>
      <c r="B58" s="1">
        <v>27302</v>
      </c>
      <c r="C58">
        <v>105.3</v>
      </c>
      <c r="D58">
        <v>1.3103</v>
      </c>
      <c r="G58">
        <v>13.4</v>
      </c>
      <c r="H58">
        <v>16.899999999999999</v>
      </c>
      <c r="I58">
        <v>10</v>
      </c>
      <c r="L58">
        <v>11.343333333333334</v>
      </c>
      <c r="Q58">
        <v>9.5</v>
      </c>
      <c r="R58">
        <v>8.0374999999999996</v>
      </c>
      <c r="S58">
        <f t="shared" si="0"/>
        <v>1.4625000000000004</v>
      </c>
    </row>
    <row r="59" spans="1:19" x14ac:dyDescent="0.2">
      <c r="A59" s="1">
        <v>27303</v>
      </c>
      <c r="B59" s="1">
        <v>27333</v>
      </c>
      <c r="C59">
        <v>105.3</v>
      </c>
      <c r="D59">
        <v>1.3105</v>
      </c>
      <c r="G59">
        <v>13.4</v>
      </c>
      <c r="H59">
        <v>16.899999999999999</v>
      </c>
      <c r="I59">
        <v>10.3</v>
      </c>
      <c r="L59">
        <v>10.05774193548387</v>
      </c>
      <c r="Q59">
        <v>9.5</v>
      </c>
      <c r="R59">
        <v>7.8968181818181824</v>
      </c>
      <c r="S59">
        <f t="shared" si="0"/>
        <v>1.6031818181818176</v>
      </c>
    </row>
    <row r="60" spans="1:19" x14ac:dyDescent="0.2">
      <c r="A60" s="1">
        <v>27334</v>
      </c>
      <c r="B60" s="1">
        <v>27363</v>
      </c>
      <c r="C60">
        <v>105.3</v>
      </c>
      <c r="D60">
        <v>1.3162</v>
      </c>
      <c r="G60">
        <v>13.4</v>
      </c>
      <c r="H60">
        <v>16.899999999999999</v>
      </c>
      <c r="I60">
        <v>10.3</v>
      </c>
      <c r="L60">
        <v>9.4476666666666684</v>
      </c>
      <c r="Q60">
        <v>9.5</v>
      </c>
      <c r="R60">
        <v>7.6811111111111092</v>
      </c>
      <c r="S60">
        <f t="shared" si="0"/>
        <v>1.8188888888888908</v>
      </c>
    </row>
    <row r="61" spans="1:19" x14ac:dyDescent="0.2">
      <c r="A61" s="1">
        <v>27364</v>
      </c>
      <c r="B61" s="1">
        <v>27394</v>
      </c>
      <c r="C61">
        <v>105.3</v>
      </c>
      <c r="D61">
        <v>1.327</v>
      </c>
      <c r="G61">
        <v>13.4</v>
      </c>
      <c r="H61">
        <v>16.899999999999999</v>
      </c>
      <c r="I61">
        <v>10.3</v>
      </c>
      <c r="L61">
        <v>8.5309677419354824</v>
      </c>
      <c r="Q61">
        <v>9.5</v>
      </c>
      <c r="R61">
        <v>7.433809523809523</v>
      </c>
      <c r="S61">
        <f t="shared" si="0"/>
        <v>2.066190476190477</v>
      </c>
    </row>
    <row r="62" spans="1:19" x14ac:dyDescent="0.2">
      <c r="A62" s="1">
        <v>27395</v>
      </c>
      <c r="B62" s="1">
        <v>27425</v>
      </c>
      <c r="C62">
        <v>105.3</v>
      </c>
      <c r="D62">
        <v>1.3384</v>
      </c>
      <c r="G62">
        <v>17.3</v>
      </c>
      <c r="H62">
        <v>26.8</v>
      </c>
      <c r="I62">
        <v>10.4</v>
      </c>
      <c r="L62">
        <v>7.1316129032258049</v>
      </c>
      <c r="Q62">
        <v>9.4</v>
      </c>
      <c r="R62">
        <v>7.5013636363636378</v>
      </c>
      <c r="S62">
        <f t="shared" si="0"/>
        <v>1.8986363636363626</v>
      </c>
    </row>
    <row r="63" spans="1:19" x14ac:dyDescent="0.2">
      <c r="A63" s="1">
        <v>27426</v>
      </c>
      <c r="B63" s="1">
        <v>27453</v>
      </c>
      <c r="C63">
        <v>105.3</v>
      </c>
      <c r="D63">
        <v>1.3666</v>
      </c>
      <c r="G63">
        <v>17.3</v>
      </c>
      <c r="H63">
        <v>26.8</v>
      </c>
      <c r="I63">
        <v>10.4</v>
      </c>
      <c r="L63">
        <v>6.2407142857142848</v>
      </c>
      <c r="Q63">
        <v>9.5</v>
      </c>
      <c r="R63">
        <v>7.3922222222222222</v>
      </c>
      <c r="S63">
        <f t="shared" si="0"/>
        <v>2.1077777777777778</v>
      </c>
    </row>
    <row r="64" spans="1:19" x14ac:dyDescent="0.2">
      <c r="A64" s="1">
        <v>27454</v>
      </c>
      <c r="B64" s="1">
        <v>27484</v>
      </c>
      <c r="C64">
        <v>105.3</v>
      </c>
      <c r="D64">
        <v>1.3536999999999999</v>
      </c>
      <c r="G64">
        <v>17.3</v>
      </c>
      <c r="H64">
        <v>26.8</v>
      </c>
      <c r="I64">
        <v>10.4</v>
      </c>
      <c r="L64">
        <v>5.5374193548387067</v>
      </c>
      <c r="Q64">
        <v>9.5</v>
      </c>
      <c r="R64">
        <v>7.7279999999999998</v>
      </c>
      <c r="S64">
        <f t="shared" si="0"/>
        <v>1.7720000000000002</v>
      </c>
    </row>
    <row r="65" spans="1:19" x14ac:dyDescent="0.2">
      <c r="A65" s="1">
        <v>27485</v>
      </c>
      <c r="B65" s="1">
        <v>27514</v>
      </c>
      <c r="C65">
        <v>105.3</v>
      </c>
      <c r="D65">
        <v>1.341</v>
      </c>
      <c r="G65">
        <v>17.3</v>
      </c>
      <c r="H65">
        <v>26.8</v>
      </c>
      <c r="I65">
        <v>10.4</v>
      </c>
      <c r="L65">
        <v>5.4926666666666657</v>
      </c>
      <c r="Q65">
        <v>9.5</v>
      </c>
      <c r="R65">
        <v>8.2268181818181816</v>
      </c>
      <c r="S65">
        <f t="shared" si="0"/>
        <v>1.2731818181818184</v>
      </c>
    </row>
    <row r="66" spans="1:19" x14ac:dyDescent="0.2">
      <c r="A66" s="1">
        <v>27515</v>
      </c>
      <c r="B66" s="1">
        <v>27545</v>
      </c>
      <c r="C66">
        <v>105.3</v>
      </c>
      <c r="D66">
        <v>1.3431999999999999</v>
      </c>
      <c r="G66">
        <v>17.3</v>
      </c>
      <c r="H66">
        <v>26.8</v>
      </c>
      <c r="I66">
        <v>10.4</v>
      </c>
      <c r="L66">
        <v>5.2212903225806437</v>
      </c>
      <c r="Q66">
        <v>9.5</v>
      </c>
      <c r="R66">
        <v>8.0595238095238102</v>
      </c>
      <c r="S66">
        <f t="shared" si="0"/>
        <v>1.4404761904761898</v>
      </c>
    </row>
    <row r="67" spans="1:19" x14ac:dyDescent="0.2">
      <c r="A67" s="1">
        <v>27546</v>
      </c>
      <c r="B67" s="1">
        <v>27575</v>
      </c>
      <c r="C67">
        <v>105.3</v>
      </c>
      <c r="D67">
        <v>1.3258000000000001</v>
      </c>
      <c r="G67">
        <v>17.3</v>
      </c>
      <c r="H67">
        <v>26.8</v>
      </c>
      <c r="I67">
        <v>10.4</v>
      </c>
      <c r="L67">
        <v>5.5480000000000018</v>
      </c>
      <c r="Q67">
        <v>9.5</v>
      </c>
      <c r="R67">
        <v>7.86095238095238</v>
      </c>
      <c r="S67">
        <f t="shared" ref="S67:S130" si="1">Q67-R67</f>
        <v>1.63904761904762</v>
      </c>
    </row>
    <row r="68" spans="1:19" x14ac:dyDescent="0.2">
      <c r="A68" s="1">
        <v>27576</v>
      </c>
      <c r="B68" s="1">
        <v>27606</v>
      </c>
      <c r="C68">
        <v>105.3</v>
      </c>
      <c r="D68">
        <v>1.2977000000000001</v>
      </c>
      <c r="G68">
        <v>17.3</v>
      </c>
      <c r="H68">
        <v>26.8</v>
      </c>
      <c r="I68">
        <v>10.4</v>
      </c>
      <c r="L68">
        <v>6.0958064516129031</v>
      </c>
      <c r="Q68">
        <v>10</v>
      </c>
      <c r="R68">
        <v>8.0613636363636356</v>
      </c>
      <c r="S68">
        <f t="shared" si="1"/>
        <v>1.9386363636363644</v>
      </c>
    </row>
    <row r="69" spans="1:19" x14ac:dyDescent="0.2">
      <c r="A69" s="1">
        <v>27607</v>
      </c>
      <c r="B69" s="1">
        <v>27637</v>
      </c>
      <c r="C69">
        <v>105.3</v>
      </c>
      <c r="D69">
        <v>1.2794000000000001</v>
      </c>
      <c r="G69">
        <v>17.3</v>
      </c>
      <c r="H69">
        <v>26.8</v>
      </c>
      <c r="I69">
        <v>10.4</v>
      </c>
      <c r="L69">
        <v>6.1354838709677404</v>
      </c>
      <c r="Q69">
        <v>10</v>
      </c>
      <c r="R69">
        <v>8.3976190476190489</v>
      </c>
      <c r="S69">
        <f t="shared" si="1"/>
        <v>1.6023809523809511</v>
      </c>
    </row>
    <row r="70" spans="1:19" x14ac:dyDescent="0.2">
      <c r="A70" s="1">
        <v>27638</v>
      </c>
      <c r="B70" s="1">
        <v>27667</v>
      </c>
      <c r="C70">
        <v>105.3</v>
      </c>
      <c r="D70">
        <v>1.256</v>
      </c>
      <c r="G70">
        <v>17.3</v>
      </c>
      <c r="H70">
        <v>26.8</v>
      </c>
      <c r="I70">
        <v>10.4</v>
      </c>
      <c r="L70">
        <v>6.2389999999999981</v>
      </c>
      <c r="Q70">
        <v>10</v>
      </c>
      <c r="R70">
        <v>8.4266666666666659</v>
      </c>
      <c r="S70">
        <f t="shared" si="1"/>
        <v>1.5733333333333341</v>
      </c>
    </row>
    <row r="71" spans="1:19" x14ac:dyDescent="0.2">
      <c r="A71" s="1">
        <v>27668</v>
      </c>
      <c r="B71" s="1">
        <v>27698</v>
      </c>
      <c r="C71">
        <v>105.3</v>
      </c>
      <c r="D71">
        <v>1.2709999999999999</v>
      </c>
      <c r="G71">
        <v>17.3</v>
      </c>
      <c r="H71">
        <v>26.8</v>
      </c>
      <c r="I71">
        <v>10.5</v>
      </c>
      <c r="L71">
        <v>5.816129032258063</v>
      </c>
      <c r="Q71">
        <v>10</v>
      </c>
      <c r="R71">
        <v>8.1377272727272718</v>
      </c>
      <c r="S71">
        <f t="shared" si="1"/>
        <v>1.8622727272727282</v>
      </c>
    </row>
    <row r="72" spans="1:19" x14ac:dyDescent="0.2">
      <c r="A72" s="1">
        <v>27699</v>
      </c>
      <c r="B72" s="1">
        <v>27728</v>
      </c>
      <c r="C72">
        <v>105.3</v>
      </c>
      <c r="D72">
        <v>1.2594000000000001</v>
      </c>
      <c r="G72">
        <v>17.3</v>
      </c>
      <c r="H72">
        <v>26.8</v>
      </c>
      <c r="I72">
        <v>10.5</v>
      </c>
      <c r="L72">
        <v>5.2156666666666665</v>
      </c>
      <c r="Q72">
        <v>10</v>
      </c>
      <c r="R72">
        <v>8.0529411764705898</v>
      </c>
      <c r="S72">
        <f t="shared" si="1"/>
        <v>1.9470588235294102</v>
      </c>
    </row>
    <row r="73" spans="1:19" x14ac:dyDescent="0.2">
      <c r="A73" s="1">
        <v>27729</v>
      </c>
      <c r="B73" s="1">
        <v>27759</v>
      </c>
      <c r="C73">
        <v>105.3</v>
      </c>
      <c r="D73">
        <v>1.2571000000000001</v>
      </c>
      <c r="G73">
        <v>17.3</v>
      </c>
      <c r="H73">
        <v>26.8</v>
      </c>
      <c r="I73">
        <v>10.5</v>
      </c>
      <c r="L73">
        <v>5.1954838709677418</v>
      </c>
      <c r="Q73">
        <v>10</v>
      </c>
      <c r="R73">
        <v>7.9968181818181812</v>
      </c>
      <c r="S73">
        <f t="shared" si="1"/>
        <v>2.0031818181818188</v>
      </c>
    </row>
    <row r="74" spans="1:19" x14ac:dyDescent="0.2">
      <c r="A74" s="1">
        <v>27760</v>
      </c>
      <c r="B74" s="1">
        <v>27790</v>
      </c>
      <c r="C74">
        <v>105.3</v>
      </c>
      <c r="D74">
        <v>1.2587999999999999</v>
      </c>
      <c r="G74">
        <v>22.7</v>
      </c>
      <c r="H74">
        <v>27.2</v>
      </c>
      <c r="I74">
        <v>11.5</v>
      </c>
      <c r="K74" s="2">
        <v>6.8040000000000003</v>
      </c>
      <c r="L74">
        <v>4.8677419354838714</v>
      </c>
      <c r="M74">
        <f>K74-L74</f>
        <v>1.9362580645161289</v>
      </c>
      <c r="Q74">
        <v>10.02</v>
      </c>
      <c r="R74">
        <v>7.7423809523809535</v>
      </c>
      <c r="S74">
        <f t="shared" si="1"/>
        <v>2.2776190476190461</v>
      </c>
    </row>
    <row r="75" spans="1:19" x14ac:dyDescent="0.2">
      <c r="A75" s="1">
        <v>27791</v>
      </c>
      <c r="B75" s="1">
        <v>27819</v>
      </c>
      <c r="C75">
        <v>105.3</v>
      </c>
      <c r="D75">
        <v>1.2606999999999999</v>
      </c>
      <c r="G75">
        <v>22.7</v>
      </c>
      <c r="H75">
        <v>27.2</v>
      </c>
      <c r="I75">
        <v>11.5</v>
      </c>
      <c r="K75" s="2">
        <v>7.1659999999999995</v>
      </c>
      <c r="L75">
        <v>4.7706896551724132</v>
      </c>
      <c r="M75">
        <f t="shared" ref="M75:M138" si="2">K75-L75</f>
        <v>2.3953103448275863</v>
      </c>
      <c r="Q75">
        <v>10</v>
      </c>
      <c r="R75">
        <v>7.7927777777777782</v>
      </c>
      <c r="S75">
        <f t="shared" si="1"/>
        <v>2.2072222222222218</v>
      </c>
    </row>
    <row r="76" spans="1:19" x14ac:dyDescent="0.2">
      <c r="A76" s="1">
        <v>27820</v>
      </c>
      <c r="B76" s="1">
        <v>27850</v>
      </c>
      <c r="C76">
        <v>105.3</v>
      </c>
      <c r="D76">
        <v>1.2485999999999999</v>
      </c>
      <c r="G76">
        <v>22.7</v>
      </c>
      <c r="H76">
        <v>27.2</v>
      </c>
      <c r="I76">
        <v>11.5</v>
      </c>
      <c r="K76" s="2">
        <v>6.6973913043478257</v>
      </c>
      <c r="L76">
        <v>4.8374193548387092</v>
      </c>
      <c r="M76">
        <f t="shared" si="2"/>
        <v>1.8599719495091165</v>
      </c>
      <c r="Q76">
        <v>9.99</v>
      </c>
      <c r="R76">
        <v>7.7343478260869549</v>
      </c>
      <c r="S76">
        <f t="shared" si="1"/>
        <v>2.2556521739130453</v>
      </c>
    </row>
    <row r="77" spans="1:19" x14ac:dyDescent="0.2">
      <c r="A77" s="1">
        <v>27851</v>
      </c>
      <c r="B77" s="1">
        <v>27880</v>
      </c>
      <c r="C77">
        <v>105.3</v>
      </c>
      <c r="D77">
        <v>1.2390000000000001</v>
      </c>
      <c r="G77">
        <v>22.7</v>
      </c>
      <c r="H77">
        <v>27.2</v>
      </c>
      <c r="I77">
        <v>11.5</v>
      </c>
      <c r="K77" s="2">
        <v>7.0860000000000003</v>
      </c>
      <c r="L77">
        <v>4.8160000000000007</v>
      </c>
      <c r="M77">
        <f t="shared" si="2"/>
        <v>2.2699999999999996</v>
      </c>
      <c r="Q77">
        <v>10</v>
      </c>
      <c r="R77">
        <v>7.5642857142857141</v>
      </c>
      <c r="S77">
        <f t="shared" si="1"/>
        <v>2.4357142857142859</v>
      </c>
    </row>
    <row r="78" spans="1:19" x14ac:dyDescent="0.2">
      <c r="A78" s="1">
        <v>27881</v>
      </c>
      <c r="B78" s="1">
        <v>27911</v>
      </c>
      <c r="C78">
        <v>105.3</v>
      </c>
      <c r="D78">
        <v>1.2271000000000001</v>
      </c>
      <c r="G78">
        <v>22.7</v>
      </c>
      <c r="H78">
        <v>27.2</v>
      </c>
      <c r="I78">
        <v>11.5</v>
      </c>
      <c r="K78" s="2">
        <v>7.7061904761904785</v>
      </c>
      <c r="L78">
        <v>5.2906451612903211</v>
      </c>
      <c r="M78">
        <f t="shared" si="2"/>
        <v>2.4155453149001573</v>
      </c>
      <c r="Q78">
        <v>10</v>
      </c>
      <c r="R78">
        <v>7.8950000000000005</v>
      </c>
      <c r="S78">
        <f t="shared" si="1"/>
        <v>2.1049999999999995</v>
      </c>
    </row>
    <row r="79" spans="1:19" x14ac:dyDescent="0.2">
      <c r="A79" s="1">
        <v>27912</v>
      </c>
      <c r="B79" s="1">
        <v>27941</v>
      </c>
      <c r="C79">
        <v>105.3</v>
      </c>
      <c r="D79">
        <v>1.2356</v>
      </c>
      <c r="G79">
        <v>22.7</v>
      </c>
      <c r="H79">
        <v>27.2</v>
      </c>
      <c r="I79">
        <v>11.5</v>
      </c>
      <c r="K79" s="2">
        <v>8.0227272727272734</v>
      </c>
      <c r="L79">
        <v>5.4763333333333319</v>
      </c>
      <c r="M79">
        <f t="shared" si="2"/>
        <v>2.5463939393939414</v>
      </c>
      <c r="O79">
        <v>7.0600000000000023</v>
      </c>
      <c r="Q79">
        <v>9.99</v>
      </c>
      <c r="R79">
        <v>7.8613636363636381</v>
      </c>
      <c r="S79">
        <f t="shared" si="1"/>
        <v>2.1286363636363621</v>
      </c>
    </row>
    <row r="80" spans="1:19" x14ac:dyDescent="0.2">
      <c r="A80" s="1">
        <v>27942</v>
      </c>
      <c r="B80" s="1">
        <v>27972</v>
      </c>
      <c r="C80">
        <v>105.3</v>
      </c>
      <c r="D80">
        <v>1.2406999999999999</v>
      </c>
      <c r="G80">
        <v>22.7</v>
      </c>
      <c r="H80">
        <v>27.2</v>
      </c>
      <c r="I80">
        <v>11.6</v>
      </c>
      <c r="K80" s="2">
        <v>7.5713636363636363</v>
      </c>
      <c r="L80">
        <v>5.3064516129032251</v>
      </c>
      <c r="M80">
        <f t="shared" si="2"/>
        <v>2.2649120234604112</v>
      </c>
      <c r="O80">
        <v>6.8500000000000014</v>
      </c>
      <c r="Q80">
        <v>10</v>
      </c>
      <c r="R80">
        <v>7.8319047619047621</v>
      </c>
      <c r="S80">
        <f t="shared" si="1"/>
        <v>2.1680952380952379</v>
      </c>
    </row>
    <row r="81" spans="1:19" x14ac:dyDescent="0.2">
      <c r="A81" s="1">
        <v>27973</v>
      </c>
      <c r="B81" s="1">
        <v>28003</v>
      </c>
      <c r="C81">
        <v>105.3</v>
      </c>
      <c r="D81">
        <v>1.2462</v>
      </c>
      <c r="G81">
        <v>22.7</v>
      </c>
      <c r="H81">
        <v>27.2</v>
      </c>
      <c r="I81">
        <v>11.6</v>
      </c>
      <c r="K81" s="2">
        <v>7.749090909090909</v>
      </c>
      <c r="L81">
        <v>5.2909677419354848</v>
      </c>
      <c r="M81">
        <f t="shared" si="2"/>
        <v>2.4581231671554242</v>
      </c>
      <c r="O81">
        <v>6.6313636363636359</v>
      </c>
      <c r="Q81">
        <v>9.99</v>
      </c>
      <c r="R81">
        <v>7.7686363636363645</v>
      </c>
      <c r="S81">
        <f t="shared" si="1"/>
        <v>2.2213636363636358</v>
      </c>
    </row>
    <row r="82" spans="1:19" x14ac:dyDescent="0.2">
      <c r="A82" s="1">
        <v>28004</v>
      </c>
      <c r="B82" s="1">
        <v>28033</v>
      </c>
      <c r="C82">
        <v>105.3</v>
      </c>
      <c r="D82">
        <v>1.2373000000000001</v>
      </c>
      <c r="G82">
        <v>22.7</v>
      </c>
      <c r="H82">
        <v>27.2</v>
      </c>
      <c r="I82">
        <v>11.6</v>
      </c>
      <c r="K82" s="2">
        <v>7.4622727272727252</v>
      </c>
      <c r="L82">
        <v>5.2519999999999998</v>
      </c>
      <c r="M82">
        <f t="shared" si="2"/>
        <v>2.2102727272727254</v>
      </c>
      <c r="O82">
        <v>6.4161904761904767</v>
      </c>
      <c r="Q82">
        <v>9.99</v>
      </c>
      <c r="R82">
        <v>7.5942857142857152</v>
      </c>
      <c r="S82">
        <f t="shared" si="1"/>
        <v>2.395714285714285</v>
      </c>
    </row>
    <row r="83" spans="1:19" x14ac:dyDescent="0.2">
      <c r="A83" s="1">
        <v>28034</v>
      </c>
      <c r="B83" s="1">
        <v>28064</v>
      </c>
      <c r="C83">
        <v>105.3</v>
      </c>
      <c r="D83">
        <v>1.2261</v>
      </c>
      <c r="G83">
        <v>22.7</v>
      </c>
      <c r="H83">
        <v>27.2</v>
      </c>
      <c r="I83">
        <v>11.9</v>
      </c>
      <c r="K83" s="2">
        <v>7.2771428571428567</v>
      </c>
      <c r="L83">
        <v>5.0248387096774207</v>
      </c>
      <c r="M83">
        <f t="shared" si="2"/>
        <v>2.2523041474654359</v>
      </c>
      <c r="O83">
        <v>5.984</v>
      </c>
      <c r="Q83">
        <v>9.98</v>
      </c>
      <c r="R83">
        <v>7.4109999999999996</v>
      </c>
      <c r="S83">
        <f t="shared" si="1"/>
        <v>2.5690000000000008</v>
      </c>
    </row>
    <row r="84" spans="1:19" x14ac:dyDescent="0.2">
      <c r="A84" s="1">
        <v>28065</v>
      </c>
      <c r="B84" s="1">
        <v>28094</v>
      </c>
      <c r="C84">
        <v>86.9</v>
      </c>
      <c r="D84">
        <v>1.0123</v>
      </c>
      <c r="G84">
        <v>22.7</v>
      </c>
      <c r="H84">
        <v>27.2</v>
      </c>
      <c r="I84">
        <v>11.9</v>
      </c>
      <c r="K84" s="2">
        <v>7.1754545454545449</v>
      </c>
      <c r="L84">
        <v>4.9490000000000016</v>
      </c>
      <c r="M84">
        <f t="shared" si="2"/>
        <v>2.2264545454545432</v>
      </c>
      <c r="O84">
        <v>5.81</v>
      </c>
      <c r="Q84">
        <v>10</v>
      </c>
      <c r="R84">
        <v>7.2910526315789461</v>
      </c>
      <c r="S84">
        <f t="shared" si="1"/>
        <v>2.7089473684210539</v>
      </c>
    </row>
    <row r="85" spans="1:19" x14ac:dyDescent="0.2">
      <c r="A85" s="1">
        <v>28095</v>
      </c>
      <c r="B85" s="1">
        <v>28125</v>
      </c>
      <c r="C85">
        <v>92.2</v>
      </c>
      <c r="D85">
        <v>1.0864</v>
      </c>
      <c r="G85">
        <v>22.7</v>
      </c>
      <c r="H85">
        <v>27.2</v>
      </c>
      <c r="I85">
        <v>11.9</v>
      </c>
      <c r="K85" s="2">
        <v>6.3719047619047622</v>
      </c>
      <c r="L85">
        <v>4.6512903225806461</v>
      </c>
      <c r="M85">
        <f t="shared" si="2"/>
        <v>1.7206144393241161</v>
      </c>
      <c r="O85">
        <v>5.3768181818181837</v>
      </c>
      <c r="Q85">
        <v>10.41</v>
      </c>
      <c r="R85">
        <v>6.8690909090909091</v>
      </c>
      <c r="S85">
        <f t="shared" si="1"/>
        <v>3.540909090909091</v>
      </c>
    </row>
    <row r="86" spans="1:19" x14ac:dyDescent="0.2">
      <c r="A86" s="1">
        <v>28126</v>
      </c>
      <c r="B86" s="1">
        <v>28156</v>
      </c>
      <c r="C86">
        <v>92.2</v>
      </c>
      <c r="D86">
        <v>1.087</v>
      </c>
      <c r="G86">
        <v>23.1</v>
      </c>
      <c r="H86">
        <v>28.7</v>
      </c>
      <c r="I86">
        <v>12.5</v>
      </c>
      <c r="J86">
        <v>2.77</v>
      </c>
      <c r="K86" s="2">
        <v>7.4563157894736838</v>
      </c>
      <c r="L86">
        <v>4.6109677419354851</v>
      </c>
      <c r="M86">
        <f t="shared" si="2"/>
        <v>2.8453480475381987</v>
      </c>
      <c r="O86">
        <v>5.8995238095238101</v>
      </c>
      <c r="Q86">
        <v>10.4</v>
      </c>
      <c r="R86">
        <v>7.2133333333333356</v>
      </c>
      <c r="S86">
        <f t="shared" si="1"/>
        <v>3.1866666666666648</v>
      </c>
    </row>
    <row r="87" spans="1:19" x14ac:dyDescent="0.2">
      <c r="A87" s="1">
        <v>28157</v>
      </c>
      <c r="B87" s="1">
        <v>28184</v>
      </c>
      <c r="C87">
        <v>92.5</v>
      </c>
      <c r="D87">
        <v>1.0967</v>
      </c>
      <c r="G87">
        <v>23.1</v>
      </c>
      <c r="H87">
        <v>28.7</v>
      </c>
      <c r="I87">
        <v>12.5</v>
      </c>
      <c r="J87">
        <v>2.77</v>
      </c>
      <c r="K87" s="2">
        <v>7.4234999999999989</v>
      </c>
      <c r="L87">
        <v>4.6832142857142856</v>
      </c>
      <c r="M87">
        <f t="shared" si="2"/>
        <v>2.7402857142857133</v>
      </c>
      <c r="O87">
        <v>6.0884210526315794</v>
      </c>
      <c r="Q87">
        <v>10.4</v>
      </c>
      <c r="R87">
        <v>7.3910526315789475</v>
      </c>
      <c r="S87">
        <f t="shared" si="1"/>
        <v>3.0089473684210528</v>
      </c>
    </row>
    <row r="88" spans="1:19" x14ac:dyDescent="0.2">
      <c r="A88" s="1">
        <v>28185</v>
      </c>
      <c r="B88" s="1">
        <v>28215</v>
      </c>
      <c r="C88">
        <v>92.5</v>
      </c>
      <c r="D88">
        <v>1.1031</v>
      </c>
      <c r="G88">
        <v>23.1</v>
      </c>
      <c r="H88">
        <v>28.7</v>
      </c>
      <c r="I88">
        <v>12.5</v>
      </c>
      <c r="J88">
        <v>2.77</v>
      </c>
      <c r="K88" s="2">
        <v>7.5756521739130411</v>
      </c>
      <c r="L88">
        <v>4.6899999999999995</v>
      </c>
      <c r="M88">
        <f t="shared" si="2"/>
        <v>2.8856521739130416</v>
      </c>
      <c r="O88">
        <v>6.0865217391304354</v>
      </c>
      <c r="Q88">
        <v>10.4</v>
      </c>
      <c r="R88">
        <v>7.4599999999999991</v>
      </c>
      <c r="S88">
        <f t="shared" si="1"/>
        <v>2.9400000000000013</v>
      </c>
    </row>
    <row r="89" spans="1:19" x14ac:dyDescent="0.2">
      <c r="A89" s="1">
        <v>28216</v>
      </c>
      <c r="B89" s="1">
        <v>28245</v>
      </c>
      <c r="C89">
        <v>92.5</v>
      </c>
      <c r="D89">
        <v>1.1045</v>
      </c>
      <c r="G89">
        <v>23.1</v>
      </c>
      <c r="H89">
        <v>28.7</v>
      </c>
      <c r="I89">
        <v>12.4</v>
      </c>
      <c r="J89">
        <v>2.77</v>
      </c>
      <c r="K89" s="2">
        <v>7.3622222222222211</v>
      </c>
      <c r="L89">
        <v>4.7273333333333332</v>
      </c>
      <c r="M89">
        <f t="shared" si="2"/>
        <v>2.6348888888888879</v>
      </c>
      <c r="O89">
        <v>5.9635000000000007</v>
      </c>
      <c r="Q89">
        <v>10.4</v>
      </c>
      <c r="R89">
        <v>7.3704999999999998</v>
      </c>
      <c r="S89">
        <f t="shared" si="1"/>
        <v>3.0295000000000005</v>
      </c>
    </row>
    <row r="90" spans="1:19" x14ac:dyDescent="0.2">
      <c r="A90" s="1">
        <v>28246</v>
      </c>
      <c r="B90" s="1">
        <v>28276</v>
      </c>
      <c r="C90">
        <v>92.5</v>
      </c>
      <c r="D90">
        <v>1.1039000000000001</v>
      </c>
      <c r="G90">
        <v>23.1</v>
      </c>
      <c r="H90">
        <v>28.7</v>
      </c>
      <c r="I90">
        <v>12.4</v>
      </c>
      <c r="J90">
        <v>2.77</v>
      </c>
      <c r="K90" s="2">
        <v>8.6440909090909077</v>
      </c>
      <c r="L90">
        <v>5.3500000000000023</v>
      </c>
      <c r="M90">
        <f t="shared" si="2"/>
        <v>3.2940909090909054</v>
      </c>
      <c r="O90">
        <v>6.2547619047619047</v>
      </c>
      <c r="Q90">
        <v>10.41</v>
      </c>
      <c r="R90">
        <v>7.4566666666666643</v>
      </c>
      <c r="S90">
        <f t="shared" si="1"/>
        <v>2.9533333333333358</v>
      </c>
    </row>
    <row r="91" spans="1:19" x14ac:dyDescent="0.2">
      <c r="A91" s="1">
        <v>28277</v>
      </c>
      <c r="B91" s="1">
        <v>28306</v>
      </c>
      <c r="C91">
        <v>92.5</v>
      </c>
      <c r="D91">
        <v>1.1154999999999999</v>
      </c>
      <c r="G91">
        <v>23.1</v>
      </c>
      <c r="H91">
        <v>28.7</v>
      </c>
      <c r="I91">
        <v>12.4</v>
      </c>
      <c r="J91">
        <v>2.77</v>
      </c>
      <c r="K91" s="2">
        <v>9.5204545454545464</v>
      </c>
      <c r="L91">
        <v>5.3886666666666665</v>
      </c>
      <c r="M91">
        <f t="shared" si="2"/>
        <v>4.1317878787878799</v>
      </c>
      <c r="O91">
        <v>6.1272727272727288</v>
      </c>
      <c r="Q91">
        <v>10.41</v>
      </c>
      <c r="R91">
        <v>7.2754545454545445</v>
      </c>
      <c r="S91">
        <f t="shared" si="1"/>
        <v>3.1345454545454556</v>
      </c>
    </row>
    <row r="92" spans="1:19" x14ac:dyDescent="0.2">
      <c r="A92" s="1">
        <v>28307</v>
      </c>
      <c r="B92" s="1">
        <v>28337</v>
      </c>
      <c r="C92">
        <v>92.5</v>
      </c>
      <c r="D92">
        <v>1.1225000000000001</v>
      </c>
      <c r="G92">
        <v>23.1</v>
      </c>
      <c r="H92">
        <v>28.7</v>
      </c>
      <c r="I92">
        <v>12.6</v>
      </c>
      <c r="J92">
        <v>2.77</v>
      </c>
      <c r="K92" s="2">
        <v>9.3361904761904757</v>
      </c>
      <c r="L92">
        <v>5.4193548387096779</v>
      </c>
      <c r="M92">
        <f t="shared" si="2"/>
        <v>3.9168356374807978</v>
      </c>
      <c r="O92">
        <v>6.2747368421052627</v>
      </c>
      <c r="Q92">
        <v>10.41</v>
      </c>
      <c r="R92">
        <v>7.3299999999999992</v>
      </c>
      <c r="S92">
        <f t="shared" si="1"/>
        <v>3.080000000000001</v>
      </c>
    </row>
    <row r="93" spans="1:19" x14ac:dyDescent="0.2">
      <c r="A93" s="1">
        <v>28338</v>
      </c>
      <c r="B93" s="1">
        <v>28368</v>
      </c>
      <c r="C93">
        <v>91.5</v>
      </c>
      <c r="D93">
        <v>1.1051</v>
      </c>
      <c r="G93">
        <v>23.1</v>
      </c>
      <c r="H93">
        <v>28.7</v>
      </c>
      <c r="I93">
        <v>12.6</v>
      </c>
      <c r="J93">
        <v>2.77</v>
      </c>
      <c r="K93" s="2">
        <v>9.6695652173913054</v>
      </c>
      <c r="L93">
        <v>5.901935483870969</v>
      </c>
      <c r="M93">
        <f t="shared" si="2"/>
        <v>3.7676297335203364</v>
      </c>
      <c r="O93">
        <v>6.6113043478260867</v>
      </c>
      <c r="Q93">
        <v>10.41</v>
      </c>
      <c r="R93">
        <v>7.3965217391304359</v>
      </c>
      <c r="S93">
        <f t="shared" si="1"/>
        <v>3.0134782608695643</v>
      </c>
    </row>
    <row r="94" spans="1:19" x14ac:dyDescent="0.2">
      <c r="A94" s="1">
        <v>28369</v>
      </c>
      <c r="B94" s="1">
        <v>28398</v>
      </c>
      <c r="C94">
        <v>91.5</v>
      </c>
      <c r="D94">
        <v>1.1075999999999999</v>
      </c>
      <c r="G94">
        <v>23.1</v>
      </c>
      <c r="H94">
        <v>28.7</v>
      </c>
      <c r="I94">
        <v>12.6</v>
      </c>
      <c r="J94">
        <v>2.77</v>
      </c>
      <c r="K94" s="2">
        <v>9.4690909090909088</v>
      </c>
      <c r="L94">
        <v>6.1383333333333345</v>
      </c>
      <c r="M94">
        <f t="shared" si="2"/>
        <v>3.3307575757575743</v>
      </c>
      <c r="O94">
        <v>6.7142857142857144</v>
      </c>
      <c r="Q94">
        <v>10.18</v>
      </c>
      <c r="R94">
        <v>7.3438095238095222</v>
      </c>
      <c r="S94">
        <f t="shared" si="1"/>
        <v>2.8361904761904775</v>
      </c>
    </row>
    <row r="95" spans="1:19" x14ac:dyDescent="0.2">
      <c r="A95" s="1">
        <v>28399</v>
      </c>
      <c r="B95" s="1">
        <v>28429</v>
      </c>
      <c r="C95">
        <v>90.9</v>
      </c>
      <c r="D95">
        <v>1.1235999999999999</v>
      </c>
      <c r="G95">
        <v>23.1</v>
      </c>
      <c r="H95">
        <v>28.7</v>
      </c>
      <c r="I95">
        <v>12.7</v>
      </c>
      <c r="J95">
        <v>2.77</v>
      </c>
      <c r="K95" s="2">
        <v>8.8547619047619044</v>
      </c>
      <c r="L95">
        <v>6.4654838709677431</v>
      </c>
      <c r="M95">
        <f t="shared" si="2"/>
        <v>2.3892780337941613</v>
      </c>
      <c r="O95">
        <v>7.1059999999999999</v>
      </c>
      <c r="Q95">
        <v>10.01</v>
      </c>
      <c r="R95">
        <v>7.5235000000000012</v>
      </c>
      <c r="S95">
        <f t="shared" si="1"/>
        <v>2.4864999999999986</v>
      </c>
    </row>
    <row r="96" spans="1:19" x14ac:dyDescent="0.2">
      <c r="A96" s="1">
        <v>28430</v>
      </c>
      <c r="B96" s="1">
        <v>28459</v>
      </c>
      <c r="C96">
        <v>90</v>
      </c>
      <c r="D96">
        <v>1.1274</v>
      </c>
      <c r="G96">
        <v>23.1</v>
      </c>
      <c r="H96">
        <v>28.7</v>
      </c>
      <c r="I96">
        <v>12.7</v>
      </c>
      <c r="J96">
        <v>2.77</v>
      </c>
      <c r="K96" s="2">
        <v>9.163636363636364</v>
      </c>
      <c r="L96">
        <v>6.5076666666666654</v>
      </c>
      <c r="M96">
        <f t="shared" si="2"/>
        <v>2.6559696969696986</v>
      </c>
      <c r="O96">
        <v>7.1426315789473689</v>
      </c>
      <c r="Q96">
        <v>9.7899999999999991</v>
      </c>
      <c r="R96">
        <v>7.5773684210526326</v>
      </c>
      <c r="S96">
        <f t="shared" si="1"/>
        <v>2.2126315789473665</v>
      </c>
    </row>
    <row r="97" spans="1:19" x14ac:dyDescent="0.2">
      <c r="A97" s="1">
        <v>28460</v>
      </c>
      <c r="B97" s="1">
        <v>28490</v>
      </c>
      <c r="C97">
        <v>89.4</v>
      </c>
      <c r="D97">
        <v>1.1414</v>
      </c>
      <c r="G97">
        <v>23.1</v>
      </c>
      <c r="H97">
        <v>28.7</v>
      </c>
      <c r="I97">
        <v>12.7</v>
      </c>
      <c r="J97">
        <v>2.77</v>
      </c>
      <c r="K97" s="2">
        <v>9.1480952380952392</v>
      </c>
      <c r="L97">
        <v>6.5606451612903207</v>
      </c>
      <c r="M97">
        <f t="shared" si="2"/>
        <v>2.5874500768049185</v>
      </c>
      <c r="O97">
        <v>7.1766666666666641</v>
      </c>
      <c r="Q97">
        <v>9.5</v>
      </c>
      <c r="R97">
        <v>7.6852380952380956</v>
      </c>
      <c r="S97">
        <f t="shared" si="1"/>
        <v>1.8147619047619044</v>
      </c>
    </row>
    <row r="98" spans="1:19" x14ac:dyDescent="0.2">
      <c r="A98" s="1">
        <v>28491</v>
      </c>
      <c r="B98" s="1">
        <v>28521</v>
      </c>
      <c r="C98">
        <v>89.2</v>
      </c>
      <c r="D98">
        <v>1.1382000000000001</v>
      </c>
      <c r="G98">
        <v>21.5</v>
      </c>
      <c r="H98">
        <v>27.9</v>
      </c>
      <c r="I98">
        <v>12.7</v>
      </c>
      <c r="J98">
        <v>3.04</v>
      </c>
      <c r="K98" s="2">
        <v>8.7545000000000019</v>
      </c>
      <c r="L98">
        <v>6.7035483870967729</v>
      </c>
      <c r="M98">
        <f t="shared" si="2"/>
        <v>2.050951612903229</v>
      </c>
      <c r="O98">
        <v>7.4857142857142849</v>
      </c>
      <c r="Q98">
        <v>9.36</v>
      </c>
      <c r="R98">
        <v>7.9561904761904767</v>
      </c>
      <c r="S98">
        <f t="shared" si="1"/>
        <v>1.4038095238095227</v>
      </c>
    </row>
    <row r="99" spans="1:19" x14ac:dyDescent="0.2">
      <c r="A99" s="1">
        <v>28522</v>
      </c>
      <c r="B99" s="1">
        <v>28549</v>
      </c>
      <c r="C99">
        <v>88.5</v>
      </c>
      <c r="D99">
        <v>1.1365000000000001</v>
      </c>
      <c r="G99">
        <v>21.5</v>
      </c>
      <c r="H99">
        <v>27.1</v>
      </c>
      <c r="I99">
        <v>12.7</v>
      </c>
      <c r="J99">
        <v>3.04</v>
      </c>
      <c r="K99" s="2">
        <v>8.4190000000000005</v>
      </c>
      <c r="L99">
        <v>6.7842857142857129</v>
      </c>
      <c r="M99">
        <f t="shared" si="2"/>
        <v>1.6347142857142876</v>
      </c>
      <c r="O99">
        <v>7.5650000000000013</v>
      </c>
      <c r="Q99">
        <v>9.1999999999999993</v>
      </c>
      <c r="R99">
        <v>8.0333333333333332</v>
      </c>
      <c r="S99">
        <f t="shared" si="1"/>
        <v>1.1666666666666661</v>
      </c>
    </row>
    <row r="100" spans="1:19" x14ac:dyDescent="0.2">
      <c r="A100" s="1">
        <v>28550</v>
      </c>
      <c r="B100" s="1">
        <v>28580</v>
      </c>
      <c r="C100">
        <v>87.5</v>
      </c>
      <c r="D100">
        <v>1.1431</v>
      </c>
      <c r="G100">
        <v>21.5</v>
      </c>
      <c r="H100">
        <v>27.1</v>
      </c>
      <c r="I100">
        <v>12.7</v>
      </c>
      <c r="J100">
        <v>3.04</v>
      </c>
      <c r="K100" s="2">
        <v>7.9528571428571428</v>
      </c>
      <c r="L100">
        <v>6.7932258064516127</v>
      </c>
      <c r="M100">
        <f t="shared" si="2"/>
        <v>1.1596313364055302</v>
      </c>
      <c r="O100">
        <v>7.5749999999999993</v>
      </c>
      <c r="Q100">
        <v>9.1999999999999993</v>
      </c>
      <c r="R100">
        <v>8.0359090909090902</v>
      </c>
      <c r="S100">
        <f t="shared" si="1"/>
        <v>1.1640909090909091</v>
      </c>
    </row>
    <row r="101" spans="1:19" x14ac:dyDescent="0.2">
      <c r="A101" s="1">
        <v>28581</v>
      </c>
      <c r="B101" s="1">
        <v>28610</v>
      </c>
      <c r="C101">
        <v>87.5</v>
      </c>
      <c r="D101">
        <v>1.1362000000000001</v>
      </c>
      <c r="G101">
        <v>21.5</v>
      </c>
      <c r="H101">
        <v>27.1</v>
      </c>
      <c r="I101">
        <v>12.7</v>
      </c>
      <c r="J101">
        <v>3.04</v>
      </c>
      <c r="K101" s="2">
        <v>7.67263157894737</v>
      </c>
      <c r="L101">
        <v>6.8886666666666683</v>
      </c>
      <c r="M101">
        <f t="shared" si="2"/>
        <v>0.78396491228070175</v>
      </c>
      <c r="O101">
        <v>7.7435</v>
      </c>
      <c r="Q101">
        <v>9.17</v>
      </c>
      <c r="R101">
        <v>8.1539999999999999</v>
      </c>
      <c r="S101">
        <f t="shared" si="1"/>
        <v>1.016</v>
      </c>
    </row>
    <row r="102" spans="1:19" x14ac:dyDescent="0.2">
      <c r="A102" s="1">
        <v>28611</v>
      </c>
      <c r="B102" s="1">
        <v>28641</v>
      </c>
      <c r="C102">
        <v>87.3</v>
      </c>
      <c r="D102">
        <v>1.1302000000000001</v>
      </c>
      <c r="G102">
        <v>21.5</v>
      </c>
      <c r="H102">
        <v>28.6</v>
      </c>
      <c r="I102">
        <v>12.7</v>
      </c>
      <c r="J102">
        <v>3.04</v>
      </c>
      <c r="K102" s="2">
        <v>9.1091304347826103</v>
      </c>
      <c r="L102">
        <v>7.3600000000000012</v>
      </c>
      <c r="M102">
        <f t="shared" si="2"/>
        <v>1.7491304347826091</v>
      </c>
      <c r="O102">
        <v>8.0061904761904756</v>
      </c>
      <c r="Q102">
        <v>9.1</v>
      </c>
      <c r="R102">
        <v>8.345714285714287</v>
      </c>
      <c r="S102">
        <f t="shared" si="1"/>
        <v>0.75428571428571267</v>
      </c>
    </row>
    <row r="103" spans="1:19" x14ac:dyDescent="0.2">
      <c r="A103" s="1">
        <v>28642</v>
      </c>
      <c r="B103" s="1">
        <v>28671</v>
      </c>
      <c r="C103">
        <v>86.2</v>
      </c>
      <c r="D103">
        <v>1.1475</v>
      </c>
      <c r="G103">
        <v>21.5</v>
      </c>
      <c r="H103">
        <v>30.2</v>
      </c>
      <c r="I103">
        <v>12.7</v>
      </c>
      <c r="J103">
        <v>3.04</v>
      </c>
      <c r="K103" s="2">
        <v>9.0404761904761912</v>
      </c>
      <c r="L103">
        <v>7.5966666666666649</v>
      </c>
      <c r="M103">
        <f t="shared" si="2"/>
        <v>1.4438095238095263</v>
      </c>
      <c r="O103">
        <v>8.2395454545454516</v>
      </c>
      <c r="Q103">
        <v>9.1</v>
      </c>
      <c r="R103">
        <v>8.4622727272727278</v>
      </c>
      <c r="S103">
        <f t="shared" si="1"/>
        <v>0.63772727272727181</v>
      </c>
    </row>
    <row r="104" spans="1:19" x14ac:dyDescent="0.2">
      <c r="A104" s="1">
        <v>28672</v>
      </c>
      <c r="B104" s="1">
        <v>28702</v>
      </c>
      <c r="C104">
        <v>84.7</v>
      </c>
      <c r="D104">
        <v>1.1551</v>
      </c>
      <c r="G104">
        <v>21.5</v>
      </c>
      <c r="H104">
        <v>30.2</v>
      </c>
      <c r="I104">
        <v>12.8</v>
      </c>
      <c r="J104">
        <v>3.04</v>
      </c>
      <c r="K104" s="2">
        <v>8.8128571428571423</v>
      </c>
      <c r="L104">
        <v>7.8106451612903225</v>
      </c>
      <c r="M104">
        <f t="shared" si="2"/>
        <v>1.0022119815668198</v>
      </c>
      <c r="O104">
        <v>8.4895000000000014</v>
      </c>
      <c r="Q104">
        <v>9.1</v>
      </c>
      <c r="R104">
        <v>8.64</v>
      </c>
      <c r="S104">
        <f t="shared" si="1"/>
        <v>0.45999999999999908</v>
      </c>
    </row>
    <row r="105" spans="1:19" x14ac:dyDescent="0.2">
      <c r="A105" s="1">
        <v>28703</v>
      </c>
      <c r="B105" s="1">
        <v>28733</v>
      </c>
      <c r="C105">
        <v>83.7</v>
      </c>
      <c r="D105">
        <v>1.1520999999999999</v>
      </c>
      <c r="G105">
        <v>21.5</v>
      </c>
      <c r="H105">
        <v>30.2</v>
      </c>
      <c r="I105">
        <v>12.8</v>
      </c>
      <c r="J105">
        <v>3.04</v>
      </c>
      <c r="K105" s="2">
        <v>9.008260869565218</v>
      </c>
      <c r="L105">
        <v>8.0358064516129026</v>
      </c>
      <c r="M105">
        <f t="shared" si="2"/>
        <v>0.97245441795231535</v>
      </c>
      <c r="O105">
        <v>8.3665217391304338</v>
      </c>
      <c r="Q105">
        <v>9</v>
      </c>
      <c r="R105">
        <v>8.410869565217391</v>
      </c>
      <c r="S105">
        <f t="shared" si="1"/>
        <v>0.58913043478260896</v>
      </c>
    </row>
    <row r="106" spans="1:19" x14ac:dyDescent="0.2">
      <c r="A106" s="1">
        <v>28734</v>
      </c>
      <c r="B106" s="1">
        <v>28763</v>
      </c>
      <c r="C106">
        <v>83.6</v>
      </c>
      <c r="D106">
        <v>1.1566000000000001</v>
      </c>
      <c r="G106">
        <v>21.5</v>
      </c>
      <c r="H106">
        <v>30.2</v>
      </c>
      <c r="I106">
        <v>12.8</v>
      </c>
      <c r="J106">
        <v>3.04</v>
      </c>
      <c r="K106" s="2">
        <v>9.18047619047619</v>
      </c>
      <c r="L106">
        <v>8.4493333333333336</v>
      </c>
      <c r="M106">
        <f t="shared" si="2"/>
        <v>0.73114285714285643</v>
      </c>
      <c r="O106">
        <v>8.5654999999999983</v>
      </c>
      <c r="Q106">
        <v>9</v>
      </c>
      <c r="R106">
        <v>8.4164999999999992</v>
      </c>
      <c r="S106">
        <f t="shared" si="1"/>
        <v>0.5835000000000008</v>
      </c>
    </row>
    <row r="107" spans="1:19" x14ac:dyDescent="0.2">
      <c r="A107" s="1">
        <v>28764</v>
      </c>
      <c r="B107" s="1">
        <v>28794</v>
      </c>
      <c r="C107">
        <v>82.2</v>
      </c>
      <c r="D107">
        <v>1.1891</v>
      </c>
      <c r="G107">
        <v>21.5</v>
      </c>
      <c r="H107">
        <v>30.2</v>
      </c>
      <c r="I107">
        <v>12.9</v>
      </c>
      <c r="J107">
        <v>3.04</v>
      </c>
      <c r="K107" s="2">
        <v>9.3986363636363635</v>
      </c>
      <c r="L107">
        <v>8.9554838709677433</v>
      </c>
      <c r="M107">
        <f t="shared" si="2"/>
        <v>0.44315249266862011</v>
      </c>
      <c r="O107">
        <v>8.8538095238095238</v>
      </c>
      <c r="Q107">
        <v>8.89</v>
      </c>
      <c r="R107">
        <v>8.6423809523809521</v>
      </c>
      <c r="S107">
        <f t="shared" si="1"/>
        <v>0.24761904761904852</v>
      </c>
    </row>
    <row r="108" spans="1:19" x14ac:dyDescent="0.2">
      <c r="A108" s="1">
        <v>28795</v>
      </c>
      <c r="B108" s="1">
        <v>28824</v>
      </c>
      <c r="C108">
        <v>83.2</v>
      </c>
      <c r="D108">
        <v>1.1363000000000001</v>
      </c>
      <c r="G108">
        <v>21.5</v>
      </c>
      <c r="H108">
        <v>30.2</v>
      </c>
      <c r="I108">
        <v>13.2</v>
      </c>
      <c r="J108">
        <v>3.04</v>
      </c>
      <c r="K108" s="2">
        <v>7.9695454545454538</v>
      </c>
      <c r="L108">
        <v>9.754999999999999</v>
      </c>
      <c r="M108">
        <f t="shared" si="2"/>
        <v>-1.7854545454545452</v>
      </c>
      <c r="O108">
        <v>9.4245000000000001</v>
      </c>
      <c r="Q108">
        <v>8.8000000000000007</v>
      </c>
      <c r="R108">
        <v>8.8050000000000033</v>
      </c>
      <c r="S108">
        <f t="shared" si="1"/>
        <v>-5.000000000002558E-3</v>
      </c>
    </row>
    <row r="109" spans="1:19" x14ac:dyDescent="0.2">
      <c r="A109" s="1">
        <v>28825</v>
      </c>
      <c r="B109" s="1">
        <v>28855</v>
      </c>
      <c r="C109">
        <v>82.7</v>
      </c>
      <c r="D109">
        <v>1.1505000000000001</v>
      </c>
      <c r="G109">
        <v>21.5</v>
      </c>
      <c r="H109">
        <v>30.2</v>
      </c>
      <c r="I109">
        <v>14.5</v>
      </c>
      <c r="J109">
        <v>3.04</v>
      </c>
      <c r="K109" s="2">
        <v>8.3147368421052619</v>
      </c>
      <c r="L109">
        <v>10.02870967741935</v>
      </c>
      <c r="M109">
        <f t="shared" si="2"/>
        <v>-1.7139728353140882</v>
      </c>
      <c r="O109">
        <v>9.7154999999999969</v>
      </c>
      <c r="Q109">
        <v>8.8000000000000007</v>
      </c>
      <c r="R109">
        <v>9.0064999999999991</v>
      </c>
      <c r="S109">
        <f t="shared" si="1"/>
        <v>-0.20649999999999835</v>
      </c>
    </row>
    <row r="110" spans="1:19" x14ac:dyDescent="0.2">
      <c r="A110" s="1">
        <v>28856</v>
      </c>
      <c r="B110" s="1">
        <v>28886</v>
      </c>
      <c r="C110">
        <v>82.8</v>
      </c>
      <c r="D110">
        <v>1.1334</v>
      </c>
      <c r="G110">
        <v>23.5</v>
      </c>
      <c r="H110">
        <v>30.2</v>
      </c>
      <c r="I110">
        <v>19</v>
      </c>
      <c r="J110">
        <v>3.69</v>
      </c>
      <c r="K110" s="2">
        <v>7.7166666666666659</v>
      </c>
      <c r="L110">
        <v>10.070967741935485</v>
      </c>
      <c r="M110">
        <f t="shared" si="2"/>
        <v>-2.3543010752688192</v>
      </c>
      <c r="O110">
        <v>9.8599999999999977</v>
      </c>
      <c r="Q110">
        <v>8.85</v>
      </c>
      <c r="R110">
        <v>9.0995454545454546</v>
      </c>
      <c r="S110">
        <f t="shared" si="1"/>
        <v>-0.24954545454545496</v>
      </c>
    </row>
    <row r="111" spans="1:19" x14ac:dyDescent="0.2">
      <c r="A111" s="1">
        <v>28887</v>
      </c>
      <c r="B111" s="1">
        <v>28914</v>
      </c>
      <c r="C111">
        <v>82.4</v>
      </c>
      <c r="D111">
        <v>1.1283000000000001</v>
      </c>
      <c r="G111">
        <v>23.5</v>
      </c>
      <c r="H111">
        <v>30.2</v>
      </c>
      <c r="I111">
        <v>22</v>
      </c>
      <c r="J111">
        <v>3.69</v>
      </c>
      <c r="K111" s="2">
        <v>6.9084999999999983</v>
      </c>
      <c r="L111">
        <v>10.058571428571428</v>
      </c>
      <c r="M111">
        <f t="shared" si="2"/>
        <v>-3.1500714285714295</v>
      </c>
      <c r="O111">
        <v>9.716666666666665</v>
      </c>
      <c r="Q111">
        <v>9</v>
      </c>
      <c r="R111">
        <v>9.0983333333333345</v>
      </c>
      <c r="S111">
        <f t="shared" si="1"/>
        <v>-9.8333333333334494E-2</v>
      </c>
    </row>
    <row r="112" spans="1:19" x14ac:dyDescent="0.2">
      <c r="A112" s="1">
        <v>28915</v>
      </c>
      <c r="B112" s="1">
        <v>28945</v>
      </c>
      <c r="C112">
        <v>82.3</v>
      </c>
      <c r="D112">
        <v>1.1182000000000001</v>
      </c>
      <c r="G112">
        <v>23.5</v>
      </c>
      <c r="H112">
        <v>30.2</v>
      </c>
      <c r="I112">
        <v>23.3</v>
      </c>
      <c r="J112">
        <v>3.69</v>
      </c>
      <c r="K112" s="2">
        <v>7.4777272727272734</v>
      </c>
      <c r="L112">
        <v>10.088709677419351</v>
      </c>
      <c r="M112">
        <f t="shared" si="2"/>
        <v>-2.6109824046920771</v>
      </c>
      <c r="O112">
        <v>9.7895454545454541</v>
      </c>
      <c r="Q112">
        <v>9.35</v>
      </c>
      <c r="R112">
        <v>9.117272727272729</v>
      </c>
      <c r="S112">
        <f t="shared" si="1"/>
        <v>0.23272727272727067</v>
      </c>
    </row>
    <row r="113" spans="1:19" x14ac:dyDescent="0.2">
      <c r="A113" s="1">
        <v>28946</v>
      </c>
      <c r="B113" s="1">
        <v>28975</v>
      </c>
      <c r="C113">
        <v>82.8</v>
      </c>
      <c r="D113">
        <v>1.1024</v>
      </c>
      <c r="G113">
        <v>23.5</v>
      </c>
      <c r="H113">
        <v>30.2</v>
      </c>
      <c r="I113">
        <v>23.6</v>
      </c>
      <c r="J113">
        <v>3.69</v>
      </c>
      <c r="K113" s="2">
        <v>7.5961111111111101</v>
      </c>
      <c r="L113">
        <v>10.010333333333337</v>
      </c>
      <c r="M113">
        <f t="shared" si="2"/>
        <v>-2.4142222222222269</v>
      </c>
      <c r="O113">
        <v>9.7784999999999993</v>
      </c>
      <c r="Q113">
        <v>9.65</v>
      </c>
      <c r="R113">
        <v>9.1820000000000004</v>
      </c>
      <c r="S113">
        <f t="shared" si="1"/>
        <v>0.46799999999999997</v>
      </c>
    </row>
    <row r="114" spans="1:19" x14ac:dyDescent="0.2">
      <c r="A114" s="1">
        <v>28976</v>
      </c>
      <c r="B114" s="1">
        <v>29006</v>
      </c>
      <c r="C114">
        <v>83.1</v>
      </c>
      <c r="D114">
        <v>1.1048</v>
      </c>
      <c r="G114">
        <v>23.5</v>
      </c>
      <c r="H114">
        <v>30.2</v>
      </c>
      <c r="I114">
        <v>32.799999999999997</v>
      </c>
      <c r="J114">
        <v>3.69</v>
      </c>
      <c r="K114" s="2">
        <v>8.1899999999999977</v>
      </c>
      <c r="L114">
        <v>10.24193548387097</v>
      </c>
      <c r="M114">
        <f t="shared" si="2"/>
        <v>-2.051935483870972</v>
      </c>
      <c r="O114">
        <v>9.7838095238095271</v>
      </c>
      <c r="Q114">
        <v>9.6999999999999993</v>
      </c>
      <c r="R114">
        <v>9.2523809523809515</v>
      </c>
      <c r="S114">
        <f t="shared" si="1"/>
        <v>0.44761904761904781</v>
      </c>
    </row>
    <row r="115" spans="1:19" x14ac:dyDescent="0.2">
      <c r="A115" s="1">
        <v>29007</v>
      </c>
      <c r="B115" s="1">
        <v>29036</v>
      </c>
      <c r="C115">
        <v>83.1</v>
      </c>
      <c r="D115">
        <v>1.1211</v>
      </c>
      <c r="G115">
        <v>23.5</v>
      </c>
      <c r="H115">
        <v>30.2</v>
      </c>
      <c r="I115">
        <v>36.5</v>
      </c>
      <c r="J115">
        <v>3.69</v>
      </c>
      <c r="K115" s="2">
        <v>7.7028571428571428</v>
      </c>
      <c r="L115">
        <v>10.291666666666668</v>
      </c>
      <c r="M115">
        <f t="shared" si="2"/>
        <v>-2.588809523809525</v>
      </c>
      <c r="O115">
        <v>9.2204761904761892</v>
      </c>
      <c r="Q115">
        <v>10</v>
      </c>
      <c r="R115">
        <v>8.9138095238095243</v>
      </c>
      <c r="S115">
        <f t="shared" si="1"/>
        <v>1.0861904761904757</v>
      </c>
    </row>
    <row r="116" spans="1:19" x14ac:dyDescent="0.2">
      <c r="A116" s="1">
        <v>29037</v>
      </c>
      <c r="B116" s="1">
        <v>29067</v>
      </c>
      <c r="C116">
        <v>83.3</v>
      </c>
      <c r="D116">
        <v>1.1302000000000001</v>
      </c>
      <c r="G116">
        <v>23.5</v>
      </c>
      <c r="H116">
        <v>30.2</v>
      </c>
      <c r="I116">
        <v>35</v>
      </c>
      <c r="J116">
        <v>3.69</v>
      </c>
      <c r="K116" s="2">
        <v>8.6568181818181831</v>
      </c>
      <c r="L116">
        <v>10.471612903225806</v>
      </c>
      <c r="M116">
        <f t="shared" si="2"/>
        <v>-1.8147947214076225</v>
      </c>
      <c r="O116">
        <v>9.1376190476190473</v>
      </c>
      <c r="Q116">
        <v>10.07</v>
      </c>
      <c r="R116">
        <v>8.9500000000000011</v>
      </c>
      <c r="S116">
        <f t="shared" si="1"/>
        <v>1.1199999999999992</v>
      </c>
    </row>
    <row r="117" spans="1:19" x14ac:dyDescent="0.2">
      <c r="A117" s="1">
        <v>29068</v>
      </c>
      <c r="B117" s="1">
        <v>29098</v>
      </c>
      <c r="C117">
        <v>83.5</v>
      </c>
      <c r="D117">
        <v>1.1284000000000001</v>
      </c>
      <c r="G117">
        <v>23.5</v>
      </c>
      <c r="H117">
        <v>31.3</v>
      </c>
      <c r="I117">
        <v>35.799999999999997</v>
      </c>
      <c r="J117">
        <v>3.69</v>
      </c>
      <c r="K117" s="2">
        <v>8.7321739130434768</v>
      </c>
      <c r="L117">
        <v>10.936129032258069</v>
      </c>
      <c r="M117">
        <f t="shared" si="2"/>
        <v>-2.2039551192145925</v>
      </c>
      <c r="O117">
        <v>9.4586956521739118</v>
      </c>
      <c r="Q117">
        <v>10.07</v>
      </c>
      <c r="R117">
        <v>9.0295652173913066</v>
      </c>
      <c r="S117">
        <f t="shared" si="1"/>
        <v>1.0404347826086937</v>
      </c>
    </row>
    <row r="118" spans="1:19" x14ac:dyDescent="0.2">
      <c r="A118" s="1">
        <v>29099</v>
      </c>
      <c r="B118" s="1">
        <v>29128</v>
      </c>
      <c r="C118">
        <v>83.5</v>
      </c>
      <c r="D118">
        <v>1.1297999999999999</v>
      </c>
      <c r="G118">
        <v>23.5</v>
      </c>
      <c r="H118">
        <v>31.3</v>
      </c>
      <c r="I118">
        <v>36.5</v>
      </c>
      <c r="J118">
        <v>3.69</v>
      </c>
      <c r="K118" s="2">
        <v>8.6050000000000004</v>
      </c>
      <c r="L118">
        <v>11.428333333333335</v>
      </c>
      <c r="M118">
        <f t="shared" si="2"/>
        <v>-2.8233333333333341</v>
      </c>
      <c r="O118">
        <v>10.056315789473683</v>
      </c>
      <c r="Q118">
        <v>10.07</v>
      </c>
      <c r="R118">
        <v>9.3347368421052632</v>
      </c>
      <c r="S118">
        <f t="shared" si="1"/>
        <v>0.73526315789473706</v>
      </c>
    </row>
    <row r="119" spans="1:19" x14ac:dyDescent="0.2">
      <c r="A119" s="1">
        <v>29129</v>
      </c>
      <c r="B119" s="1">
        <v>29159</v>
      </c>
      <c r="C119">
        <v>83.8</v>
      </c>
      <c r="D119">
        <v>1.0973999999999999</v>
      </c>
      <c r="G119">
        <v>23.5</v>
      </c>
      <c r="H119">
        <v>32.4</v>
      </c>
      <c r="I119">
        <v>38.5</v>
      </c>
      <c r="J119">
        <v>3.69</v>
      </c>
      <c r="K119" s="2">
        <v>8.20695652173913</v>
      </c>
      <c r="L119">
        <v>13.768709677419354</v>
      </c>
      <c r="M119">
        <f t="shared" si="2"/>
        <v>-5.5617531556802238</v>
      </c>
      <c r="O119">
        <v>11.489545454545457</v>
      </c>
      <c r="Q119">
        <v>10.07</v>
      </c>
      <c r="R119">
        <v>10.299090909090911</v>
      </c>
      <c r="S119">
        <f t="shared" si="1"/>
        <v>-0.22909090909091034</v>
      </c>
    </row>
    <row r="120" spans="1:19" x14ac:dyDescent="0.2">
      <c r="A120" s="1">
        <v>29160</v>
      </c>
      <c r="B120" s="1">
        <v>29189</v>
      </c>
      <c r="C120">
        <v>83.6</v>
      </c>
      <c r="D120">
        <v>1.0942000000000001</v>
      </c>
      <c r="G120">
        <v>23.5</v>
      </c>
      <c r="H120">
        <v>32.4</v>
      </c>
      <c r="I120">
        <v>42</v>
      </c>
      <c r="J120">
        <v>3.69</v>
      </c>
      <c r="K120" s="2">
        <v>8.0640909090909059</v>
      </c>
      <c r="L120">
        <v>13.18033333333333</v>
      </c>
      <c r="M120">
        <f t="shared" si="2"/>
        <v>-5.116242424242424</v>
      </c>
      <c r="O120">
        <v>11.808421052631578</v>
      </c>
      <c r="Q120">
        <v>10.08</v>
      </c>
      <c r="R120">
        <v>10.653157894736841</v>
      </c>
      <c r="S120">
        <f t="shared" si="1"/>
        <v>-0.5731578947368412</v>
      </c>
    </row>
    <row r="121" spans="1:19" x14ac:dyDescent="0.2">
      <c r="A121" s="1">
        <v>29190</v>
      </c>
      <c r="B121" s="1">
        <v>29220</v>
      </c>
      <c r="C121">
        <v>83.3</v>
      </c>
      <c r="D121">
        <v>1.1054999999999999</v>
      </c>
      <c r="G121">
        <v>23.5</v>
      </c>
      <c r="H121">
        <v>32.4</v>
      </c>
      <c r="I121">
        <v>40.5</v>
      </c>
      <c r="J121">
        <v>3.69</v>
      </c>
      <c r="K121" s="2">
        <v>8.1921052631578952</v>
      </c>
      <c r="L121">
        <v>13.778709677419359</v>
      </c>
      <c r="M121">
        <f t="shared" si="2"/>
        <v>-5.5866044142614637</v>
      </c>
      <c r="O121">
        <v>11.390499999999999</v>
      </c>
      <c r="Q121">
        <v>10.08</v>
      </c>
      <c r="R121">
        <v>10.386000000000001</v>
      </c>
      <c r="S121">
        <f t="shared" si="1"/>
        <v>-0.30600000000000094</v>
      </c>
    </row>
    <row r="122" spans="1:19" x14ac:dyDescent="0.2">
      <c r="A122" s="1">
        <v>29221</v>
      </c>
      <c r="B122" s="1">
        <v>29251</v>
      </c>
      <c r="C122">
        <v>83.2</v>
      </c>
      <c r="D122">
        <v>1.1069</v>
      </c>
      <c r="G122">
        <v>28.1</v>
      </c>
      <c r="H122">
        <v>32.4</v>
      </c>
      <c r="I122">
        <v>40</v>
      </c>
      <c r="J122">
        <v>5.7</v>
      </c>
      <c r="K122" s="2">
        <v>8.201428571428572</v>
      </c>
      <c r="L122">
        <v>13.816774193548385</v>
      </c>
      <c r="M122">
        <f t="shared" si="2"/>
        <v>-5.615345622119813</v>
      </c>
      <c r="O122">
        <v>11.498181818181818</v>
      </c>
      <c r="Q122">
        <v>10.45</v>
      </c>
      <c r="R122">
        <v>10.802272727272726</v>
      </c>
      <c r="S122">
        <f t="shared" si="1"/>
        <v>-0.35227272727272663</v>
      </c>
    </row>
    <row r="123" spans="1:19" x14ac:dyDescent="0.2">
      <c r="A123" s="1">
        <v>29252</v>
      </c>
      <c r="B123" s="1">
        <v>29280</v>
      </c>
      <c r="C123">
        <v>83.5</v>
      </c>
      <c r="D123">
        <v>1.0987</v>
      </c>
      <c r="G123">
        <v>28.1</v>
      </c>
      <c r="H123">
        <v>32.4</v>
      </c>
      <c r="I123">
        <v>38.5</v>
      </c>
      <c r="J123">
        <v>5.7</v>
      </c>
      <c r="K123" s="2">
        <v>8.1499999999999986</v>
      </c>
      <c r="L123">
        <v>14.126206896551722</v>
      </c>
      <c r="M123">
        <f t="shared" si="2"/>
        <v>-5.976206896551723</v>
      </c>
      <c r="O123">
        <v>13.418421052631578</v>
      </c>
      <c r="Q123">
        <v>10.55</v>
      </c>
      <c r="R123">
        <v>12.414736842105265</v>
      </c>
      <c r="S123">
        <f t="shared" si="1"/>
        <v>-1.8647368421052644</v>
      </c>
    </row>
    <row r="124" spans="1:19" x14ac:dyDescent="0.2">
      <c r="A124" s="1">
        <v>29281</v>
      </c>
      <c r="B124" s="1">
        <v>29311</v>
      </c>
      <c r="C124">
        <v>84.4</v>
      </c>
      <c r="D124">
        <v>1.0831</v>
      </c>
      <c r="G124">
        <v>28.1</v>
      </c>
      <c r="H124">
        <v>32.4</v>
      </c>
      <c r="I124">
        <v>38.299999999999997</v>
      </c>
      <c r="J124">
        <v>5.7</v>
      </c>
      <c r="K124" s="2">
        <v>9.0471428571428554</v>
      </c>
      <c r="L124">
        <v>17.192258064516132</v>
      </c>
      <c r="M124">
        <f t="shared" si="2"/>
        <v>-8.1451152073732764</v>
      </c>
      <c r="O124">
        <v>14.884761904761907</v>
      </c>
      <c r="Q124">
        <v>11.2</v>
      </c>
      <c r="R124">
        <v>12.749047619047618</v>
      </c>
      <c r="S124">
        <f t="shared" si="1"/>
        <v>-1.5490476190476183</v>
      </c>
    </row>
    <row r="125" spans="1:19" x14ac:dyDescent="0.2">
      <c r="A125" s="1">
        <v>29312</v>
      </c>
      <c r="B125" s="1">
        <v>29341</v>
      </c>
      <c r="C125">
        <v>84.5</v>
      </c>
      <c r="D125">
        <v>1.1145</v>
      </c>
      <c r="G125">
        <v>28.1</v>
      </c>
      <c r="H125">
        <v>39.5</v>
      </c>
      <c r="I125">
        <v>38.200000000000003</v>
      </c>
      <c r="J125">
        <v>5.7</v>
      </c>
      <c r="K125" s="2">
        <v>8.9673684210526297</v>
      </c>
      <c r="L125">
        <v>17.607666666666663</v>
      </c>
      <c r="M125">
        <f t="shared" si="2"/>
        <v>-8.6402982456140336</v>
      </c>
      <c r="O125">
        <v>12.501904761904763</v>
      </c>
      <c r="Q125">
        <v>11.73</v>
      </c>
      <c r="R125">
        <v>11.473333333333333</v>
      </c>
      <c r="S125">
        <f t="shared" si="1"/>
        <v>0.25666666666666771</v>
      </c>
    </row>
    <row r="126" spans="1:19" x14ac:dyDescent="0.2">
      <c r="A126" s="1">
        <v>29342</v>
      </c>
      <c r="B126" s="1">
        <v>29372</v>
      </c>
      <c r="C126">
        <v>84.8</v>
      </c>
      <c r="D126">
        <v>1.1426000000000001</v>
      </c>
      <c r="G126">
        <v>28.1</v>
      </c>
      <c r="H126">
        <v>40.1</v>
      </c>
      <c r="I126">
        <v>38.5</v>
      </c>
      <c r="J126">
        <v>5.7</v>
      </c>
      <c r="K126" s="2">
        <v>10.983181818181819</v>
      </c>
      <c r="L126">
        <v>10.983225806451614</v>
      </c>
      <c r="M126">
        <f t="shared" si="2"/>
        <v>-4.3988269794681401E-5</v>
      </c>
      <c r="O126">
        <v>9.4499999999999975</v>
      </c>
      <c r="Q126">
        <v>11.78</v>
      </c>
      <c r="R126">
        <v>10.181428571428572</v>
      </c>
      <c r="S126">
        <f t="shared" si="1"/>
        <v>1.598571428571427</v>
      </c>
    </row>
    <row r="127" spans="1:19" x14ac:dyDescent="0.2">
      <c r="A127" s="1">
        <v>29373</v>
      </c>
      <c r="B127" s="1">
        <v>29402</v>
      </c>
      <c r="C127">
        <v>85</v>
      </c>
      <c r="D127">
        <v>1.1576</v>
      </c>
      <c r="G127">
        <v>28.1</v>
      </c>
      <c r="H127">
        <v>40.700000000000003</v>
      </c>
      <c r="I127">
        <v>38</v>
      </c>
      <c r="J127">
        <v>5.7</v>
      </c>
      <c r="K127" s="2">
        <v>10.215238095238096</v>
      </c>
      <c r="L127">
        <v>9.4720000000000013</v>
      </c>
      <c r="M127">
        <f t="shared" si="2"/>
        <v>0.74323809523809459</v>
      </c>
      <c r="O127">
        <v>8.7280952380952392</v>
      </c>
      <c r="Q127">
        <v>11.76</v>
      </c>
      <c r="R127">
        <v>9.7780952380952382</v>
      </c>
      <c r="S127">
        <f t="shared" si="1"/>
        <v>1.9819047619047616</v>
      </c>
    </row>
    <row r="128" spans="1:19" x14ac:dyDescent="0.2">
      <c r="A128" s="1">
        <v>29403</v>
      </c>
      <c r="B128" s="1">
        <v>29433</v>
      </c>
      <c r="C128">
        <v>85.5</v>
      </c>
      <c r="D128">
        <v>1.1525000000000001</v>
      </c>
      <c r="G128">
        <v>28.1</v>
      </c>
      <c r="H128">
        <v>40.700000000000003</v>
      </c>
      <c r="I128">
        <v>37.4</v>
      </c>
      <c r="J128">
        <v>5.7</v>
      </c>
      <c r="K128" s="2">
        <v>10.801739130434781</v>
      </c>
      <c r="L128">
        <v>9.0258064516129028</v>
      </c>
      <c r="M128">
        <f t="shared" si="2"/>
        <v>1.7759326788218779</v>
      </c>
      <c r="O128">
        <v>9.0295454545454561</v>
      </c>
      <c r="Q128">
        <v>11.78</v>
      </c>
      <c r="R128">
        <v>10.247727272727273</v>
      </c>
      <c r="S128">
        <f t="shared" si="1"/>
        <v>1.5322727272727263</v>
      </c>
    </row>
    <row r="129" spans="1:19" x14ac:dyDescent="0.2">
      <c r="A129" s="1">
        <v>29434</v>
      </c>
      <c r="B129" s="1">
        <v>29464</v>
      </c>
      <c r="C129">
        <v>85.8</v>
      </c>
      <c r="D129">
        <v>1.1656</v>
      </c>
      <c r="G129">
        <v>28.1</v>
      </c>
      <c r="H129">
        <v>44.2</v>
      </c>
      <c r="I129">
        <v>33.6</v>
      </c>
      <c r="J129">
        <v>5.7</v>
      </c>
      <c r="K129" s="2">
        <v>9.6909523809523801</v>
      </c>
      <c r="L129">
        <v>9.6054838709677437</v>
      </c>
      <c r="M129">
        <f t="shared" si="2"/>
        <v>8.5468509984636398E-2</v>
      </c>
      <c r="O129">
        <v>10.52761904761905</v>
      </c>
      <c r="Q129">
        <v>11.82</v>
      </c>
      <c r="R129">
        <v>11.101904761904764</v>
      </c>
      <c r="S129">
        <f t="shared" si="1"/>
        <v>0.7180952380952359</v>
      </c>
    </row>
    <row r="130" spans="1:19" x14ac:dyDescent="0.2">
      <c r="A130" s="1">
        <v>29465</v>
      </c>
      <c r="B130" s="1">
        <v>29494</v>
      </c>
      <c r="C130">
        <v>85.8</v>
      </c>
      <c r="D130">
        <v>1.169</v>
      </c>
      <c r="G130">
        <v>28.1</v>
      </c>
      <c r="H130">
        <v>44.6</v>
      </c>
      <c r="I130">
        <v>33.4</v>
      </c>
      <c r="J130">
        <v>5.7</v>
      </c>
      <c r="K130" s="2">
        <v>9.4645454545454548</v>
      </c>
      <c r="L130">
        <v>10.871999999999996</v>
      </c>
      <c r="M130">
        <f t="shared" si="2"/>
        <v>-1.4074545454545415</v>
      </c>
      <c r="O130">
        <v>11.574761904761903</v>
      </c>
      <c r="Q130">
        <v>11.78</v>
      </c>
      <c r="R130">
        <v>11.508571428571429</v>
      </c>
      <c r="S130">
        <f t="shared" si="1"/>
        <v>0.27142857142857046</v>
      </c>
    </row>
    <row r="131" spans="1:19" x14ac:dyDescent="0.2">
      <c r="A131" s="1">
        <v>29495</v>
      </c>
      <c r="B131" s="1">
        <v>29525</v>
      </c>
      <c r="C131">
        <v>86.2</v>
      </c>
      <c r="D131">
        <v>1.1726000000000001</v>
      </c>
      <c r="G131">
        <v>28.1</v>
      </c>
      <c r="H131">
        <v>44.6</v>
      </c>
      <c r="I131">
        <v>37.9</v>
      </c>
      <c r="J131">
        <v>5.7</v>
      </c>
      <c r="K131" s="2">
        <v>8.503043478260869</v>
      </c>
      <c r="L131">
        <v>12.813548387096771</v>
      </c>
      <c r="M131">
        <f t="shared" si="2"/>
        <v>-4.3105049088359024</v>
      </c>
      <c r="O131">
        <v>12.088181818181816</v>
      </c>
      <c r="Q131">
        <v>11.9</v>
      </c>
      <c r="R131">
        <v>11.751363636363633</v>
      </c>
      <c r="S131">
        <f t="shared" ref="S131:S194" si="3">Q131-R131</f>
        <v>0.14863636363636701</v>
      </c>
    </row>
    <row r="132" spans="1:19" x14ac:dyDescent="0.2">
      <c r="A132" s="1">
        <v>29526</v>
      </c>
      <c r="B132" s="1">
        <v>29555</v>
      </c>
      <c r="C132">
        <v>86.8</v>
      </c>
      <c r="D132">
        <v>1.1642999999999999</v>
      </c>
      <c r="G132">
        <v>28.1</v>
      </c>
      <c r="H132">
        <v>45</v>
      </c>
      <c r="I132">
        <v>40.799999999999997</v>
      </c>
      <c r="J132">
        <v>5.7</v>
      </c>
      <c r="K132" s="2">
        <v>9.6784999999999979</v>
      </c>
      <c r="L132">
        <v>15.848666666666666</v>
      </c>
      <c r="M132">
        <f t="shared" si="2"/>
        <v>-6.1701666666666686</v>
      </c>
      <c r="O132">
        <v>13.514117647058825</v>
      </c>
      <c r="Q132">
        <v>12.42</v>
      </c>
      <c r="R132">
        <v>12.684705882352942</v>
      </c>
      <c r="S132">
        <f t="shared" si="3"/>
        <v>-0.26470588235294201</v>
      </c>
    </row>
    <row r="133" spans="1:19" x14ac:dyDescent="0.2">
      <c r="A133" s="1">
        <v>29556</v>
      </c>
      <c r="B133" s="1">
        <v>29586</v>
      </c>
      <c r="C133">
        <v>87.1</v>
      </c>
      <c r="D133">
        <v>1.1807000000000001</v>
      </c>
      <c r="G133">
        <v>28.1</v>
      </c>
      <c r="H133">
        <v>45</v>
      </c>
      <c r="I133">
        <v>40.200000000000003</v>
      </c>
      <c r="J133">
        <v>5.7</v>
      </c>
      <c r="K133" s="2">
        <v>9.1647619047619031</v>
      </c>
      <c r="L133">
        <v>18.89612903225806</v>
      </c>
      <c r="M133">
        <f t="shared" si="2"/>
        <v>-9.7313671274961564</v>
      </c>
      <c r="O133">
        <v>14.076818181818185</v>
      </c>
      <c r="Q133">
        <v>12.6</v>
      </c>
      <c r="R133">
        <v>12.844090909090907</v>
      </c>
      <c r="S133">
        <f t="shared" si="3"/>
        <v>-0.24409090909090736</v>
      </c>
    </row>
    <row r="134" spans="1:19" x14ac:dyDescent="0.2">
      <c r="A134" s="1">
        <v>29587</v>
      </c>
      <c r="B134" s="1">
        <v>29617</v>
      </c>
      <c r="C134">
        <v>87.5</v>
      </c>
      <c r="D134">
        <v>1.1707000000000001</v>
      </c>
      <c r="G134">
        <v>28.1</v>
      </c>
      <c r="H134">
        <v>45</v>
      </c>
      <c r="I134">
        <v>40.299999999999997</v>
      </c>
      <c r="J134">
        <v>6.03</v>
      </c>
      <c r="K134" s="2">
        <v>9.7245000000000026</v>
      </c>
      <c r="L134">
        <v>19.084516129032256</v>
      </c>
      <c r="M134">
        <f t="shared" si="2"/>
        <v>-9.3600161290322532</v>
      </c>
      <c r="O134">
        <v>13.262380952380951</v>
      </c>
      <c r="Q134">
        <v>13.1</v>
      </c>
      <c r="R134">
        <v>12.568571428571431</v>
      </c>
      <c r="S134">
        <f t="shared" si="3"/>
        <v>0.53142857142856847</v>
      </c>
    </row>
    <row r="135" spans="1:19" x14ac:dyDescent="0.2">
      <c r="A135" s="1">
        <v>29618</v>
      </c>
      <c r="B135" s="1">
        <v>29645</v>
      </c>
      <c r="C135">
        <v>88.2</v>
      </c>
      <c r="D135">
        <v>1.1566000000000001</v>
      </c>
      <c r="G135">
        <v>28.1</v>
      </c>
      <c r="H135">
        <v>45</v>
      </c>
      <c r="I135">
        <v>38.700000000000003</v>
      </c>
      <c r="J135">
        <v>6.03</v>
      </c>
      <c r="K135" s="2">
        <v>10.044499999999999</v>
      </c>
      <c r="L135">
        <v>15.934285714285711</v>
      </c>
      <c r="M135">
        <f t="shared" si="2"/>
        <v>-5.8897857142857113</v>
      </c>
      <c r="O135">
        <v>13.91888888888889</v>
      </c>
      <c r="Q135">
        <v>13.1</v>
      </c>
      <c r="R135">
        <v>13.194444444444448</v>
      </c>
      <c r="S135">
        <f t="shared" si="3"/>
        <v>-9.444444444444855E-2</v>
      </c>
    </row>
    <row r="136" spans="1:19" x14ac:dyDescent="0.2">
      <c r="A136" s="1">
        <v>29646</v>
      </c>
      <c r="B136" s="1">
        <v>29676</v>
      </c>
      <c r="C136">
        <v>88.8</v>
      </c>
      <c r="D136">
        <v>1.1684000000000001</v>
      </c>
      <c r="G136">
        <v>28.1</v>
      </c>
      <c r="H136">
        <v>45</v>
      </c>
      <c r="I136">
        <v>38.299999999999997</v>
      </c>
      <c r="J136">
        <v>6.03</v>
      </c>
      <c r="K136" s="2">
        <v>10.970454545454546</v>
      </c>
      <c r="L136">
        <v>14.703870967741942</v>
      </c>
      <c r="M136">
        <f t="shared" si="2"/>
        <v>-3.7334164222873962</v>
      </c>
      <c r="O136">
        <v>13.568636363636365</v>
      </c>
      <c r="Q136">
        <v>13.1</v>
      </c>
      <c r="R136">
        <v>13.115909090909094</v>
      </c>
      <c r="S136">
        <f t="shared" si="3"/>
        <v>-1.5909090909094203E-2</v>
      </c>
    </row>
    <row r="137" spans="1:19" x14ac:dyDescent="0.2">
      <c r="A137" s="1">
        <v>29677</v>
      </c>
      <c r="B137" s="1">
        <v>29706</v>
      </c>
      <c r="C137">
        <v>89.5</v>
      </c>
      <c r="D137">
        <v>1.1505000000000001</v>
      </c>
      <c r="G137">
        <v>28.1</v>
      </c>
      <c r="H137">
        <v>56.5</v>
      </c>
      <c r="I137">
        <v>37.200000000000003</v>
      </c>
      <c r="J137">
        <v>6.03</v>
      </c>
      <c r="K137" s="2">
        <v>11.77</v>
      </c>
      <c r="L137">
        <v>15.718999999999999</v>
      </c>
      <c r="M137">
        <f t="shared" si="2"/>
        <v>-3.9489999999999998</v>
      </c>
      <c r="O137">
        <v>14.151428571428569</v>
      </c>
      <c r="Q137">
        <v>13.1</v>
      </c>
      <c r="R137">
        <v>13.679523809523811</v>
      </c>
      <c r="S137">
        <f t="shared" si="3"/>
        <v>-0.57952380952381155</v>
      </c>
    </row>
    <row r="138" spans="1:19" x14ac:dyDescent="0.2">
      <c r="A138" s="1">
        <v>29707</v>
      </c>
      <c r="B138" s="1">
        <v>29737</v>
      </c>
      <c r="C138">
        <v>90.8</v>
      </c>
      <c r="D138">
        <v>1.1385000000000001</v>
      </c>
      <c r="G138">
        <v>28.1</v>
      </c>
      <c r="H138">
        <v>56.5</v>
      </c>
      <c r="I138">
        <v>35.200000000000003</v>
      </c>
      <c r="J138">
        <v>6.03</v>
      </c>
      <c r="K138" s="2">
        <v>11.949047619047619</v>
      </c>
      <c r="L138">
        <v>18.517741935483865</v>
      </c>
      <c r="M138">
        <f t="shared" si="2"/>
        <v>-6.5686943164362468</v>
      </c>
      <c r="O138">
        <v>15.456999999999999</v>
      </c>
      <c r="Q138">
        <v>13.1</v>
      </c>
      <c r="R138">
        <v>14.099500000000001</v>
      </c>
      <c r="S138">
        <f t="shared" si="3"/>
        <v>-0.99950000000000117</v>
      </c>
    </row>
    <row r="139" spans="1:19" x14ac:dyDescent="0.2">
      <c r="A139" s="1">
        <v>29738</v>
      </c>
      <c r="B139" s="1">
        <v>29767</v>
      </c>
      <c r="C139">
        <v>92.9</v>
      </c>
      <c r="D139">
        <v>1.1479999999999999</v>
      </c>
      <c r="G139">
        <v>28.1</v>
      </c>
      <c r="H139">
        <v>56.5</v>
      </c>
      <c r="I139">
        <v>33.299999999999997</v>
      </c>
      <c r="J139">
        <v>6.03</v>
      </c>
      <c r="K139" s="2">
        <v>12.954545454545455</v>
      </c>
      <c r="L139">
        <v>19.099666666666664</v>
      </c>
      <c r="M139">
        <f t="shared" ref="M139:M202" si="4">K139-L139</f>
        <v>-6.1451212121212091</v>
      </c>
      <c r="O139">
        <v>14.505909090909091</v>
      </c>
      <c r="Q139">
        <v>13.1</v>
      </c>
      <c r="R139">
        <v>13.472272727272729</v>
      </c>
      <c r="S139">
        <f t="shared" si="3"/>
        <v>-0.37227272727272975</v>
      </c>
    </row>
    <row r="140" spans="1:19" x14ac:dyDescent="0.2">
      <c r="A140" s="1">
        <v>29768</v>
      </c>
      <c r="B140" s="1">
        <v>29798</v>
      </c>
      <c r="C140">
        <v>94.2</v>
      </c>
      <c r="D140">
        <v>1.1355999999999999</v>
      </c>
      <c r="G140">
        <v>28.1</v>
      </c>
      <c r="H140">
        <v>56.5</v>
      </c>
      <c r="I140">
        <v>35.1</v>
      </c>
      <c r="J140">
        <v>6.03</v>
      </c>
      <c r="K140" s="2">
        <v>13.583043478260871</v>
      </c>
      <c r="L140">
        <v>19.035806451612903</v>
      </c>
      <c r="M140">
        <f t="shared" si="4"/>
        <v>-5.4527629733520318</v>
      </c>
      <c r="O140">
        <v>15.354090909090905</v>
      </c>
      <c r="Q140">
        <v>13.9</v>
      </c>
      <c r="R140">
        <v>14.280909090909091</v>
      </c>
      <c r="S140">
        <f t="shared" si="3"/>
        <v>-0.38090909090909086</v>
      </c>
    </row>
    <row r="141" spans="1:19" x14ac:dyDescent="0.2">
      <c r="A141" s="1">
        <v>29799</v>
      </c>
      <c r="B141" s="1">
        <v>29829</v>
      </c>
      <c r="C141">
        <v>94.4</v>
      </c>
      <c r="D141">
        <v>1.1508</v>
      </c>
      <c r="G141">
        <v>28.1</v>
      </c>
      <c r="H141">
        <v>56.5</v>
      </c>
      <c r="I141">
        <v>35.799999999999997</v>
      </c>
      <c r="J141">
        <v>6.03</v>
      </c>
      <c r="K141" s="2">
        <v>12.961428571428568</v>
      </c>
      <c r="L141">
        <v>17.81774193548387</v>
      </c>
      <c r="M141">
        <f t="shared" si="4"/>
        <v>-4.8563133640553016</v>
      </c>
      <c r="O141">
        <v>16.284761904761904</v>
      </c>
      <c r="Q141">
        <v>15</v>
      </c>
      <c r="R141">
        <v>14.937142857142859</v>
      </c>
      <c r="S141">
        <f t="shared" si="3"/>
        <v>6.2857142857140502E-2</v>
      </c>
    </row>
    <row r="142" spans="1:19" x14ac:dyDescent="0.2">
      <c r="A142" s="1">
        <v>29830</v>
      </c>
      <c r="B142" s="1">
        <v>29859</v>
      </c>
      <c r="C142">
        <v>93.8</v>
      </c>
      <c r="D142">
        <v>1.1414</v>
      </c>
      <c r="G142">
        <v>28.1</v>
      </c>
      <c r="H142">
        <v>56.5</v>
      </c>
      <c r="I142">
        <v>35.9</v>
      </c>
      <c r="J142">
        <v>6.03</v>
      </c>
      <c r="K142" s="2">
        <v>12.522272727272728</v>
      </c>
      <c r="L142">
        <v>15.873999999999997</v>
      </c>
      <c r="M142">
        <f t="shared" si="4"/>
        <v>-3.3517272727272687</v>
      </c>
      <c r="O142">
        <v>16.457619047619044</v>
      </c>
      <c r="Q142">
        <v>15</v>
      </c>
      <c r="R142">
        <v>15.323809523809521</v>
      </c>
      <c r="S142">
        <f t="shared" si="3"/>
        <v>-0.32380952380952088</v>
      </c>
    </row>
    <row r="143" spans="1:19" x14ac:dyDescent="0.2">
      <c r="A143" s="1">
        <v>29860</v>
      </c>
      <c r="B143" s="1">
        <v>29890</v>
      </c>
      <c r="C143">
        <v>93</v>
      </c>
      <c r="D143">
        <v>1.135</v>
      </c>
      <c r="G143">
        <v>28.1</v>
      </c>
      <c r="H143">
        <v>56.5</v>
      </c>
      <c r="I143">
        <v>36.5</v>
      </c>
      <c r="J143">
        <v>6.03</v>
      </c>
      <c r="K143" s="2">
        <v>12.375454545454547</v>
      </c>
      <c r="L143">
        <v>15.080000000000004</v>
      </c>
      <c r="M143">
        <f t="shared" si="4"/>
        <v>-2.7045454545454568</v>
      </c>
      <c r="O143">
        <v>15.542857142857141</v>
      </c>
      <c r="Q143">
        <v>15</v>
      </c>
      <c r="R143">
        <v>15.148095238095239</v>
      </c>
      <c r="S143">
        <f t="shared" si="3"/>
        <v>-0.14809523809523917</v>
      </c>
    </row>
    <row r="144" spans="1:19" x14ac:dyDescent="0.2">
      <c r="A144" s="1">
        <v>29891</v>
      </c>
      <c r="B144" s="1">
        <v>29920</v>
      </c>
      <c r="C144">
        <v>91.2</v>
      </c>
      <c r="D144">
        <v>1.1514</v>
      </c>
      <c r="G144">
        <v>28.1</v>
      </c>
      <c r="H144">
        <v>56.5</v>
      </c>
      <c r="I144">
        <v>37.1</v>
      </c>
      <c r="J144">
        <v>6.03</v>
      </c>
      <c r="K144" s="2">
        <v>12.727619047619047</v>
      </c>
      <c r="L144">
        <v>13.306999999999999</v>
      </c>
      <c r="M144">
        <f t="shared" si="4"/>
        <v>-0.57938095238095144</v>
      </c>
      <c r="O144">
        <v>12.881666666666668</v>
      </c>
      <c r="Q144">
        <v>15</v>
      </c>
      <c r="R144">
        <v>13.392777777777773</v>
      </c>
      <c r="S144">
        <f t="shared" si="3"/>
        <v>1.6072222222222265</v>
      </c>
    </row>
    <row r="145" spans="1:19" x14ac:dyDescent="0.2">
      <c r="A145" s="1">
        <v>29921</v>
      </c>
      <c r="B145" s="1">
        <v>29951</v>
      </c>
      <c r="C145">
        <v>90.5</v>
      </c>
      <c r="D145">
        <v>1.1278999999999999</v>
      </c>
      <c r="G145">
        <v>28.1</v>
      </c>
      <c r="H145">
        <v>56.5</v>
      </c>
      <c r="I145">
        <v>36.700000000000003</v>
      </c>
      <c r="J145">
        <v>6.03</v>
      </c>
      <c r="K145" s="2">
        <v>12.52761904761905</v>
      </c>
      <c r="L145">
        <v>12.36903225806452</v>
      </c>
      <c r="M145">
        <f t="shared" si="4"/>
        <v>0.15858678955452987</v>
      </c>
      <c r="O145">
        <v>13.290454545454544</v>
      </c>
      <c r="Q145">
        <v>15</v>
      </c>
      <c r="R145">
        <v>13.724545454545456</v>
      </c>
      <c r="S145">
        <f t="shared" si="3"/>
        <v>1.2754545454545436</v>
      </c>
    </row>
    <row r="146" spans="1:19" x14ac:dyDescent="0.2">
      <c r="A146" s="1">
        <v>29952</v>
      </c>
      <c r="B146" s="1">
        <v>29982</v>
      </c>
      <c r="C146">
        <v>90.1</v>
      </c>
      <c r="D146">
        <v>1.0993999999999999</v>
      </c>
      <c r="G146">
        <v>32.5</v>
      </c>
      <c r="H146">
        <v>55.6</v>
      </c>
      <c r="I146">
        <v>35.799999999999997</v>
      </c>
      <c r="J146">
        <v>6.05</v>
      </c>
      <c r="K146" s="2">
        <v>13.240500000000001</v>
      </c>
      <c r="L146">
        <v>13.220645161290323</v>
      </c>
      <c r="M146">
        <f t="shared" si="4"/>
        <v>1.9854838709678191E-2</v>
      </c>
      <c r="O146">
        <v>14.568000000000001</v>
      </c>
      <c r="Q146">
        <v>15</v>
      </c>
      <c r="R146">
        <v>14.593999999999999</v>
      </c>
      <c r="S146">
        <f t="shared" si="3"/>
        <v>0.40600000000000058</v>
      </c>
    </row>
    <row r="147" spans="1:19" x14ac:dyDescent="0.2">
      <c r="A147" s="1">
        <v>29983</v>
      </c>
      <c r="B147" s="1">
        <v>30010</v>
      </c>
      <c r="C147">
        <v>89.2</v>
      </c>
      <c r="D147">
        <v>1.0740000000000001</v>
      </c>
      <c r="G147">
        <v>32.5</v>
      </c>
      <c r="H147">
        <v>55.6</v>
      </c>
      <c r="I147">
        <v>31.6</v>
      </c>
      <c r="J147">
        <v>6.05</v>
      </c>
      <c r="K147" s="2">
        <v>13.194736842105261</v>
      </c>
      <c r="L147">
        <v>14.779285714285711</v>
      </c>
      <c r="M147">
        <f t="shared" si="4"/>
        <v>-1.5845488721804504</v>
      </c>
      <c r="O147">
        <v>14.823333333333336</v>
      </c>
      <c r="Q147">
        <v>15.1</v>
      </c>
      <c r="R147">
        <v>14.425555555555556</v>
      </c>
      <c r="S147">
        <f t="shared" si="3"/>
        <v>0.67444444444444329</v>
      </c>
    </row>
    <row r="148" spans="1:19" x14ac:dyDescent="0.2">
      <c r="A148" s="1">
        <v>30011</v>
      </c>
      <c r="B148" s="1">
        <v>30041</v>
      </c>
      <c r="C148">
        <v>88.8</v>
      </c>
      <c r="D148">
        <v>1.0503</v>
      </c>
      <c r="G148">
        <v>32.5</v>
      </c>
      <c r="H148">
        <v>55.6</v>
      </c>
      <c r="I148">
        <v>29.3</v>
      </c>
      <c r="J148">
        <v>6.05</v>
      </c>
      <c r="K148" s="2">
        <v>14.71913043478261</v>
      </c>
      <c r="L148">
        <v>14.677741935483871</v>
      </c>
      <c r="M148">
        <f t="shared" si="4"/>
        <v>4.1388499298738779E-2</v>
      </c>
      <c r="O148">
        <v>14.194347826086956</v>
      </c>
      <c r="Q148">
        <v>15.15</v>
      </c>
      <c r="R148">
        <v>13.861304347826087</v>
      </c>
      <c r="S148">
        <f t="shared" si="3"/>
        <v>1.2886956521739137</v>
      </c>
    </row>
    <row r="149" spans="1:19" x14ac:dyDescent="0.2">
      <c r="A149" s="1">
        <v>30042</v>
      </c>
      <c r="B149" s="1">
        <v>30071</v>
      </c>
      <c r="C149">
        <v>88.2</v>
      </c>
      <c r="D149">
        <v>1.0608</v>
      </c>
      <c r="G149">
        <v>32.5</v>
      </c>
      <c r="H149">
        <v>55.6</v>
      </c>
      <c r="I149">
        <v>33.1</v>
      </c>
      <c r="J149">
        <v>6.05</v>
      </c>
      <c r="K149" s="2">
        <v>17.205999999999996</v>
      </c>
      <c r="L149">
        <v>14.937000000000001</v>
      </c>
      <c r="M149">
        <f t="shared" si="4"/>
        <v>2.2689999999999948</v>
      </c>
      <c r="O149">
        <v>14.202380952380954</v>
      </c>
      <c r="Q149">
        <v>15.2</v>
      </c>
      <c r="R149">
        <v>13.871904761904762</v>
      </c>
      <c r="S149">
        <f t="shared" si="3"/>
        <v>1.3280952380952371</v>
      </c>
    </row>
    <row r="150" spans="1:19" x14ac:dyDescent="0.2">
      <c r="A150" s="1">
        <v>30072</v>
      </c>
      <c r="B150" s="1">
        <v>30102</v>
      </c>
      <c r="C150">
        <v>88</v>
      </c>
      <c r="D150">
        <v>1.0482</v>
      </c>
      <c r="G150">
        <v>32.5</v>
      </c>
      <c r="H150">
        <v>55.6</v>
      </c>
      <c r="I150">
        <v>35.200000000000003</v>
      </c>
      <c r="J150">
        <v>6.05</v>
      </c>
      <c r="K150" s="2">
        <v>15.436666666666664</v>
      </c>
      <c r="L150">
        <v>14.454838709677418</v>
      </c>
      <c r="M150">
        <f t="shared" si="4"/>
        <v>0.98182795698924608</v>
      </c>
      <c r="O150">
        <v>13.777000000000001</v>
      </c>
      <c r="Q150">
        <v>16.399999999999999</v>
      </c>
      <c r="R150">
        <v>13.622499999999999</v>
      </c>
      <c r="S150">
        <f t="shared" si="3"/>
        <v>2.7774999999999999</v>
      </c>
    </row>
    <row r="151" spans="1:19" x14ac:dyDescent="0.2">
      <c r="A151" s="1">
        <v>30103</v>
      </c>
      <c r="B151" s="1">
        <v>30132</v>
      </c>
      <c r="C151">
        <v>88.2</v>
      </c>
      <c r="D151">
        <v>1.0223</v>
      </c>
      <c r="G151">
        <v>32.5</v>
      </c>
      <c r="H151">
        <v>55.6</v>
      </c>
      <c r="I151">
        <v>34.6</v>
      </c>
      <c r="J151">
        <v>6.05</v>
      </c>
      <c r="K151" s="2">
        <v>14.840000000000002</v>
      </c>
      <c r="L151">
        <v>14.152666666666667</v>
      </c>
      <c r="M151">
        <f t="shared" si="4"/>
        <v>0.68733333333333491</v>
      </c>
      <c r="O151">
        <v>14.465454545454547</v>
      </c>
      <c r="Q151">
        <v>16.399999999999999</v>
      </c>
      <c r="R151">
        <v>14.299545454545456</v>
      </c>
      <c r="S151">
        <f t="shared" si="3"/>
        <v>2.1004545454545429</v>
      </c>
    </row>
    <row r="152" spans="1:19" x14ac:dyDescent="0.2">
      <c r="A152" s="1">
        <v>30133</v>
      </c>
      <c r="B152" s="1">
        <v>30163</v>
      </c>
      <c r="C152">
        <v>86.1</v>
      </c>
      <c r="D152">
        <v>0.99580000000000002</v>
      </c>
      <c r="E152">
        <v>41.469279951143598</v>
      </c>
      <c r="G152">
        <v>32.5</v>
      </c>
      <c r="H152">
        <v>55.6</v>
      </c>
      <c r="I152">
        <v>33.700000000000003</v>
      </c>
      <c r="J152">
        <v>6.05</v>
      </c>
      <c r="K152" s="2">
        <v>13.740000000000002</v>
      </c>
      <c r="L152">
        <v>12.586774193548383</v>
      </c>
      <c r="M152">
        <f t="shared" si="4"/>
        <v>1.1532258064516192</v>
      </c>
      <c r="O152">
        <v>13.797142857142857</v>
      </c>
      <c r="Q152">
        <v>16.399999999999999</v>
      </c>
      <c r="R152">
        <v>13.946190476190477</v>
      </c>
      <c r="S152">
        <f t="shared" si="3"/>
        <v>2.4538095238095217</v>
      </c>
    </row>
    <row r="153" spans="1:19" x14ac:dyDescent="0.2">
      <c r="A153" s="1">
        <v>30164</v>
      </c>
      <c r="B153" s="1">
        <v>30194</v>
      </c>
      <c r="C153">
        <v>84.1</v>
      </c>
      <c r="D153">
        <v>0.96430000000000005</v>
      </c>
      <c r="E153">
        <v>41.324053198699701</v>
      </c>
      <c r="G153">
        <v>32.5</v>
      </c>
      <c r="H153">
        <v>55.6</v>
      </c>
      <c r="I153">
        <v>32.799999999999997</v>
      </c>
      <c r="J153">
        <v>6.05</v>
      </c>
      <c r="K153" s="2">
        <v>14.950909090909089</v>
      </c>
      <c r="L153">
        <v>10.119032258064518</v>
      </c>
      <c r="M153">
        <f t="shared" si="4"/>
        <v>4.8318768328445714</v>
      </c>
      <c r="O153">
        <v>12.323636363636361</v>
      </c>
      <c r="Q153">
        <v>16.5</v>
      </c>
      <c r="R153">
        <v>13.055000000000001</v>
      </c>
      <c r="S153">
        <f t="shared" si="3"/>
        <v>3.4449999999999985</v>
      </c>
    </row>
    <row r="154" spans="1:19" x14ac:dyDescent="0.2">
      <c r="A154" s="1">
        <v>30195</v>
      </c>
      <c r="B154" s="1">
        <v>30224</v>
      </c>
      <c r="C154">
        <v>83.8</v>
      </c>
      <c r="D154">
        <v>0.94930000000000003</v>
      </c>
      <c r="E154">
        <v>42.244801056786898</v>
      </c>
      <c r="G154">
        <v>32.5</v>
      </c>
      <c r="H154">
        <v>55.6</v>
      </c>
      <c r="I154">
        <v>34.299999999999997</v>
      </c>
      <c r="J154">
        <v>6.05</v>
      </c>
      <c r="K154" s="2">
        <v>14.022272727272728</v>
      </c>
      <c r="L154">
        <v>10.309666666666667</v>
      </c>
      <c r="M154">
        <f t="shared" si="4"/>
        <v>3.7126060606060616</v>
      </c>
      <c r="O154">
        <v>11.783333333333331</v>
      </c>
      <c r="Q154">
        <v>15.2</v>
      </c>
      <c r="R154">
        <v>12.339047619047619</v>
      </c>
      <c r="S154">
        <f t="shared" si="3"/>
        <v>2.86095238095238</v>
      </c>
    </row>
    <row r="155" spans="1:19" x14ac:dyDescent="0.2">
      <c r="A155" s="1">
        <v>30225</v>
      </c>
      <c r="B155" s="1">
        <v>30255</v>
      </c>
      <c r="C155">
        <v>83.9</v>
      </c>
      <c r="D155">
        <v>0.93669999999999998</v>
      </c>
      <c r="E155">
        <v>42.372495660790399</v>
      </c>
      <c r="G155">
        <v>32.5</v>
      </c>
      <c r="H155">
        <v>55.6</v>
      </c>
      <c r="I155">
        <v>35</v>
      </c>
      <c r="J155">
        <v>6.05</v>
      </c>
      <c r="K155" s="2">
        <v>13.372380952380954</v>
      </c>
      <c r="L155">
        <v>9.7070967741935501</v>
      </c>
      <c r="M155">
        <f t="shared" si="4"/>
        <v>3.6652841781874042</v>
      </c>
      <c r="O155">
        <v>10.187499999999998</v>
      </c>
      <c r="Q155">
        <v>14.55</v>
      </c>
      <c r="R155">
        <v>10.906500000000001</v>
      </c>
      <c r="S155">
        <f t="shared" si="3"/>
        <v>3.6434999999999995</v>
      </c>
    </row>
    <row r="156" spans="1:19" x14ac:dyDescent="0.2">
      <c r="A156" s="1">
        <v>30256</v>
      </c>
      <c r="B156" s="1">
        <v>30285</v>
      </c>
      <c r="C156">
        <v>83.5</v>
      </c>
      <c r="D156">
        <v>0.95479999999999998</v>
      </c>
      <c r="E156">
        <v>42.566438392969701</v>
      </c>
      <c r="G156">
        <v>32.5</v>
      </c>
      <c r="H156">
        <v>55.6</v>
      </c>
      <c r="I156">
        <v>33.799999999999997</v>
      </c>
      <c r="J156">
        <v>6.05</v>
      </c>
      <c r="K156" s="2">
        <v>12.305000000000001</v>
      </c>
      <c r="L156">
        <v>9.1963333333333335</v>
      </c>
      <c r="M156">
        <f t="shared" si="4"/>
        <v>3.108666666666668</v>
      </c>
      <c r="O156">
        <v>9.795789473684211</v>
      </c>
      <c r="Q156">
        <v>14.6</v>
      </c>
      <c r="R156">
        <v>10.550526315789472</v>
      </c>
      <c r="S156">
        <f t="shared" si="3"/>
        <v>4.0494736842105272</v>
      </c>
    </row>
    <row r="157" spans="1:19" x14ac:dyDescent="0.2">
      <c r="A157" s="1">
        <v>30286</v>
      </c>
      <c r="B157" s="1">
        <v>30316</v>
      </c>
      <c r="C157">
        <v>83.4</v>
      </c>
      <c r="D157">
        <v>0.98060000000000003</v>
      </c>
      <c r="E157">
        <v>41.907158734974097</v>
      </c>
      <c r="G157">
        <v>32.5</v>
      </c>
      <c r="H157">
        <v>45.5</v>
      </c>
      <c r="I157">
        <v>31.8</v>
      </c>
      <c r="J157">
        <v>6.05</v>
      </c>
      <c r="K157" s="2">
        <v>10.194761904761904</v>
      </c>
      <c r="L157">
        <v>8.9454838709677418</v>
      </c>
      <c r="M157">
        <f t="shared" si="4"/>
        <v>1.2492780337941625</v>
      </c>
      <c r="O157">
        <v>9.6622727272727289</v>
      </c>
      <c r="Q157">
        <v>14</v>
      </c>
      <c r="R157">
        <v>10.54</v>
      </c>
      <c r="S157">
        <f t="shared" si="3"/>
        <v>3.4600000000000009</v>
      </c>
    </row>
    <row r="158" spans="1:19" x14ac:dyDescent="0.2">
      <c r="A158" s="1">
        <v>30317</v>
      </c>
      <c r="B158" s="1">
        <v>30347</v>
      </c>
      <c r="C158">
        <v>83.6</v>
      </c>
      <c r="D158">
        <v>0.9718</v>
      </c>
      <c r="E158">
        <v>42.558159363774699</v>
      </c>
      <c r="G158">
        <v>29</v>
      </c>
      <c r="H158">
        <v>43</v>
      </c>
      <c r="I158">
        <v>30.9</v>
      </c>
      <c r="J158">
        <v>5.55</v>
      </c>
      <c r="K158" s="2">
        <v>10.070526315789476</v>
      </c>
      <c r="L158">
        <v>8.6832258064516115</v>
      </c>
      <c r="M158">
        <f t="shared" si="4"/>
        <v>1.3873005093378641</v>
      </c>
      <c r="O158">
        <v>9.3276190476190486</v>
      </c>
      <c r="Q158">
        <v>13</v>
      </c>
      <c r="R158">
        <v>10.457142857142859</v>
      </c>
      <c r="S158">
        <f t="shared" si="3"/>
        <v>2.5428571428571409</v>
      </c>
    </row>
    <row r="159" spans="1:19" x14ac:dyDescent="0.2">
      <c r="A159" s="1">
        <v>30348</v>
      </c>
      <c r="B159" s="1">
        <v>30375</v>
      </c>
      <c r="C159">
        <v>82.4</v>
      </c>
      <c r="D159">
        <v>0.96060000000000001</v>
      </c>
      <c r="E159">
        <v>43.361853431061697</v>
      </c>
      <c r="G159">
        <v>29</v>
      </c>
      <c r="H159">
        <v>43</v>
      </c>
      <c r="I159">
        <v>29.1</v>
      </c>
      <c r="J159">
        <v>5.55</v>
      </c>
      <c r="K159" s="2">
        <v>11.170999999999998</v>
      </c>
      <c r="L159">
        <v>8.5089285714285694</v>
      </c>
      <c r="M159">
        <f t="shared" si="4"/>
        <v>2.6620714285714282</v>
      </c>
      <c r="O159">
        <v>9.6363157894736844</v>
      </c>
      <c r="Q159">
        <v>13.6</v>
      </c>
      <c r="R159">
        <v>10.724736842105262</v>
      </c>
      <c r="S159">
        <f t="shared" si="3"/>
        <v>2.8752631578947376</v>
      </c>
    </row>
    <row r="160" spans="1:19" x14ac:dyDescent="0.2">
      <c r="A160" s="1">
        <v>30376</v>
      </c>
      <c r="B160" s="1">
        <v>30406</v>
      </c>
      <c r="C160">
        <v>76.099999999999994</v>
      </c>
      <c r="D160">
        <v>0.8629</v>
      </c>
      <c r="E160">
        <v>41.968983569613499</v>
      </c>
      <c r="G160">
        <v>29</v>
      </c>
      <c r="H160">
        <v>43</v>
      </c>
      <c r="I160">
        <v>28.2</v>
      </c>
      <c r="J160">
        <v>5.55</v>
      </c>
      <c r="K160" s="2">
        <v>10.520434782608694</v>
      </c>
      <c r="L160">
        <v>8.7661290322580623</v>
      </c>
      <c r="M160">
        <f t="shared" si="4"/>
        <v>1.7543057503506319</v>
      </c>
      <c r="O160">
        <v>9.6560869565217384</v>
      </c>
      <c r="Q160">
        <v>14.4</v>
      </c>
      <c r="R160">
        <v>10.506521739130438</v>
      </c>
      <c r="S160">
        <f t="shared" si="3"/>
        <v>3.8934782608695624</v>
      </c>
    </row>
    <row r="161" spans="1:19" x14ac:dyDescent="0.2">
      <c r="A161" s="1">
        <v>30407</v>
      </c>
      <c r="B161" s="1">
        <v>30436</v>
      </c>
      <c r="C161">
        <v>76.2</v>
      </c>
      <c r="D161">
        <v>0.86799999999999999</v>
      </c>
      <c r="E161">
        <v>42.1337238385671</v>
      </c>
      <c r="G161">
        <v>29</v>
      </c>
      <c r="H161">
        <v>43</v>
      </c>
      <c r="I161">
        <v>29.8</v>
      </c>
      <c r="J161">
        <v>5.55</v>
      </c>
      <c r="K161" s="2">
        <v>11.761111111111111</v>
      </c>
      <c r="L161">
        <v>8.8019999999999996</v>
      </c>
      <c r="M161">
        <f t="shared" si="4"/>
        <v>2.9591111111111115</v>
      </c>
      <c r="O161">
        <v>9.5679999999999996</v>
      </c>
      <c r="Q161">
        <v>14.1</v>
      </c>
      <c r="R161">
        <v>10.4</v>
      </c>
      <c r="S161">
        <f t="shared" si="3"/>
        <v>3.6999999999999993</v>
      </c>
    </row>
    <row r="162" spans="1:19" x14ac:dyDescent="0.2">
      <c r="A162" s="1">
        <v>30437</v>
      </c>
      <c r="B162" s="1">
        <v>30467</v>
      </c>
      <c r="C162">
        <v>77.599999999999994</v>
      </c>
      <c r="D162">
        <v>0.88200000000000001</v>
      </c>
      <c r="E162">
        <v>42.600519590317496</v>
      </c>
      <c r="G162">
        <v>29</v>
      </c>
      <c r="H162">
        <v>43</v>
      </c>
      <c r="I162">
        <v>29.6</v>
      </c>
      <c r="J162">
        <v>5.55</v>
      </c>
      <c r="K162" s="2">
        <v>10.813181818181818</v>
      </c>
      <c r="L162">
        <v>8.6300000000000008</v>
      </c>
      <c r="M162">
        <f t="shared" si="4"/>
        <v>2.1831818181818168</v>
      </c>
      <c r="O162">
        <v>9.4890476190476178</v>
      </c>
      <c r="Q162">
        <v>13.1</v>
      </c>
      <c r="R162">
        <v>10.38</v>
      </c>
      <c r="S162">
        <f t="shared" si="3"/>
        <v>2.7199999999999989</v>
      </c>
    </row>
    <row r="163" spans="1:19" x14ac:dyDescent="0.2">
      <c r="A163" s="1">
        <v>30468</v>
      </c>
      <c r="B163" s="1">
        <v>30497</v>
      </c>
      <c r="C163">
        <v>77.7</v>
      </c>
      <c r="D163">
        <v>0.87450000000000006</v>
      </c>
      <c r="E163">
        <v>42.806771009323697</v>
      </c>
      <c r="G163">
        <v>29</v>
      </c>
      <c r="H163">
        <v>43</v>
      </c>
      <c r="I163">
        <v>30.2</v>
      </c>
      <c r="J163">
        <v>5.55</v>
      </c>
      <c r="K163" s="2">
        <v>9.9949999999999992</v>
      </c>
      <c r="L163">
        <v>8.9820000000000011</v>
      </c>
      <c r="M163">
        <f t="shared" si="4"/>
        <v>1.0129999999999981</v>
      </c>
      <c r="O163">
        <v>10.181818181818183</v>
      </c>
      <c r="Q163">
        <v>14.7</v>
      </c>
      <c r="R163">
        <v>10.848636363636365</v>
      </c>
      <c r="S163">
        <f t="shared" si="3"/>
        <v>3.8513636363636348</v>
      </c>
    </row>
    <row r="164" spans="1:19" x14ac:dyDescent="0.2">
      <c r="A164" s="1">
        <v>30498</v>
      </c>
      <c r="B164" s="1">
        <v>30528</v>
      </c>
      <c r="C164">
        <v>78.8</v>
      </c>
      <c r="D164">
        <v>0.88100000000000001</v>
      </c>
      <c r="E164">
        <v>42.589656336997997</v>
      </c>
      <c r="G164">
        <v>29</v>
      </c>
      <c r="H164">
        <v>34.799999999999997</v>
      </c>
      <c r="I164">
        <v>30.8</v>
      </c>
      <c r="J164">
        <v>5.55</v>
      </c>
      <c r="K164" s="2">
        <v>9.5538095238095231</v>
      </c>
      <c r="L164">
        <v>9.3677419354838687</v>
      </c>
      <c r="M164">
        <f t="shared" si="4"/>
        <v>0.1860675883256544</v>
      </c>
      <c r="O164">
        <v>10.685</v>
      </c>
      <c r="Q164">
        <v>14.8</v>
      </c>
      <c r="R164">
        <v>11.376999999999999</v>
      </c>
      <c r="S164">
        <f t="shared" si="3"/>
        <v>3.4230000000000018</v>
      </c>
    </row>
    <row r="165" spans="1:19" x14ac:dyDescent="0.2">
      <c r="A165" s="1">
        <v>30529</v>
      </c>
      <c r="B165" s="1">
        <v>30559</v>
      </c>
      <c r="C165">
        <v>79.599999999999994</v>
      </c>
      <c r="D165">
        <v>0.87849999999999995</v>
      </c>
      <c r="E165">
        <v>43.6710366961427</v>
      </c>
      <c r="G165">
        <v>29</v>
      </c>
      <c r="H165">
        <v>34.799999999999997</v>
      </c>
      <c r="I165">
        <v>31.1</v>
      </c>
      <c r="J165">
        <v>5.55</v>
      </c>
      <c r="K165" s="2">
        <v>9.6882608695652159</v>
      </c>
      <c r="L165">
        <v>9.5583870967741937</v>
      </c>
      <c r="M165">
        <f t="shared" si="4"/>
        <v>0.12987377279102219</v>
      </c>
      <c r="O165">
        <v>11.070434782608697</v>
      </c>
      <c r="Q165">
        <v>14.7</v>
      </c>
      <c r="R165">
        <v>11.846086956521738</v>
      </c>
      <c r="S165">
        <f t="shared" si="3"/>
        <v>2.8539130434782614</v>
      </c>
    </row>
    <row r="166" spans="1:19" x14ac:dyDescent="0.2">
      <c r="A166" s="1">
        <v>30560</v>
      </c>
      <c r="B166" s="1">
        <v>30589</v>
      </c>
      <c r="C166">
        <v>80.400000000000006</v>
      </c>
      <c r="D166">
        <v>0.89649999999999996</v>
      </c>
      <c r="E166">
        <v>43.112762184951499</v>
      </c>
      <c r="G166">
        <v>29</v>
      </c>
      <c r="H166">
        <v>34.799999999999997</v>
      </c>
      <c r="I166">
        <v>30.4</v>
      </c>
      <c r="J166">
        <v>5.55</v>
      </c>
      <c r="K166" s="2">
        <v>9.9768181818181798</v>
      </c>
      <c r="L166">
        <v>9.4480000000000004</v>
      </c>
      <c r="M166">
        <f t="shared" si="4"/>
        <v>0.52881818181817941</v>
      </c>
      <c r="O166">
        <v>10.790000000000001</v>
      </c>
      <c r="Q166">
        <v>14.15</v>
      </c>
      <c r="R166">
        <v>11.653809523809525</v>
      </c>
      <c r="S166">
        <f t="shared" si="3"/>
        <v>2.4961904761904758</v>
      </c>
    </row>
    <row r="167" spans="1:19" x14ac:dyDescent="0.2">
      <c r="A167" s="1">
        <v>30590</v>
      </c>
      <c r="B167" s="1">
        <v>30620</v>
      </c>
      <c r="C167">
        <v>81.7</v>
      </c>
      <c r="D167">
        <v>0.91600000000000004</v>
      </c>
      <c r="E167">
        <v>42.857988525655301</v>
      </c>
      <c r="G167">
        <v>29</v>
      </c>
      <c r="H167">
        <v>34.799999999999997</v>
      </c>
      <c r="I167">
        <v>29.9</v>
      </c>
      <c r="J167">
        <v>5.55</v>
      </c>
      <c r="K167" s="2">
        <v>9.026190476190477</v>
      </c>
      <c r="L167">
        <v>9.4761290322580649</v>
      </c>
      <c r="M167">
        <f t="shared" si="4"/>
        <v>-0.44993855606758792</v>
      </c>
      <c r="O167">
        <v>10.571000000000002</v>
      </c>
      <c r="Q167">
        <v>13.4</v>
      </c>
      <c r="R167">
        <v>11.541</v>
      </c>
      <c r="S167">
        <f t="shared" si="3"/>
        <v>1.859</v>
      </c>
    </row>
    <row r="168" spans="1:19" x14ac:dyDescent="0.2">
      <c r="A168" s="1">
        <v>30621</v>
      </c>
      <c r="B168" s="1">
        <v>30650</v>
      </c>
      <c r="C168">
        <v>82</v>
      </c>
      <c r="D168">
        <v>0.91279999999999994</v>
      </c>
      <c r="E168">
        <v>42.163182710037397</v>
      </c>
      <c r="G168">
        <v>29</v>
      </c>
      <c r="H168">
        <v>32</v>
      </c>
      <c r="I168">
        <v>29.2</v>
      </c>
      <c r="J168">
        <v>5.55</v>
      </c>
      <c r="K168" s="2">
        <v>8.3840909090909079</v>
      </c>
      <c r="L168">
        <v>9.3399999999999981</v>
      </c>
      <c r="M168">
        <f t="shared" si="4"/>
        <v>-0.95590909090909015</v>
      </c>
      <c r="O168">
        <v>10.664210526315786</v>
      </c>
      <c r="Q168">
        <v>13.2</v>
      </c>
      <c r="R168">
        <v>11.690000000000003</v>
      </c>
      <c r="S168">
        <f t="shared" si="3"/>
        <v>1.5099999999999962</v>
      </c>
    </row>
    <row r="169" spans="1:19" x14ac:dyDescent="0.2">
      <c r="A169" s="1">
        <v>30651</v>
      </c>
      <c r="B169" s="1">
        <v>30681</v>
      </c>
      <c r="C169">
        <v>81.099999999999994</v>
      </c>
      <c r="D169">
        <v>0.90200000000000002</v>
      </c>
      <c r="E169">
        <v>41.958481774874798</v>
      </c>
      <c r="G169">
        <v>29</v>
      </c>
      <c r="H169">
        <v>29.3</v>
      </c>
      <c r="I169">
        <v>29</v>
      </c>
      <c r="J169">
        <v>5.55</v>
      </c>
      <c r="K169" s="2">
        <v>4.4220000000000006</v>
      </c>
      <c r="L169">
        <v>9.4712903225806464</v>
      </c>
      <c r="M169">
        <f t="shared" si="4"/>
        <v>-5.0492903225806458</v>
      </c>
      <c r="O169">
        <v>10.836666666666666</v>
      </c>
      <c r="Q169">
        <v>13.5</v>
      </c>
      <c r="R169">
        <v>11.82952380952381</v>
      </c>
      <c r="S169">
        <f t="shared" si="3"/>
        <v>1.6704761904761902</v>
      </c>
    </row>
    <row r="170" spans="1:19" x14ac:dyDescent="0.2">
      <c r="A170" s="1">
        <v>30682</v>
      </c>
      <c r="B170" s="1">
        <v>30712</v>
      </c>
      <c r="C170">
        <v>83.5</v>
      </c>
      <c r="D170">
        <v>0.91779999999999995</v>
      </c>
      <c r="E170">
        <v>42.4003027508899</v>
      </c>
      <c r="G170">
        <v>26.2</v>
      </c>
      <c r="H170">
        <v>29.3</v>
      </c>
      <c r="I170">
        <v>29.6</v>
      </c>
      <c r="J170">
        <v>5.24</v>
      </c>
      <c r="K170" s="2">
        <v>7.8454999999999995</v>
      </c>
      <c r="L170">
        <v>9.558387096774192</v>
      </c>
      <c r="M170">
        <f t="shared" si="4"/>
        <v>-1.7128870967741925</v>
      </c>
      <c r="O170">
        <v>10.642380952380952</v>
      </c>
      <c r="Q170">
        <v>13.5</v>
      </c>
      <c r="R170">
        <v>11.674285714285713</v>
      </c>
      <c r="S170">
        <f t="shared" si="3"/>
        <v>1.8257142857142874</v>
      </c>
    </row>
    <row r="171" spans="1:19" x14ac:dyDescent="0.2">
      <c r="A171" s="1">
        <v>30713</v>
      </c>
      <c r="B171" s="1">
        <v>30741</v>
      </c>
      <c r="C171">
        <v>84.2</v>
      </c>
      <c r="D171">
        <v>0.94289999999999996</v>
      </c>
      <c r="E171">
        <v>42.241845755877698</v>
      </c>
      <c r="G171">
        <v>26.2</v>
      </c>
      <c r="H171">
        <v>29.3</v>
      </c>
      <c r="I171">
        <v>29.9</v>
      </c>
      <c r="J171">
        <v>5.24</v>
      </c>
      <c r="K171" s="2">
        <v>9.0447619047619039</v>
      </c>
      <c r="L171">
        <v>9.5875862068965496</v>
      </c>
      <c r="M171">
        <f t="shared" si="4"/>
        <v>-0.54282430213464572</v>
      </c>
      <c r="O171">
        <v>10.785263157894738</v>
      </c>
      <c r="Q171">
        <v>14</v>
      </c>
      <c r="R171">
        <v>11.842105263157896</v>
      </c>
      <c r="S171">
        <f t="shared" si="3"/>
        <v>2.1578947368421044</v>
      </c>
    </row>
    <row r="172" spans="1:19" x14ac:dyDescent="0.2">
      <c r="A172" s="1">
        <v>30742</v>
      </c>
      <c r="B172" s="1">
        <v>30772</v>
      </c>
      <c r="C172">
        <v>82.9</v>
      </c>
      <c r="D172">
        <v>0.93500000000000005</v>
      </c>
      <c r="E172">
        <v>42.421316505734701</v>
      </c>
      <c r="G172">
        <v>26.2</v>
      </c>
      <c r="H172">
        <v>29.3</v>
      </c>
      <c r="I172">
        <v>30.1</v>
      </c>
      <c r="J172">
        <v>5.24</v>
      </c>
      <c r="K172" s="2">
        <v>11.649090909090908</v>
      </c>
      <c r="L172">
        <v>9.9132258064516137</v>
      </c>
      <c r="M172">
        <f t="shared" si="4"/>
        <v>1.7358651026392948</v>
      </c>
      <c r="O172">
        <v>11.314545454545454</v>
      </c>
      <c r="Q172">
        <v>14.1</v>
      </c>
      <c r="R172">
        <v>12.319090909090905</v>
      </c>
      <c r="S172">
        <f t="shared" si="3"/>
        <v>1.7809090909090948</v>
      </c>
    </row>
    <row r="173" spans="1:19" x14ac:dyDescent="0.2">
      <c r="A173" s="1">
        <v>30773</v>
      </c>
      <c r="B173" s="1">
        <v>30802</v>
      </c>
      <c r="C173">
        <v>82.6</v>
      </c>
      <c r="D173">
        <v>0.92010000000000003</v>
      </c>
      <c r="E173">
        <v>41.327010256949301</v>
      </c>
      <c r="G173">
        <v>26.2</v>
      </c>
      <c r="H173">
        <v>29.3</v>
      </c>
      <c r="I173">
        <v>30.1</v>
      </c>
      <c r="J173">
        <v>5.24</v>
      </c>
      <c r="K173" s="2">
        <v>13.577777777777778</v>
      </c>
      <c r="L173">
        <v>10.291000000000002</v>
      </c>
      <c r="M173">
        <f t="shared" si="4"/>
        <v>3.2867777777777754</v>
      </c>
      <c r="O173">
        <v>11.685999999999998</v>
      </c>
      <c r="Q173">
        <v>13.9</v>
      </c>
      <c r="R173">
        <v>12.6335</v>
      </c>
      <c r="S173">
        <f t="shared" si="3"/>
        <v>1.2665000000000006</v>
      </c>
    </row>
    <row r="174" spans="1:19" x14ac:dyDescent="0.2">
      <c r="A174" s="1">
        <v>30803</v>
      </c>
      <c r="B174" s="1">
        <v>30833</v>
      </c>
      <c r="C174">
        <v>81.599999999999994</v>
      </c>
      <c r="D174">
        <v>0.8992</v>
      </c>
      <c r="E174">
        <v>41.574250098</v>
      </c>
      <c r="G174">
        <v>26.2</v>
      </c>
      <c r="H174">
        <v>29.3</v>
      </c>
      <c r="I174">
        <v>29.9</v>
      </c>
      <c r="J174">
        <v>5.24</v>
      </c>
      <c r="K174" s="2">
        <v>13.276956521739129</v>
      </c>
      <c r="L174">
        <v>10.319354838709678</v>
      </c>
      <c r="M174">
        <f t="shared" si="4"/>
        <v>2.9576016830294503</v>
      </c>
      <c r="O174">
        <v>12.469999999999999</v>
      </c>
      <c r="Q174">
        <v>14.15</v>
      </c>
      <c r="R174">
        <v>13.408636363636363</v>
      </c>
      <c r="S174">
        <f t="shared" si="3"/>
        <v>0.74136363636363711</v>
      </c>
    </row>
    <row r="175" spans="1:19" x14ac:dyDescent="0.2">
      <c r="A175" s="1">
        <v>30834</v>
      </c>
      <c r="B175" s="1">
        <v>30863</v>
      </c>
      <c r="C175">
        <v>79.2</v>
      </c>
      <c r="D175">
        <v>0.86129999999999995</v>
      </c>
      <c r="E175">
        <v>41.123542770497203</v>
      </c>
      <c r="G175">
        <v>26.2</v>
      </c>
      <c r="H175">
        <v>31.8</v>
      </c>
      <c r="I175">
        <v>29.2</v>
      </c>
      <c r="J175">
        <v>5.24</v>
      </c>
      <c r="K175" s="2">
        <v>11.416190476190476</v>
      </c>
      <c r="L175">
        <v>11.061666666666667</v>
      </c>
      <c r="M175">
        <f t="shared" si="4"/>
        <v>0.35452380952380835</v>
      </c>
      <c r="O175">
        <v>12.906666666666668</v>
      </c>
      <c r="Q175">
        <v>13.75</v>
      </c>
      <c r="R175">
        <v>13.562857142857146</v>
      </c>
      <c r="S175">
        <f t="shared" si="3"/>
        <v>0.18714285714285417</v>
      </c>
    </row>
    <row r="176" spans="1:19" x14ac:dyDescent="0.2">
      <c r="A176" s="1">
        <v>30864</v>
      </c>
      <c r="B176" s="1">
        <v>30894</v>
      </c>
      <c r="C176">
        <v>78.7</v>
      </c>
      <c r="D176">
        <v>0.83</v>
      </c>
      <c r="E176">
        <v>39.986111793154997</v>
      </c>
      <c r="G176">
        <v>26.2</v>
      </c>
      <c r="H176">
        <v>31.8</v>
      </c>
      <c r="I176">
        <v>27.9</v>
      </c>
      <c r="J176">
        <v>5.24</v>
      </c>
      <c r="K176" s="2">
        <v>11.490909090909089</v>
      </c>
      <c r="L176">
        <v>11.234193548387093</v>
      </c>
      <c r="M176">
        <f t="shared" si="4"/>
        <v>0.25671554252199513</v>
      </c>
      <c r="O176">
        <v>12.877619047619046</v>
      </c>
      <c r="Q176">
        <v>13.15</v>
      </c>
      <c r="R176">
        <v>13.362380952380953</v>
      </c>
      <c r="S176">
        <f t="shared" si="3"/>
        <v>-0.21238095238095234</v>
      </c>
    </row>
    <row r="177" spans="1:26" x14ac:dyDescent="0.2">
      <c r="A177" s="1">
        <v>30895</v>
      </c>
      <c r="B177" s="1">
        <v>30925</v>
      </c>
      <c r="C177">
        <v>80.099999999999994</v>
      </c>
      <c r="D177">
        <v>0.8488</v>
      </c>
      <c r="E177">
        <v>40.481134538937397</v>
      </c>
      <c r="G177">
        <v>26.2</v>
      </c>
      <c r="H177">
        <v>31.8</v>
      </c>
      <c r="I177">
        <v>28.1</v>
      </c>
      <c r="J177">
        <v>5.24</v>
      </c>
      <c r="K177" s="2">
        <v>10.784347826086956</v>
      </c>
      <c r="L177">
        <v>11.637096774193546</v>
      </c>
      <c r="M177">
        <f t="shared" si="4"/>
        <v>-0.85274894810659063</v>
      </c>
      <c r="O177">
        <v>12.434347826086954</v>
      </c>
      <c r="Q177">
        <v>12.8</v>
      </c>
      <c r="R177">
        <v>12.716086956521737</v>
      </c>
      <c r="S177">
        <f t="shared" si="3"/>
        <v>8.391304347826356E-2</v>
      </c>
    </row>
    <row r="178" spans="1:26" x14ac:dyDescent="0.2">
      <c r="A178" s="1">
        <v>30926</v>
      </c>
      <c r="B178" s="1">
        <v>30955</v>
      </c>
      <c r="C178">
        <v>80.3</v>
      </c>
      <c r="D178">
        <v>0.83299999999999996</v>
      </c>
      <c r="E178">
        <v>40.378112491451297</v>
      </c>
      <c r="G178">
        <v>26.2</v>
      </c>
      <c r="H178">
        <v>31.8</v>
      </c>
      <c r="I178">
        <v>28.4</v>
      </c>
      <c r="J178">
        <v>5.24</v>
      </c>
      <c r="K178" s="2">
        <v>10.4815</v>
      </c>
      <c r="L178">
        <v>11.302666666666665</v>
      </c>
      <c r="M178">
        <f t="shared" si="4"/>
        <v>-0.82116666666666482</v>
      </c>
      <c r="O178">
        <v>12.204736842105262</v>
      </c>
      <c r="Q178">
        <v>13.1</v>
      </c>
      <c r="R178">
        <v>12.522631578947369</v>
      </c>
      <c r="S178">
        <f t="shared" si="3"/>
        <v>0.57736842105263086</v>
      </c>
    </row>
    <row r="179" spans="1:26" x14ac:dyDescent="0.2">
      <c r="A179" s="1">
        <v>30956</v>
      </c>
      <c r="B179" s="1">
        <v>30986</v>
      </c>
      <c r="C179">
        <v>82</v>
      </c>
      <c r="D179">
        <v>0.84870000000000001</v>
      </c>
      <c r="E179">
        <v>40.728609213187802</v>
      </c>
      <c r="G179">
        <v>26.2</v>
      </c>
      <c r="H179">
        <v>31.8</v>
      </c>
      <c r="I179">
        <v>27.8</v>
      </c>
      <c r="J179">
        <v>5.24</v>
      </c>
      <c r="K179" s="2">
        <v>10.570869565217389</v>
      </c>
      <c r="L179">
        <v>9.9854838709677427</v>
      </c>
      <c r="M179">
        <f t="shared" si="4"/>
        <v>0.5853856942496467</v>
      </c>
      <c r="O179">
        <v>11.599999999999998</v>
      </c>
      <c r="Q179">
        <v>13.2</v>
      </c>
      <c r="R179">
        <v>12.160454545454547</v>
      </c>
      <c r="S179">
        <f t="shared" si="3"/>
        <v>1.0395454545454523</v>
      </c>
    </row>
    <row r="180" spans="1:26" x14ac:dyDescent="0.2">
      <c r="A180" s="1">
        <v>30987</v>
      </c>
      <c r="B180" s="1">
        <v>31016</v>
      </c>
      <c r="C180">
        <v>83.5</v>
      </c>
      <c r="D180">
        <v>0.85960000000000003</v>
      </c>
      <c r="E180">
        <v>41.195147847992303</v>
      </c>
      <c r="G180">
        <v>26.2</v>
      </c>
      <c r="H180">
        <v>32.799999999999997</v>
      </c>
      <c r="I180">
        <v>27.7</v>
      </c>
      <c r="J180">
        <v>5.24</v>
      </c>
      <c r="K180" s="2">
        <v>11.031363636363638</v>
      </c>
      <c r="L180">
        <v>9.4256666666666646</v>
      </c>
      <c r="M180">
        <f t="shared" si="4"/>
        <v>1.6056969696969734</v>
      </c>
      <c r="O180">
        <v>10.648947368421053</v>
      </c>
      <c r="Q180">
        <v>13.25</v>
      </c>
      <c r="R180">
        <v>11.572631578947368</v>
      </c>
      <c r="S180">
        <f t="shared" si="3"/>
        <v>1.6773684210526323</v>
      </c>
    </row>
    <row r="181" spans="1:26" x14ac:dyDescent="0.2">
      <c r="A181" s="1">
        <v>31017</v>
      </c>
      <c r="B181" s="1">
        <v>31047</v>
      </c>
      <c r="C181">
        <v>81.3</v>
      </c>
      <c r="D181">
        <v>0.82779999999999998</v>
      </c>
      <c r="E181">
        <v>40.216866353328598</v>
      </c>
      <c r="G181">
        <v>26.2</v>
      </c>
      <c r="H181">
        <v>33.799999999999997</v>
      </c>
      <c r="I181">
        <v>27</v>
      </c>
      <c r="J181">
        <v>5.24</v>
      </c>
      <c r="K181" s="2">
        <v>10.996666666666664</v>
      </c>
      <c r="L181">
        <v>8.3816129032258058</v>
      </c>
      <c r="M181">
        <f t="shared" si="4"/>
        <v>2.6150537634408586</v>
      </c>
      <c r="O181">
        <v>10.1815</v>
      </c>
      <c r="Q181">
        <v>13.4</v>
      </c>
      <c r="R181">
        <v>11.499499999999999</v>
      </c>
      <c r="S181">
        <f t="shared" si="3"/>
        <v>1.900500000000001</v>
      </c>
    </row>
    <row r="182" spans="1:26" x14ac:dyDescent="0.2">
      <c r="A182" s="1">
        <v>31048</v>
      </c>
      <c r="B182" s="1">
        <v>31078</v>
      </c>
      <c r="C182">
        <v>80.8</v>
      </c>
      <c r="D182">
        <v>0.81499999999999995</v>
      </c>
      <c r="E182">
        <v>40.530259185448799</v>
      </c>
      <c r="G182">
        <v>26.6</v>
      </c>
      <c r="H182">
        <v>33.799999999999997</v>
      </c>
      <c r="I182">
        <v>27</v>
      </c>
      <c r="J182">
        <v>5.23</v>
      </c>
      <c r="K182" s="2">
        <v>10.846666666666669</v>
      </c>
      <c r="L182">
        <v>8.3490322580645167</v>
      </c>
      <c r="M182">
        <f t="shared" si="4"/>
        <v>2.4976344086021527</v>
      </c>
      <c r="O182">
        <v>9.9309523809523821</v>
      </c>
      <c r="Q182">
        <v>13.1</v>
      </c>
      <c r="R182">
        <v>11.384285714285717</v>
      </c>
      <c r="S182">
        <f t="shared" si="3"/>
        <v>1.7157142857142826</v>
      </c>
      <c r="W182">
        <v>102.17337799072266</v>
      </c>
      <c r="X182">
        <v>107.57417297363281</v>
      </c>
      <c r="Y182">
        <v>89.647491455078125</v>
      </c>
      <c r="Z182">
        <v>6.0428176075220108E-2</v>
      </c>
    </row>
    <row r="183" spans="1:26" x14ac:dyDescent="0.2">
      <c r="A183" s="1">
        <v>31079</v>
      </c>
      <c r="B183" s="1">
        <v>31106</v>
      </c>
      <c r="C183">
        <v>72.3</v>
      </c>
      <c r="D183">
        <v>0.71379999999999999</v>
      </c>
      <c r="E183">
        <v>40.2906702297051</v>
      </c>
      <c r="G183">
        <v>26.6</v>
      </c>
      <c r="H183">
        <v>33.799999999999997</v>
      </c>
      <c r="I183">
        <v>28.2</v>
      </c>
      <c r="J183">
        <v>5.23</v>
      </c>
      <c r="K183" s="2">
        <v>11.214499999999997</v>
      </c>
      <c r="L183">
        <v>8.5014285714285709</v>
      </c>
      <c r="M183">
        <f t="shared" si="4"/>
        <v>2.7130714285714266</v>
      </c>
      <c r="O183">
        <v>10.165555555555558</v>
      </c>
      <c r="Q183">
        <v>13.7</v>
      </c>
      <c r="R183">
        <v>11.508888888888889</v>
      </c>
      <c r="S183">
        <f t="shared" si="3"/>
        <v>2.1911111111111108</v>
      </c>
      <c r="W183">
        <v>117.10202026367188</v>
      </c>
      <c r="X183">
        <v>126.44272613525391</v>
      </c>
      <c r="Y183">
        <v>96.601669311523438</v>
      </c>
      <c r="Z183">
        <v>0.35123392939567566</v>
      </c>
    </row>
    <row r="184" spans="1:26" x14ac:dyDescent="0.2">
      <c r="A184" s="1">
        <v>31107</v>
      </c>
      <c r="B184" s="1">
        <v>31137</v>
      </c>
      <c r="C184">
        <v>69.2</v>
      </c>
      <c r="D184">
        <v>0.70509999999999995</v>
      </c>
      <c r="E184">
        <v>40.227765262198403</v>
      </c>
      <c r="G184">
        <v>26.6</v>
      </c>
      <c r="H184">
        <v>33.799999999999997</v>
      </c>
      <c r="I184">
        <v>28.1</v>
      </c>
      <c r="J184">
        <v>5.23</v>
      </c>
      <c r="K184" s="2">
        <v>13.487142857142855</v>
      </c>
      <c r="L184">
        <v>8.5774193548387121</v>
      </c>
      <c r="M184">
        <f t="shared" si="4"/>
        <v>4.9097235023041428</v>
      </c>
      <c r="O184">
        <v>10.712857142857144</v>
      </c>
      <c r="Q184">
        <v>13.8</v>
      </c>
      <c r="R184">
        <v>11.855238095238096</v>
      </c>
      <c r="S184">
        <f t="shared" si="3"/>
        <v>1.9447619047619042</v>
      </c>
      <c r="W184">
        <v>124.77815246582031</v>
      </c>
      <c r="X184">
        <v>127.07085418701172</v>
      </c>
      <c r="Y184">
        <v>116.98727416992188</v>
      </c>
      <c r="Z184">
        <v>0.1220405176281929</v>
      </c>
    </row>
    <row r="185" spans="1:26" x14ac:dyDescent="0.2">
      <c r="A185" s="1">
        <v>31138</v>
      </c>
      <c r="B185" s="1">
        <v>31167</v>
      </c>
      <c r="C185">
        <v>64.2</v>
      </c>
      <c r="D185">
        <v>0.65229999999999999</v>
      </c>
      <c r="E185">
        <v>38.663264449459099</v>
      </c>
      <c r="G185">
        <v>26.6</v>
      </c>
      <c r="H185">
        <v>33.799999999999997</v>
      </c>
      <c r="I185">
        <v>27.9</v>
      </c>
      <c r="J185">
        <v>5.23</v>
      </c>
      <c r="K185" s="2">
        <v>14.624210526315787</v>
      </c>
      <c r="L185">
        <v>8.2673333333333332</v>
      </c>
      <c r="M185">
        <f t="shared" si="4"/>
        <v>6.3568771929824539</v>
      </c>
      <c r="O185">
        <v>10.089047619047619</v>
      </c>
      <c r="Q185">
        <v>13.95</v>
      </c>
      <c r="R185">
        <v>11.434761904761903</v>
      </c>
      <c r="S185">
        <f t="shared" si="3"/>
        <v>2.5152380952380966</v>
      </c>
      <c r="W185">
        <v>87.929000854492188</v>
      </c>
      <c r="X185">
        <v>94.64019775390625</v>
      </c>
      <c r="Y185">
        <v>73.757797241210938</v>
      </c>
      <c r="Z185">
        <v>7.0224717259407043E-2</v>
      </c>
    </row>
    <row r="186" spans="1:26" x14ac:dyDescent="0.2">
      <c r="A186" s="1">
        <v>31168</v>
      </c>
      <c r="B186" s="1">
        <v>31198</v>
      </c>
      <c r="C186">
        <v>64.8</v>
      </c>
      <c r="D186">
        <v>0.65800000000000003</v>
      </c>
      <c r="E186">
        <v>38.797638865229601</v>
      </c>
      <c r="G186">
        <v>26.6</v>
      </c>
      <c r="H186">
        <v>33.799999999999997</v>
      </c>
      <c r="I186">
        <v>26.7</v>
      </c>
      <c r="J186">
        <v>5.23</v>
      </c>
      <c r="K186" s="2">
        <v>14.983478260869566</v>
      </c>
      <c r="L186">
        <v>7.9709677419354854</v>
      </c>
      <c r="M186">
        <f t="shared" si="4"/>
        <v>7.0125105189340804</v>
      </c>
      <c r="O186">
        <v>9.3940909090909113</v>
      </c>
      <c r="Q186">
        <v>13.8</v>
      </c>
      <c r="R186">
        <v>10.846818181818183</v>
      </c>
      <c r="S186">
        <f t="shared" si="3"/>
        <v>2.9531818181818181</v>
      </c>
      <c r="W186">
        <v>103.26284790039062</v>
      </c>
      <c r="X186">
        <v>111.15978240966797</v>
      </c>
      <c r="Y186">
        <v>92.276725769042969</v>
      </c>
      <c r="Z186">
        <v>4.3318171054124832E-2</v>
      </c>
    </row>
    <row r="187" spans="1:26" x14ac:dyDescent="0.2">
      <c r="A187" s="1">
        <v>31199</v>
      </c>
      <c r="B187" s="1">
        <v>31228</v>
      </c>
      <c r="C187">
        <v>65</v>
      </c>
      <c r="D187">
        <v>0.66549999999999998</v>
      </c>
      <c r="E187">
        <v>37.611797417758197</v>
      </c>
      <c r="G187">
        <v>26.6</v>
      </c>
      <c r="H187">
        <v>33.799999999999997</v>
      </c>
      <c r="I187">
        <v>26.5</v>
      </c>
      <c r="J187">
        <v>5.23</v>
      </c>
      <c r="K187" s="2">
        <v>15.170500000000004</v>
      </c>
      <c r="L187">
        <v>7.5333333333333323</v>
      </c>
      <c r="M187">
        <f t="shared" si="4"/>
        <v>7.6371666666666718</v>
      </c>
      <c r="O187">
        <v>8.6880000000000006</v>
      </c>
      <c r="Q187">
        <v>13.5</v>
      </c>
      <c r="R187">
        <v>10.156000000000001</v>
      </c>
      <c r="S187">
        <f t="shared" si="3"/>
        <v>3.3439999999999994</v>
      </c>
      <c r="W187">
        <v>148.78282165527344</v>
      </c>
      <c r="X187">
        <v>134.65670776367188</v>
      </c>
      <c r="Y187">
        <v>174.14375305175781</v>
      </c>
      <c r="Z187">
        <v>3.0776333063840866E-2</v>
      </c>
    </row>
    <row r="188" spans="1:26" x14ac:dyDescent="0.2">
      <c r="A188" s="1">
        <v>31229</v>
      </c>
      <c r="B188" s="1">
        <v>31259</v>
      </c>
      <c r="C188">
        <v>68.5</v>
      </c>
      <c r="D188">
        <v>0.72709999999999997</v>
      </c>
      <c r="E188">
        <v>37.1162660764953</v>
      </c>
      <c r="G188">
        <v>26.6</v>
      </c>
      <c r="H188">
        <v>33.799999999999997</v>
      </c>
      <c r="I188">
        <v>26.6</v>
      </c>
      <c r="J188">
        <v>5.23</v>
      </c>
      <c r="K188" s="2">
        <v>14.792608695652175</v>
      </c>
      <c r="L188">
        <v>7.8838709677419345</v>
      </c>
      <c r="M188">
        <f t="shared" si="4"/>
        <v>6.9087377279102409</v>
      </c>
      <c r="O188">
        <v>8.7731818181818184</v>
      </c>
      <c r="Q188">
        <v>13.4</v>
      </c>
      <c r="R188">
        <v>10.306818181818182</v>
      </c>
      <c r="S188">
        <f t="shared" si="3"/>
        <v>3.0931818181818187</v>
      </c>
      <c r="W188">
        <v>133.90542602539062</v>
      </c>
      <c r="X188">
        <v>126.30107879638672</v>
      </c>
      <c r="Y188">
        <v>149.5423583984375</v>
      </c>
      <c r="Z188">
        <v>0.15316541492938995</v>
      </c>
    </row>
    <row r="189" spans="1:26" x14ac:dyDescent="0.2">
      <c r="A189" s="1">
        <v>31260</v>
      </c>
      <c r="B189" s="1">
        <v>31290</v>
      </c>
      <c r="C189">
        <v>66.400000000000006</v>
      </c>
      <c r="D189">
        <v>0.70340000000000003</v>
      </c>
      <c r="E189">
        <v>36.519982306112901</v>
      </c>
      <c r="G189">
        <v>26.6</v>
      </c>
      <c r="H189">
        <v>33.799999999999997</v>
      </c>
      <c r="I189">
        <v>27.2</v>
      </c>
      <c r="J189">
        <v>5.23</v>
      </c>
      <c r="K189" s="2">
        <v>15.465909090909093</v>
      </c>
      <c r="L189">
        <v>7.8983870967741945</v>
      </c>
      <c r="M189">
        <f t="shared" si="4"/>
        <v>7.567521994134899</v>
      </c>
      <c r="O189">
        <v>8.9436363636363652</v>
      </c>
      <c r="Q189">
        <v>13.95</v>
      </c>
      <c r="R189">
        <v>10.331818181818182</v>
      </c>
      <c r="S189">
        <f t="shared" si="3"/>
        <v>3.6181818181818173</v>
      </c>
      <c r="W189">
        <v>82.784103393554688</v>
      </c>
      <c r="X189">
        <v>75.263839721679688</v>
      </c>
      <c r="Y189">
        <v>84.879531860351562</v>
      </c>
      <c r="Z189">
        <v>0.12582837045192719</v>
      </c>
    </row>
    <row r="190" spans="1:26" x14ac:dyDescent="0.2">
      <c r="A190" s="1">
        <v>31291</v>
      </c>
      <c r="B190" s="1">
        <v>31320</v>
      </c>
      <c r="C190">
        <v>64.8</v>
      </c>
      <c r="D190">
        <v>0.7077</v>
      </c>
      <c r="E190">
        <v>36.732349517836298</v>
      </c>
      <c r="G190">
        <v>26.6</v>
      </c>
      <c r="H190">
        <v>33.799999999999997</v>
      </c>
      <c r="I190">
        <v>27.2</v>
      </c>
      <c r="J190">
        <v>5.23</v>
      </c>
      <c r="K190" s="2">
        <v>15.984285714285715</v>
      </c>
      <c r="L190">
        <v>7.9213333333333331</v>
      </c>
      <c r="M190">
        <f t="shared" si="4"/>
        <v>8.0629523809523818</v>
      </c>
      <c r="O190">
        <v>8.9831578947368431</v>
      </c>
      <c r="Q190">
        <v>13.8</v>
      </c>
      <c r="R190">
        <v>10.373157894736842</v>
      </c>
      <c r="S190">
        <f t="shared" si="3"/>
        <v>3.4268421052631588</v>
      </c>
      <c r="W190">
        <v>102.43449401855469</v>
      </c>
      <c r="X190">
        <v>101.56950378417969</v>
      </c>
      <c r="Y190">
        <v>92.486312866210938</v>
      </c>
      <c r="Z190">
        <v>0.14290250837802887</v>
      </c>
    </row>
    <row r="191" spans="1:26" x14ac:dyDescent="0.2">
      <c r="A191" s="1">
        <v>31321</v>
      </c>
      <c r="B191" s="1">
        <v>31351</v>
      </c>
      <c r="C191">
        <v>63.4</v>
      </c>
      <c r="D191">
        <v>0.70020000000000004</v>
      </c>
      <c r="E191">
        <v>35.586491049602699</v>
      </c>
      <c r="G191">
        <v>26.6</v>
      </c>
      <c r="H191">
        <v>33.799999999999997</v>
      </c>
      <c r="I191">
        <v>27.9</v>
      </c>
      <c r="J191">
        <v>5.23</v>
      </c>
      <c r="K191" s="2">
        <v>15.841739130434778</v>
      </c>
      <c r="L191">
        <v>7.9864516129032275</v>
      </c>
      <c r="M191">
        <f t="shared" si="4"/>
        <v>7.8552875175315506</v>
      </c>
      <c r="O191">
        <v>8.8645454545454552</v>
      </c>
      <c r="Q191">
        <v>14.55</v>
      </c>
      <c r="R191">
        <v>10.236818181818181</v>
      </c>
      <c r="S191">
        <f t="shared" si="3"/>
        <v>4.3131818181818193</v>
      </c>
      <c r="W191">
        <v>105.99191284179688</v>
      </c>
      <c r="X191">
        <v>91.342208862304688</v>
      </c>
      <c r="Y191">
        <v>118.73129272460938</v>
      </c>
      <c r="Z191">
        <v>0.13432836532592773</v>
      </c>
    </row>
    <row r="192" spans="1:26" x14ac:dyDescent="0.2">
      <c r="A192" s="1">
        <v>31352</v>
      </c>
      <c r="B192" s="1">
        <v>31381</v>
      </c>
      <c r="C192">
        <v>60.9</v>
      </c>
      <c r="D192">
        <v>0.68500000000000005</v>
      </c>
      <c r="E192">
        <v>35.2533077044883</v>
      </c>
      <c r="G192">
        <v>26.6</v>
      </c>
      <c r="H192">
        <v>33.799999999999997</v>
      </c>
      <c r="I192">
        <v>29.1</v>
      </c>
      <c r="J192">
        <v>5.23</v>
      </c>
      <c r="K192" s="2">
        <v>17.401428571428568</v>
      </c>
      <c r="L192">
        <v>8.0506666666666664</v>
      </c>
      <c r="M192">
        <f t="shared" si="4"/>
        <v>9.3507619047619013</v>
      </c>
      <c r="O192">
        <v>8.5810526315789488</v>
      </c>
      <c r="Q192">
        <v>15.05</v>
      </c>
      <c r="R192">
        <v>9.7815789473684234</v>
      </c>
      <c r="S192">
        <f t="shared" si="3"/>
        <v>5.2684210526315773</v>
      </c>
      <c r="W192">
        <v>94.848182678222656</v>
      </c>
      <c r="X192">
        <v>98.258377075195312</v>
      </c>
      <c r="Y192">
        <v>80.122138977050781</v>
      </c>
      <c r="Z192">
        <v>3.9077766239643097E-2</v>
      </c>
    </row>
    <row r="193" spans="1:26" x14ac:dyDescent="0.2">
      <c r="A193" s="1">
        <v>31382</v>
      </c>
      <c r="B193" s="1">
        <v>31412</v>
      </c>
      <c r="C193">
        <v>60.7</v>
      </c>
      <c r="D193">
        <v>0.68089999999999995</v>
      </c>
      <c r="E193">
        <v>35.074405965950199</v>
      </c>
      <c r="G193">
        <v>26.6</v>
      </c>
      <c r="H193">
        <v>33.799999999999997</v>
      </c>
      <c r="I193">
        <v>25.9</v>
      </c>
      <c r="J193">
        <v>5.23</v>
      </c>
      <c r="K193" s="2">
        <v>18.3765</v>
      </c>
      <c r="L193">
        <v>8.2745161290322589</v>
      </c>
      <c r="M193">
        <f t="shared" si="4"/>
        <v>10.101983870967741</v>
      </c>
      <c r="O193">
        <v>8.1466666666666665</v>
      </c>
      <c r="Q193">
        <v>14.85</v>
      </c>
      <c r="R193">
        <v>9.2590476190476192</v>
      </c>
      <c r="S193">
        <f t="shared" si="3"/>
        <v>5.5909523809523805</v>
      </c>
      <c r="W193">
        <v>96.421165466308594</v>
      </c>
      <c r="X193">
        <v>80.3045654296875</v>
      </c>
      <c r="Y193">
        <v>111.21063232421875</v>
      </c>
      <c r="Z193">
        <v>5.5161543190479279E-2</v>
      </c>
    </row>
    <row r="194" spans="1:26" x14ac:dyDescent="0.2">
      <c r="A194" s="1">
        <v>31413</v>
      </c>
      <c r="B194" s="1">
        <v>31443</v>
      </c>
      <c r="C194">
        <v>62.7</v>
      </c>
      <c r="D194">
        <v>0.71550000000000002</v>
      </c>
      <c r="E194">
        <v>34.984255230297201</v>
      </c>
      <c r="G194">
        <v>26.3</v>
      </c>
      <c r="H194">
        <v>33.799999999999997</v>
      </c>
      <c r="I194">
        <v>25.8</v>
      </c>
      <c r="J194">
        <v>4.0999999999999996</v>
      </c>
      <c r="K194" s="2">
        <v>18.477142857142859</v>
      </c>
      <c r="L194">
        <v>8.1448387096774191</v>
      </c>
      <c r="M194">
        <f t="shared" si="4"/>
        <v>10.33230414746544</v>
      </c>
      <c r="O194">
        <v>8.1423809523809521</v>
      </c>
      <c r="Q194">
        <v>14.1</v>
      </c>
      <c r="R194">
        <v>9.1938095238095237</v>
      </c>
      <c r="S194">
        <f t="shared" si="3"/>
        <v>4.906190476190476</v>
      </c>
      <c r="W194">
        <v>135.36074829101562</v>
      </c>
      <c r="X194">
        <v>137.66831970214844</v>
      </c>
      <c r="Y194">
        <v>166.02262878417969</v>
      </c>
      <c r="Z194">
        <v>4.1428454220294952E-2</v>
      </c>
    </row>
    <row r="195" spans="1:26" x14ac:dyDescent="0.2">
      <c r="A195" s="1">
        <v>31444</v>
      </c>
      <c r="B195" s="1">
        <v>31471</v>
      </c>
      <c r="C195">
        <v>59.8</v>
      </c>
      <c r="D195">
        <v>0.70120000000000005</v>
      </c>
      <c r="E195">
        <v>32.981721017398201</v>
      </c>
      <c r="G195">
        <v>26.3</v>
      </c>
      <c r="H195">
        <v>33.799999999999997</v>
      </c>
      <c r="I195">
        <v>17.600000000000001</v>
      </c>
      <c r="J195">
        <v>4.0999999999999996</v>
      </c>
      <c r="K195" s="2">
        <v>18.059000000000005</v>
      </c>
      <c r="L195">
        <v>7.8599999999999977</v>
      </c>
      <c r="M195">
        <f t="shared" si="4"/>
        <v>10.199000000000007</v>
      </c>
      <c r="O195">
        <v>7.9673684210526314</v>
      </c>
      <c r="Q195">
        <v>13.7</v>
      </c>
      <c r="R195">
        <v>8.7042105263157907</v>
      </c>
      <c r="S195">
        <f t="shared" ref="S195:S258" si="5">Q195-R195</f>
        <v>4.9957894736842086</v>
      </c>
      <c r="W195">
        <v>98.750030517578125</v>
      </c>
      <c r="X195">
        <v>84.02117919921875</v>
      </c>
      <c r="Y195">
        <v>114.81560516357422</v>
      </c>
      <c r="Z195">
        <v>9.030161052942276E-2</v>
      </c>
    </row>
    <row r="196" spans="1:26" x14ac:dyDescent="0.2">
      <c r="A196" s="1">
        <v>31472</v>
      </c>
      <c r="B196" s="1">
        <v>31502</v>
      </c>
      <c r="C196">
        <v>61.1</v>
      </c>
      <c r="D196">
        <v>0.71189999999999998</v>
      </c>
      <c r="E196">
        <v>32.687316392474003</v>
      </c>
      <c r="G196">
        <v>26.3</v>
      </c>
      <c r="H196">
        <v>30.8</v>
      </c>
      <c r="I196">
        <v>13.9</v>
      </c>
      <c r="J196">
        <v>4.0999999999999996</v>
      </c>
      <c r="K196" s="2">
        <v>16.817368421052635</v>
      </c>
      <c r="L196">
        <v>7.4790322580645157</v>
      </c>
      <c r="M196">
        <f t="shared" si="4"/>
        <v>9.338336162988119</v>
      </c>
      <c r="O196">
        <v>7.2144999999999992</v>
      </c>
      <c r="Q196">
        <v>12.6</v>
      </c>
      <c r="R196">
        <v>7.7784999999999984</v>
      </c>
      <c r="S196">
        <f t="shared" si="5"/>
        <v>4.8215000000000012</v>
      </c>
      <c r="W196">
        <v>98.676673889160156</v>
      </c>
      <c r="X196">
        <v>85.129463195800781</v>
      </c>
      <c r="Y196">
        <v>117.56116485595703</v>
      </c>
      <c r="Z196">
        <v>4.0879730135202408E-2</v>
      </c>
    </row>
    <row r="197" spans="1:26" x14ac:dyDescent="0.2">
      <c r="A197" s="1">
        <v>31503</v>
      </c>
      <c r="B197" s="1">
        <v>31532</v>
      </c>
      <c r="C197">
        <v>61.4</v>
      </c>
      <c r="D197">
        <v>0.73909999999999998</v>
      </c>
      <c r="E197">
        <v>32.622071165793102</v>
      </c>
      <c r="G197">
        <v>26.3</v>
      </c>
      <c r="H197">
        <v>30.8</v>
      </c>
      <c r="I197">
        <v>12.5</v>
      </c>
      <c r="J197">
        <v>4.0999999999999996</v>
      </c>
      <c r="K197" s="2">
        <v>14.606666666666667</v>
      </c>
      <c r="L197">
        <v>6.9880000000000004</v>
      </c>
      <c r="M197">
        <f t="shared" si="4"/>
        <v>7.6186666666666669</v>
      </c>
      <c r="O197">
        <v>6.6949999999999994</v>
      </c>
      <c r="Q197">
        <v>12.25</v>
      </c>
      <c r="R197">
        <v>7.2990909090909097</v>
      </c>
      <c r="S197">
        <f t="shared" si="5"/>
        <v>4.9509090909090903</v>
      </c>
      <c r="W197">
        <v>148.31385803222656</v>
      </c>
      <c r="X197">
        <v>142.49339294433594</v>
      </c>
      <c r="Y197">
        <v>182.87278747558594</v>
      </c>
      <c r="Z197">
        <v>9.9593326449394226E-2</v>
      </c>
    </row>
    <row r="198" spans="1:26" x14ac:dyDescent="0.2">
      <c r="A198" s="1">
        <v>31533</v>
      </c>
      <c r="B198" s="1">
        <v>31563</v>
      </c>
      <c r="C198">
        <v>60.7</v>
      </c>
      <c r="D198">
        <v>0.71660000000000001</v>
      </c>
      <c r="E198">
        <v>31.967482276155799</v>
      </c>
      <c r="G198">
        <v>26.3</v>
      </c>
      <c r="H198">
        <v>30.8</v>
      </c>
      <c r="I198">
        <v>14.2</v>
      </c>
      <c r="J198">
        <v>4.0999999999999996</v>
      </c>
      <c r="K198" s="2">
        <v>12.621363636363638</v>
      </c>
      <c r="L198">
        <v>6.8529032258064513</v>
      </c>
      <c r="M198">
        <f t="shared" si="4"/>
        <v>5.7684604105571866</v>
      </c>
      <c r="O198">
        <v>7.0671428571428567</v>
      </c>
      <c r="Q198">
        <v>12.65</v>
      </c>
      <c r="R198">
        <v>7.7095238095238088</v>
      </c>
      <c r="S198">
        <f t="shared" si="5"/>
        <v>4.9404761904761916</v>
      </c>
      <c r="W198">
        <v>117.38924407958984</v>
      </c>
      <c r="X198">
        <v>126.68498992919922</v>
      </c>
      <c r="Y198">
        <v>114.20220947265625</v>
      </c>
      <c r="Z198">
        <v>0.10620047152042389</v>
      </c>
    </row>
    <row r="199" spans="1:26" x14ac:dyDescent="0.2">
      <c r="A199" s="1">
        <v>31564</v>
      </c>
      <c r="B199" s="1">
        <v>31593</v>
      </c>
      <c r="C199">
        <v>56.3</v>
      </c>
      <c r="D199">
        <v>0.67720000000000002</v>
      </c>
      <c r="E199">
        <v>30.742750383928101</v>
      </c>
      <c r="G199">
        <v>26.3</v>
      </c>
      <c r="H199">
        <v>30.8</v>
      </c>
      <c r="I199">
        <v>11.9</v>
      </c>
      <c r="J199">
        <v>4.0999999999999996</v>
      </c>
      <c r="K199" s="2">
        <v>12.981904761904765</v>
      </c>
      <c r="L199">
        <v>6.9166666666666679</v>
      </c>
      <c r="M199">
        <f t="shared" si="4"/>
        <v>6.0652380952380973</v>
      </c>
      <c r="O199">
        <v>7.1847619047619062</v>
      </c>
      <c r="Q199">
        <v>12.95</v>
      </c>
      <c r="R199">
        <v>7.7995238095238077</v>
      </c>
      <c r="S199">
        <f t="shared" si="5"/>
        <v>5.1504761904761915</v>
      </c>
      <c r="W199">
        <v>96.29425048828125</v>
      </c>
      <c r="X199">
        <v>106.94334411621094</v>
      </c>
      <c r="Y199">
        <v>80.065818786621094</v>
      </c>
      <c r="Z199">
        <v>7.3637701570987701E-2</v>
      </c>
    </row>
    <row r="200" spans="1:26" x14ac:dyDescent="0.2">
      <c r="A200" s="1">
        <v>31594</v>
      </c>
      <c r="B200" s="1">
        <v>31624</v>
      </c>
      <c r="C200">
        <v>49.3</v>
      </c>
      <c r="D200">
        <v>0.59799999999999998</v>
      </c>
      <c r="E200">
        <v>28.599929823263199</v>
      </c>
      <c r="G200">
        <v>26.3</v>
      </c>
      <c r="H200">
        <v>30.8</v>
      </c>
      <c r="I200">
        <v>9.5</v>
      </c>
      <c r="J200">
        <v>4.0999999999999996</v>
      </c>
      <c r="K200" s="2">
        <v>13.617391304347825</v>
      </c>
      <c r="L200">
        <v>6.557096774193548</v>
      </c>
      <c r="M200">
        <f t="shared" si="4"/>
        <v>7.0602945301542768</v>
      </c>
      <c r="O200">
        <v>6.666363636363636</v>
      </c>
      <c r="Q200">
        <v>14.2</v>
      </c>
      <c r="R200">
        <v>7.3031818181818178</v>
      </c>
      <c r="S200">
        <f t="shared" si="5"/>
        <v>6.8968181818181815</v>
      </c>
      <c r="W200">
        <v>94.701789855957031</v>
      </c>
      <c r="X200">
        <v>99.808052062988281</v>
      </c>
      <c r="Y200">
        <v>83.975318908691406</v>
      </c>
      <c r="Z200">
        <v>0.1544666588306427</v>
      </c>
    </row>
    <row r="201" spans="1:26" x14ac:dyDescent="0.2">
      <c r="A201" s="1">
        <v>31625</v>
      </c>
      <c r="B201" s="1">
        <v>31655</v>
      </c>
      <c r="C201">
        <v>50.3</v>
      </c>
      <c r="D201">
        <v>0.60850000000000004</v>
      </c>
      <c r="E201">
        <v>28.792716183189199</v>
      </c>
      <c r="G201">
        <v>26.3</v>
      </c>
      <c r="H201">
        <v>30.8</v>
      </c>
      <c r="I201">
        <v>13.7</v>
      </c>
      <c r="J201">
        <v>4.0999999999999996</v>
      </c>
      <c r="K201" s="2">
        <v>16.630476190476191</v>
      </c>
      <c r="L201">
        <v>6.1706451612903264</v>
      </c>
      <c r="M201">
        <f t="shared" si="4"/>
        <v>10.459831029185864</v>
      </c>
      <c r="O201">
        <v>6.3261904761904759</v>
      </c>
      <c r="Q201">
        <v>14.1</v>
      </c>
      <c r="R201">
        <v>7.1657142857142837</v>
      </c>
      <c r="S201">
        <f t="shared" si="5"/>
        <v>6.9342857142857159</v>
      </c>
      <c r="W201">
        <v>103.34593963623047</v>
      </c>
      <c r="X201">
        <v>104.75926971435547</v>
      </c>
      <c r="Y201">
        <v>99.845199584960938</v>
      </c>
      <c r="Z201">
        <v>0.14998750388622284</v>
      </c>
    </row>
    <row r="202" spans="1:26" x14ac:dyDescent="0.2">
      <c r="A202" s="1">
        <v>31656</v>
      </c>
      <c r="B202" s="1">
        <v>31685</v>
      </c>
      <c r="C202">
        <v>51.9</v>
      </c>
      <c r="D202">
        <v>0.62739999999999996</v>
      </c>
      <c r="E202">
        <v>29.229160858373699</v>
      </c>
      <c r="G202">
        <v>26.3</v>
      </c>
      <c r="H202">
        <v>30.8</v>
      </c>
      <c r="I202">
        <v>14.2</v>
      </c>
      <c r="J202">
        <v>4.0999999999999996</v>
      </c>
      <c r="K202" s="2">
        <v>17.133181818181818</v>
      </c>
      <c r="L202">
        <v>5.8903333333333334</v>
      </c>
      <c r="M202">
        <f t="shared" si="4"/>
        <v>11.242848484848484</v>
      </c>
      <c r="O202">
        <v>6.3461904761904755</v>
      </c>
      <c r="Q202">
        <v>13.85</v>
      </c>
      <c r="R202">
        <v>7.4476190476190478</v>
      </c>
      <c r="S202">
        <f t="shared" si="5"/>
        <v>6.4023809523809518</v>
      </c>
      <c r="W202">
        <v>117.10788726806641</v>
      </c>
      <c r="X202">
        <v>106.35902404785156</v>
      </c>
      <c r="Y202">
        <v>126.74607849121094</v>
      </c>
      <c r="Z202">
        <v>5.7447683066129684E-2</v>
      </c>
    </row>
    <row r="203" spans="1:26" x14ac:dyDescent="0.2">
      <c r="A203" s="1">
        <v>31686</v>
      </c>
      <c r="B203" s="1">
        <v>31716</v>
      </c>
      <c r="C203">
        <v>54</v>
      </c>
      <c r="D203">
        <v>0.64200000000000002</v>
      </c>
      <c r="E203">
        <v>29.5227418754897</v>
      </c>
      <c r="G203">
        <v>26.3</v>
      </c>
      <c r="H203">
        <v>30.8</v>
      </c>
      <c r="I203">
        <v>13.8</v>
      </c>
      <c r="J203">
        <v>4.0999999999999996</v>
      </c>
      <c r="K203" s="2">
        <v>16.467826086956521</v>
      </c>
      <c r="L203">
        <v>5.8458064516129049</v>
      </c>
      <c r="M203">
        <f t="shared" ref="M203:M266" si="6">K203-L203</f>
        <v>10.622019635343616</v>
      </c>
      <c r="O203">
        <v>6.2790909090909102</v>
      </c>
      <c r="Q203">
        <v>13.6</v>
      </c>
      <c r="R203">
        <v>7.4263636363636349</v>
      </c>
      <c r="S203">
        <f t="shared" si="5"/>
        <v>6.1736363636363647</v>
      </c>
      <c r="W203">
        <v>96.792434692382812</v>
      </c>
      <c r="X203">
        <v>109.01692199707031</v>
      </c>
      <c r="Y203">
        <v>77.40582275390625</v>
      </c>
      <c r="Z203">
        <v>4.5599635690450668E-2</v>
      </c>
    </row>
    <row r="204" spans="1:26" x14ac:dyDescent="0.2">
      <c r="A204" s="1">
        <v>31717</v>
      </c>
      <c r="B204" s="1">
        <v>31746</v>
      </c>
      <c r="C204">
        <v>54.3</v>
      </c>
      <c r="D204">
        <v>0.64880000000000004</v>
      </c>
      <c r="E204">
        <v>30.059432215268401</v>
      </c>
      <c r="G204">
        <v>26.3</v>
      </c>
      <c r="H204">
        <v>30.8</v>
      </c>
      <c r="I204">
        <v>14.6</v>
      </c>
      <c r="J204">
        <v>4.0999999999999996</v>
      </c>
      <c r="K204" s="2">
        <v>16.2395</v>
      </c>
      <c r="L204">
        <v>6.0393333333333326</v>
      </c>
      <c r="M204">
        <f t="shared" si="6"/>
        <v>10.200166666666668</v>
      </c>
      <c r="O204">
        <v>6.2766666666666664</v>
      </c>
      <c r="Q204">
        <v>13.6</v>
      </c>
      <c r="R204">
        <v>7.2505555555555565</v>
      </c>
      <c r="S204">
        <f t="shared" si="5"/>
        <v>6.3494444444444431</v>
      </c>
      <c r="W204">
        <v>109.77281951904297</v>
      </c>
      <c r="X204">
        <v>124.65135192871094</v>
      </c>
      <c r="Y204">
        <v>89.471626281738281</v>
      </c>
      <c r="Z204">
        <v>4.7717511653900146E-2</v>
      </c>
    </row>
    <row r="205" spans="1:26" x14ac:dyDescent="0.2">
      <c r="A205" s="1">
        <v>31747</v>
      </c>
      <c r="B205" s="1">
        <v>31777</v>
      </c>
      <c r="C205">
        <v>55</v>
      </c>
      <c r="D205">
        <v>0.66479999999999995</v>
      </c>
      <c r="E205">
        <v>29.963404129622301</v>
      </c>
      <c r="G205">
        <v>26.3</v>
      </c>
      <c r="H205">
        <v>29.3</v>
      </c>
      <c r="I205">
        <v>15.9</v>
      </c>
      <c r="J205">
        <v>4.0999999999999996</v>
      </c>
      <c r="K205" s="2">
        <v>15.45190476190476</v>
      </c>
      <c r="L205">
        <v>6.9077419354838678</v>
      </c>
      <c r="M205">
        <f t="shared" si="6"/>
        <v>8.5441628264208926</v>
      </c>
      <c r="O205">
        <v>6.2718181818181824</v>
      </c>
      <c r="Q205">
        <v>13.4</v>
      </c>
      <c r="R205">
        <v>7.1127272727272706</v>
      </c>
      <c r="S205">
        <f t="shared" si="5"/>
        <v>6.2872727272727298</v>
      </c>
      <c r="W205">
        <v>89.753776550292969</v>
      </c>
      <c r="X205">
        <v>93.463775634765625</v>
      </c>
      <c r="Y205">
        <v>78.102500915527344</v>
      </c>
      <c r="Z205">
        <v>1.6072003170847893E-2</v>
      </c>
    </row>
    <row r="206" spans="1:26" x14ac:dyDescent="0.2">
      <c r="A206" s="1">
        <v>31778</v>
      </c>
      <c r="B206" s="1">
        <v>31808</v>
      </c>
      <c r="C206">
        <v>52.8</v>
      </c>
      <c r="D206">
        <v>0.66080000000000005</v>
      </c>
      <c r="E206">
        <v>29.208129369656501</v>
      </c>
      <c r="G206">
        <v>25.3</v>
      </c>
      <c r="H206">
        <v>29.3</v>
      </c>
      <c r="I206">
        <v>18.399999999999999</v>
      </c>
      <c r="J206">
        <v>3.35</v>
      </c>
      <c r="K206" s="2">
        <v>15.975499999999997</v>
      </c>
      <c r="L206">
        <v>6.426451612903227</v>
      </c>
      <c r="M206">
        <f t="shared" si="6"/>
        <v>9.5490483870967697</v>
      </c>
      <c r="O206">
        <v>6.226</v>
      </c>
      <c r="Q206">
        <v>13.8</v>
      </c>
      <c r="R206">
        <v>7.0845000000000011</v>
      </c>
      <c r="S206">
        <f t="shared" si="5"/>
        <v>6.7154999999999996</v>
      </c>
      <c r="W206">
        <v>96.942817687988281</v>
      </c>
      <c r="X206">
        <v>90.495506286621094</v>
      </c>
      <c r="Y206">
        <v>104.48915100097656</v>
      </c>
      <c r="Z206">
        <v>6.4329365268349648E-3</v>
      </c>
    </row>
    <row r="207" spans="1:26" x14ac:dyDescent="0.2">
      <c r="A207" s="1">
        <v>31809</v>
      </c>
      <c r="B207" s="1">
        <v>31836</v>
      </c>
      <c r="C207">
        <v>54.1</v>
      </c>
      <c r="D207">
        <v>0.67479999999999996</v>
      </c>
      <c r="E207">
        <v>30.039922826469098</v>
      </c>
      <c r="G207">
        <v>25.3</v>
      </c>
      <c r="H207">
        <v>29.3</v>
      </c>
      <c r="I207">
        <v>17.3</v>
      </c>
      <c r="J207">
        <v>3.35</v>
      </c>
      <c r="K207" s="2">
        <v>16.200499999999998</v>
      </c>
      <c r="L207">
        <v>6.1010714285714274</v>
      </c>
      <c r="M207">
        <f t="shared" si="6"/>
        <v>10.099428571428572</v>
      </c>
      <c r="O207">
        <v>6.3978947368421037</v>
      </c>
      <c r="Q207">
        <v>14</v>
      </c>
      <c r="R207">
        <v>7.2505263157894735</v>
      </c>
      <c r="S207">
        <f t="shared" si="5"/>
        <v>6.7494736842105265</v>
      </c>
      <c r="W207">
        <v>100.683349609375</v>
      </c>
      <c r="X207">
        <v>109.72402954101562</v>
      </c>
      <c r="Y207">
        <v>89.295982360839844</v>
      </c>
      <c r="Z207">
        <v>7.5668983161449432E-2</v>
      </c>
    </row>
    <row r="208" spans="1:26" x14ac:dyDescent="0.2">
      <c r="A208" s="1">
        <v>31837</v>
      </c>
      <c r="B208" s="1">
        <v>31867</v>
      </c>
      <c r="C208">
        <v>55.4</v>
      </c>
      <c r="D208">
        <v>0.70530000000000004</v>
      </c>
      <c r="E208">
        <v>30.682549281853699</v>
      </c>
      <c r="G208">
        <v>25.3</v>
      </c>
      <c r="H208">
        <v>29.3</v>
      </c>
      <c r="I208">
        <v>17.899999999999999</v>
      </c>
      <c r="J208">
        <v>3.35</v>
      </c>
      <c r="K208" s="2">
        <v>16.093181818181815</v>
      </c>
      <c r="L208">
        <v>6.128387096774194</v>
      </c>
      <c r="M208">
        <f t="shared" si="6"/>
        <v>9.9647947214076211</v>
      </c>
      <c r="O208">
        <v>6.4245454545454548</v>
      </c>
      <c r="Q208">
        <v>13.45</v>
      </c>
      <c r="R208">
        <v>7.248636363636364</v>
      </c>
      <c r="S208">
        <f t="shared" si="5"/>
        <v>6.2013636363636353</v>
      </c>
      <c r="W208">
        <v>89.607719421386719</v>
      </c>
      <c r="X208">
        <v>105.55125427246094</v>
      </c>
      <c r="Y208">
        <v>67.093551635742188</v>
      </c>
      <c r="Z208">
        <v>1.8325086683034897E-2</v>
      </c>
    </row>
    <row r="209" spans="1:26" x14ac:dyDescent="0.2">
      <c r="A209" s="1">
        <v>31868</v>
      </c>
      <c r="B209" s="1">
        <v>31897</v>
      </c>
      <c r="C209">
        <v>54.5</v>
      </c>
      <c r="D209">
        <v>0.70479999999999998</v>
      </c>
      <c r="E209">
        <v>30.5195304882605</v>
      </c>
      <c r="G209">
        <v>25.3</v>
      </c>
      <c r="H209">
        <v>24.8</v>
      </c>
      <c r="I209">
        <v>18.100000000000001</v>
      </c>
      <c r="J209">
        <v>3.35</v>
      </c>
      <c r="K209" s="2">
        <v>14.555000000000003</v>
      </c>
      <c r="L209">
        <v>6.3653333333333313</v>
      </c>
      <c r="M209">
        <f t="shared" si="6"/>
        <v>8.1896666666666711</v>
      </c>
      <c r="O209">
        <v>7.0242857142857149</v>
      </c>
      <c r="Q209">
        <v>13.05</v>
      </c>
      <c r="R209">
        <v>8.0228571428571431</v>
      </c>
      <c r="S209">
        <f t="shared" si="5"/>
        <v>5.0271428571428576</v>
      </c>
      <c r="W209">
        <v>113.39408111572266</v>
      </c>
      <c r="X209">
        <v>117.12814331054688</v>
      </c>
      <c r="Y209">
        <v>99.126457214355469</v>
      </c>
      <c r="Z209">
        <v>5.7940784841775894E-2</v>
      </c>
    </row>
    <row r="210" spans="1:26" x14ac:dyDescent="0.2">
      <c r="A210" s="1">
        <v>31898</v>
      </c>
      <c r="B210" s="1">
        <v>31928</v>
      </c>
      <c r="C210">
        <v>55.8</v>
      </c>
      <c r="D210">
        <v>0.7137</v>
      </c>
      <c r="E210">
        <v>30.653080119218</v>
      </c>
      <c r="G210">
        <v>25.3</v>
      </c>
      <c r="H210">
        <v>24.8</v>
      </c>
      <c r="I210">
        <v>18.8</v>
      </c>
      <c r="J210">
        <v>3.35</v>
      </c>
      <c r="K210" s="2">
        <v>13.473809523809527</v>
      </c>
      <c r="L210">
        <v>6.8529032258064513</v>
      </c>
      <c r="M210">
        <f t="shared" si="6"/>
        <v>6.6209062980030753</v>
      </c>
      <c r="O210">
        <v>7.7614999999999998</v>
      </c>
      <c r="Q210">
        <v>13</v>
      </c>
      <c r="R210">
        <v>8.6130000000000013</v>
      </c>
      <c r="S210">
        <f t="shared" si="5"/>
        <v>4.3869999999999987</v>
      </c>
      <c r="W210">
        <v>98.650917053222656</v>
      </c>
      <c r="X210">
        <v>97.371406555175781</v>
      </c>
      <c r="Y210">
        <v>95.235183715820312</v>
      </c>
      <c r="Z210">
        <v>0.12065498530864716</v>
      </c>
    </row>
    <row r="211" spans="1:26" x14ac:dyDescent="0.2">
      <c r="A211" s="1">
        <v>31929</v>
      </c>
      <c r="B211" s="1">
        <v>31958</v>
      </c>
      <c r="C211">
        <v>56.6</v>
      </c>
      <c r="D211">
        <v>0.72030000000000005</v>
      </c>
      <c r="E211">
        <v>30.7118198690459</v>
      </c>
      <c r="G211">
        <v>25.3</v>
      </c>
      <c r="H211">
        <v>24.8</v>
      </c>
      <c r="I211">
        <v>18.899999999999999</v>
      </c>
      <c r="J211">
        <v>3.35</v>
      </c>
      <c r="K211" s="2">
        <v>12.649999999999997</v>
      </c>
      <c r="L211">
        <v>6.7249999999999996</v>
      </c>
      <c r="M211">
        <f t="shared" si="6"/>
        <v>5.9249999999999972</v>
      </c>
      <c r="O211">
        <v>7.5731818181818173</v>
      </c>
      <c r="Q211">
        <v>12.8</v>
      </c>
      <c r="R211">
        <v>8.4022727272727273</v>
      </c>
      <c r="S211">
        <f t="shared" si="5"/>
        <v>4.3977272727272734</v>
      </c>
      <c r="W211">
        <v>94.182403564453125</v>
      </c>
      <c r="X211">
        <v>99.829254150390625</v>
      </c>
      <c r="Y211">
        <v>81.82940673828125</v>
      </c>
      <c r="Z211">
        <v>5.909816175699234E-2</v>
      </c>
    </row>
    <row r="212" spans="1:26" x14ac:dyDescent="0.2">
      <c r="A212" s="1">
        <v>31959</v>
      </c>
      <c r="B212" s="1">
        <v>31989</v>
      </c>
      <c r="C212">
        <v>55.3</v>
      </c>
      <c r="D212">
        <v>0.69779999999999998</v>
      </c>
      <c r="E212">
        <v>31.159480486659898</v>
      </c>
      <c r="G212">
        <v>25.3</v>
      </c>
      <c r="H212">
        <v>27</v>
      </c>
      <c r="I212">
        <v>19.8</v>
      </c>
      <c r="J212">
        <v>3.35</v>
      </c>
      <c r="K212" s="2">
        <v>12.050434782608693</v>
      </c>
      <c r="L212">
        <v>6.5822580645161306</v>
      </c>
      <c r="M212">
        <f t="shared" si="6"/>
        <v>5.4681767180925629</v>
      </c>
      <c r="O212">
        <v>7.4422727272727265</v>
      </c>
      <c r="Q212">
        <v>12.95</v>
      </c>
      <c r="R212">
        <v>8.4468181818181822</v>
      </c>
      <c r="S212">
        <f t="shared" si="5"/>
        <v>4.5031818181818171</v>
      </c>
      <c r="W212">
        <v>98.871963500976562</v>
      </c>
      <c r="X212">
        <v>107.52894592285156</v>
      </c>
      <c r="Y212">
        <v>88.264816284179688</v>
      </c>
      <c r="Z212">
        <v>2.9596306383609772E-2</v>
      </c>
    </row>
    <row r="213" spans="1:26" x14ac:dyDescent="0.2">
      <c r="A213" s="1">
        <v>31990</v>
      </c>
      <c r="B213" s="1">
        <v>32020</v>
      </c>
      <c r="C213">
        <v>55.2</v>
      </c>
      <c r="D213">
        <v>0.71240000000000003</v>
      </c>
      <c r="E213">
        <v>32.338721199590097</v>
      </c>
      <c r="G213">
        <v>25.3</v>
      </c>
      <c r="H213">
        <v>27</v>
      </c>
      <c r="I213">
        <v>19</v>
      </c>
      <c r="J213">
        <v>3.35</v>
      </c>
      <c r="K213" s="2">
        <v>11.893333333333331</v>
      </c>
      <c r="L213">
        <v>6.7322580645161301</v>
      </c>
      <c r="M213">
        <f t="shared" si="6"/>
        <v>5.1610752688172008</v>
      </c>
      <c r="O213">
        <v>7.7528571428571427</v>
      </c>
      <c r="Q213">
        <v>12.95</v>
      </c>
      <c r="R213">
        <v>8.7604761904761883</v>
      </c>
      <c r="S213">
        <f t="shared" si="5"/>
        <v>4.189523809523811</v>
      </c>
      <c r="W213">
        <v>99.96844482421875</v>
      </c>
      <c r="X213">
        <v>115.48031616210938</v>
      </c>
      <c r="Y213">
        <v>87.601333618164062</v>
      </c>
      <c r="Z213">
        <v>4.8071146011352539E-2</v>
      </c>
    </row>
    <row r="214" spans="1:26" x14ac:dyDescent="0.2">
      <c r="A214" s="1">
        <v>32021</v>
      </c>
      <c r="B214" s="1">
        <v>32050</v>
      </c>
      <c r="C214">
        <v>56.2</v>
      </c>
      <c r="D214">
        <v>0.71940000000000004</v>
      </c>
      <c r="E214">
        <v>31.6133031341341</v>
      </c>
      <c r="G214">
        <v>25.3</v>
      </c>
      <c r="H214">
        <v>27</v>
      </c>
      <c r="I214">
        <v>18.399999999999999</v>
      </c>
      <c r="J214">
        <v>3.35</v>
      </c>
      <c r="K214" s="2">
        <v>11.643181818181819</v>
      </c>
      <c r="L214">
        <v>7.2163333333333339</v>
      </c>
      <c r="M214">
        <f t="shared" si="6"/>
        <v>4.4268484848484855</v>
      </c>
      <c r="O214">
        <v>8.3438095238095205</v>
      </c>
      <c r="Q214">
        <v>12.5</v>
      </c>
      <c r="R214">
        <v>9.4219047619047629</v>
      </c>
      <c r="S214">
        <f t="shared" si="5"/>
        <v>3.0780952380952371</v>
      </c>
      <c r="W214">
        <v>121.16707611083984</v>
      </c>
      <c r="X214">
        <v>143.45198059082031</v>
      </c>
      <c r="Y214">
        <v>97.539817810058594</v>
      </c>
      <c r="Z214">
        <v>5.1918085664510727E-2</v>
      </c>
    </row>
    <row r="215" spans="1:26" x14ac:dyDescent="0.2">
      <c r="A215" s="1">
        <v>32051</v>
      </c>
      <c r="B215" s="1">
        <v>32081</v>
      </c>
      <c r="C215">
        <v>51.7</v>
      </c>
      <c r="D215">
        <v>0.67569999999999997</v>
      </c>
      <c r="E215">
        <v>32.224207877355802</v>
      </c>
      <c r="G215">
        <v>25.3</v>
      </c>
      <c r="H215">
        <v>27</v>
      </c>
      <c r="I215">
        <v>18.8</v>
      </c>
      <c r="J215">
        <v>3.35</v>
      </c>
      <c r="K215" s="2">
        <v>10.715000000000002</v>
      </c>
      <c r="L215">
        <v>7.2887096774193552</v>
      </c>
      <c r="M215">
        <f t="shared" si="6"/>
        <v>3.4262903225806465</v>
      </c>
      <c r="O215">
        <v>8.3976190476190471</v>
      </c>
      <c r="Q215">
        <v>13.65</v>
      </c>
      <c r="R215">
        <v>9.5199999999999978</v>
      </c>
      <c r="S215">
        <f t="shared" si="5"/>
        <v>4.1300000000000026</v>
      </c>
      <c r="W215">
        <v>101.05858612060547</v>
      </c>
      <c r="X215">
        <v>110.70101928710938</v>
      </c>
      <c r="Y215">
        <v>88.826911926269531</v>
      </c>
      <c r="Z215">
        <v>0.15375322103500366</v>
      </c>
    </row>
    <row r="216" spans="1:26" x14ac:dyDescent="0.2">
      <c r="A216" s="1">
        <v>32082</v>
      </c>
      <c r="B216" s="1">
        <v>32111</v>
      </c>
      <c r="C216">
        <v>52.3</v>
      </c>
      <c r="D216">
        <v>0.70520000000000005</v>
      </c>
      <c r="E216">
        <v>30.921466429222299</v>
      </c>
      <c r="G216">
        <v>25.3</v>
      </c>
      <c r="H216">
        <v>29</v>
      </c>
      <c r="I216">
        <v>17.8</v>
      </c>
      <c r="J216">
        <v>3.35</v>
      </c>
      <c r="K216" s="2">
        <v>10.932380952380955</v>
      </c>
      <c r="L216">
        <v>6.6933333333333316</v>
      </c>
      <c r="M216">
        <f t="shared" si="6"/>
        <v>4.2390476190476232</v>
      </c>
      <c r="O216">
        <v>7.6926315789473678</v>
      </c>
      <c r="Q216">
        <v>13.3</v>
      </c>
      <c r="R216">
        <v>8.8605263157894711</v>
      </c>
      <c r="S216">
        <f t="shared" si="5"/>
        <v>4.4394736842105296</v>
      </c>
      <c r="W216">
        <v>96.153488159179688</v>
      </c>
      <c r="X216">
        <v>110.79949951171875</v>
      </c>
      <c r="Y216">
        <v>75.883743286132812</v>
      </c>
      <c r="Z216">
        <v>3.9897408336400986E-2</v>
      </c>
    </row>
    <row r="217" spans="1:26" x14ac:dyDescent="0.2">
      <c r="A217" s="1">
        <v>32112</v>
      </c>
      <c r="B217" s="1">
        <v>32142</v>
      </c>
      <c r="C217">
        <v>52</v>
      </c>
      <c r="D217">
        <v>0.72250000000000003</v>
      </c>
      <c r="E217">
        <v>31.417576048521902</v>
      </c>
      <c r="G217">
        <v>25.3</v>
      </c>
      <c r="H217">
        <v>31</v>
      </c>
      <c r="I217">
        <v>17.100000000000001</v>
      </c>
      <c r="J217">
        <v>3.35</v>
      </c>
      <c r="K217" s="2">
        <v>10.319523809523808</v>
      </c>
      <c r="L217">
        <v>6.7696774193548386</v>
      </c>
      <c r="M217">
        <f t="shared" si="6"/>
        <v>3.5498463901689696</v>
      </c>
      <c r="O217">
        <v>7.8577272727272751</v>
      </c>
      <c r="Q217">
        <v>12.85</v>
      </c>
      <c r="R217">
        <v>8.9877272727272732</v>
      </c>
      <c r="S217">
        <f t="shared" si="5"/>
        <v>3.8622727272727264</v>
      </c>
      <c r="W217">
        <v>109.85638427734375</v>
      </c>
      <c r="X217">
        <v>124.49729156494141</v>
      </c>
      <c r="Y217">
        <v>88.268722534179688</v>
      </c>
      <c r="Z217">
        <v>3.9836101233959198E-2</v>
      </c>
    </row>
    <row r="218" spans="1:26" x14ac:dyDescent="0.2">
      <c r="A218" s="1">
        <v>32143</v>
      </c>
      <c r="B218" s="1">
        <v>32173</v>
      </c>
      <c r="C218">
        <v>52.5</v>
      </c>
      <c r="D218">
        <v>0.71379999999999999</v>
      </c>
      <c r="E218">
        <v>31.930456800042801</v>
      </c>
      <c r="G218">
        <v>24.3</v>
      </c>
      <c r="H218">
        <v>31</v>
      </c>
      <c r="I218">
        <v>16.899999999999999</v>
      </c>
      <c r="J218">
        <v>3.34</v>
      </c>
      <c r="K218" s="2">
        <v>10.198421052631579</v>
      </c>
      <c r="L218">
        <v>6.8338709677419338</v>
      </c>
      <c r="M218">
        <f t="shared" si="6"/>
        <v>3.364550084889645</v>
      </c>
      <c r="O218">
        <v>7.6299999999999981</v>
      </c>
      <c r="Q218">
        <v>12.4</v>
      </c>
      <c r="R218">
        <v>8.6657894736842085</v>
      </c>
      <c r="S218">
        <f t="shared" si="5"/>
        <v>3.7342105263157919</v>
      </c>
      <c r="W218">
        <v>83.201530456542969</v>
      </c>
      <c r="X218">
        <v>87.140922546386719</v>
      </c>
      <c r="Y218">
        <v>72.895576477050781</v>
      </c>
      <c r="Z218">
        <v>2.8816783800721169E-2</v>
      </c>
    </row>
    <row r="219" spans="1:26" x14ac:dyDescent="0.2">
      <c r="A219" s="1">
        <v>32174</v>
      </c>
      <c r="B219" s="1">
        <v>32202</v>
      </c>
      <c r="C219">
        <v>53.1</v>
      </c>
      <c r="D219">
        <v>0.7198</v>
      </c>
      <c r="E219">
        <v>33.404919345275196</v>
      </c>
      <c r="G219">
        <v>24.3</v>
      </c>
      <c r="H219">
        <v>31</v>
      </c>
      <c r="I219">
        <v>15.8</v>
      </c>
      <c r="J219">
        <v>3.34</v>
      </c>
      <c r="K219" s="2">
        <v>10.273333333333333</v>
      </c>
      <c r="L219">
        <v>6.5827586206896562</v>
      </c>
      <c r="M219">
        <f t="shared" si="6"/>
        <v>3.6905747126436772</v>
      </c>
      <c r="O219">
        <v>7.1804999999999994</v>
      </c>
      <c r="Q219">
        <v>12.3</v>
      </c>
      <c r="R219">
        <v>8.2119999999999997</v>
      </c>
      <c r="S219">
        <f t="shared" si="5"/>
        <v>4.088000000000001</v>
      </c>
      <c r="W219">
        <v>86.206146240234375</v>
      </c>
      <c r="X219">
        <v>90.189254760742188</v>
      </c>
      <c r="Y219">
        <v>73.823097229003906</v>
      </c>
      <c r="Z219">
        <v>2.3346757516264915E-2</v>
      </c>
    </row>
    <row r="220" spans="1:26" x14ac:dyDescent="0.2">
      <c r="A220" s="1">
        <v>32203</v>
      </c>
      <c r="B220" s="1">
        <v>32233</v>
      </c>
      <c r="C220">
        <v>53.8</v>
      </c>
      <c r="D220">
        <v>0.73880000000000001</v>
      </c>
      <c r="E220">
        <v>34.0856635495878</v>
      </c>
      <c r="G220">
        <v>24.3</v>
      </c>
      <c r="H220">
        <v>33</v>
      </c>
      <c r="I220">
        <v>14.8</v>
      </c>
      <c r="J220">
        <v>3.34</v>
      </c>
      <c r="K220" s="2">
        <v>10.367826086956523</v>
      </c>
      <c r="L220">
        <v>6.5758064516129018</v>
      </c>
      <c r="M220">
        <f t="shared" si="6"/>
        <v>3.7920196353436211</v>
      </c>
      <c r="O220">
        <v>7.2704347826086941</v>
      </c>
      <c r="Q220">
        <v>11.9</v>
      </c>
      <c r="R220">
        <v>8.3734782608695646</v>
      </c>
      <c r="S220">
        <f t="shared" si="5"/>
        <v>3.5265217391304358</v>
      </c>
      <c r="W220">
        <v>110.20651245117188</v>
      </c>
      <c r="X220">
        <v>105.9420166015625</v>
      </c>
      <c r="Y220">
        <v>109.30101776123047</v>
      </c>
      <c r="Z220">
        <v>2.7094397693872452E-2</v>
      </c>
    </row>
    <row r="221" spans="1:26" x14ac:dyDescent="0.2">
      <c r="A221" s="1">
        <v>32234</v>
      </c>
      <c r="B221" s="1">
        <v>32263</v>
      </c>
      <c r="C221">
        <v>55.2</v>
      </c>
      <c r="D221">
        <v>0.75849999999999995</v>
      </c>
      <c r="E221">
        <v>34.632967936403702</v>
      </c>
      <c r="G221">
        <v>24.3</v>
      </c>
      <c r="H221">
        <v>33</v>
      </c>
      <c r="I221">
        <v>16.600000000000001</v>
      </c>
      <c r="J221">
        <v>3.34</v>
      </c>
      <c r="K221" s="2">
        <v>10.513888888888889</v>
      </c>
      <c r="L221">
        <v>6.871666666666667</v>
      </c>
      <c r="M221">
        <f t="shared" si="6"/>
        <v>3.6422222222222222</v>
      </c>
      <c r="O221">
        <v>7.5894999999999992</v>
      </c>
      <c r="Q221">
        <v>11.5</v>
      </c>
      <c r="R221">
        <v>8.7185000000000006</v>
      </c>
      <c r="S221">
        <f t="shared" si="5"/>
        <v>2.7814999999999994</v>
      </c>
      <c r="W221">
        <v>119.45051574707031</v>
      </c>
      <c r="X221">
        <v>113.93638610839844</v>
      </c>
      <c r="Y221">
        <v>128.48338317871094</v>
      </c>
      <c r="Z221">
        <v>1.7336029559373856E-2</v>
      </c>
    </row>
    <row r="222" spans="1:26" x14ac:dyDescent="0.2">
      <c r="A222" s="1">
        <v>32264</v>
      </c>
      <c r="B222" s="1">
        <v>32294</v>
      </c>
      <c r="C222">
        <v>58.9</v>
      </c>
      <c r="D222">
        <v>0.80510000000000004</v>
      </c>
      <c r="E222">
        <v>35.869878909110902</v>
      </c>
      <c r="G222">
        <v>24.3</v>
      </c>
      <c r="H222">
        <v>33</v>
      </c>
      <c r="I222">
        <v>16.399999999999999</v>
      </c>
      <c r="J222">
        <v>3.34</v>
      </c>
      <c r="K222" s="2">
        <v>11.486363636363635</v>
      </c>
      <c r="L222">
        <v>7.0864516129032253</v>
      </c>
      <c r="M222">
        <f t="shared" si="6"/>
        <v>4.3999120234604092</v>
      </c>
      <c r="O222">
        <v>7.9957142857142838</v>
      </c>
      <c r="Q222">
        <v>12.3</v>
      </c>
      <c r="R222">
        <v>9.0890476190476175</v>
      </c>
      <c r="S222">
        <f t="shared" si="5"/>
        <v>3.2109523809523832</v>
      </c>
      <c r="W222">
        <v>104.87347412109375</v>
      </c>
      <c r="X222">
        <v>106.54883575439453</v>
      </c>
      <c r="Y222">
        <v>97.1541748046875</v>
      </c>
      <c r="Z222">
        <v>4.975399374961853E-2</v>
      </c>
    </row>
    <row r="223" spans="1:26" x14ac:dyDescent="0.2">
      <c r="A223" s="1">
        <v>32295</v>
      </c>
      <c r="B223" s="1">
        <v>32324</v>
      </c>
      <c r="C223">
        <v>59.8</v>
      </c>
      <c r="D223">
        <v>0.79400000000000004</v>
      </c>
      <c r="E223">
        <v>38.687214845899298</v>
      </c>
      <c r="G223">
        <v>24.3</v>
      </c>
      <c r="H223">
        <v>36</v>
      </c>
      <c r="I223">
        <v>15.6</v>
      </c>
      <c r="J223">
        <v>3.34</v>
      </c>
      <c r="K223" s="2">
        <v>11.683809523809524</v>
      </c>
      <c r="L223">
        <v>7.5090000000000021</v>
      </c>
      <c r="M223">
        <f t="shared" si="6"/>
        <v>4.1748095238095217</v>
      </c>
      <c r="O223">
        <v>8.0259090909090922</v>
      </c>
      <c r="Q223">
        <v>11.95</v>
      </c>
      <c r="R223">
        <v>8.9213636363636351</v>
      </c>
      <c r="S223">
        <f t="shared" si="5"/>
        <v>3.0286363636363642</v>
      </c>
      <c r="W223">
        <v>79.708122253417969</v>
      </c>
      <c r="X223">
        <v>74.011833190917969</v>
      </c>
      <c r="Y223">
        <v>81.076438903808594</v>
      </c>
      <c r="Z223">
        <v>2.2554270923137665E-2</v>
      </c>
    </row>
    <row r="224" spans="1:26" x14ac:dyDescent="0.2">
      <c r="A224" s="1">
        <v>32325</v>
      </c>
      <c r="B224" s="1">
        <v>32355</v>
      </c>
      <c r="C224">
        <v>61</v>
      </c>
      <c r="D224">
        <v>0.80449999999999999</v>
      </c>
      <c r="E224">
        <v>38.782507067705403</v>
      </c>
      <c r="G224">
        <v>24.3</v>
      </c>
      <c r="H224">
        <v>36</v>
      </c>
      <c r="I224">
        <v>14.9</v>
      </c>
      <c r="J224">
        <v>3.34</v>
      </c>
      <c r="K224" s="2">
        <v>12.154285714285715</v>
      </c>
      <c r="L224">
        <v>7.7548387096774185</v>
      </c>
      <c r="M224">
        <f t="shared" si="6"/>
        <v>4.3994470046082963</v>
      </c>
      <c r="O224">
        <v>8.2789999999999999</v>
      </c>
      <c r="Q224">
        <v>11.95</v>
      </c>
      <c r="R224">
        <v>9.0560000000000009</v>
      </c>
      <c r="S224">
        <f t="shared" si="5"/>
        <v>2.8939999999999984</v>
      </c>
      <c r="W224">
        <v>83.43048095703125</v>
      </c>
      <c r="X224">
        <v>70.792037963867188</v>
      </c>
      <c r="Y224">
        <v>96.274185180664062</v>
      </c>
      <c r="Z224">
        <v>6.6010564565658569E-2</v>
      </c>
    </row>
    <row r="225" spans="1:26" x14ac:dyDescent="0.2">
      <c r="A225" s="1">
        <v>32356</v>
      </c>
      <c r="B225" s="1">
        <v>32386</v>
      </c>
      <c r="C225">
        <v>61.8</v>
      </c>
      <c r="D225">
        <v>0.80689999999999995</v>
      </c>
      <c r="E225">
        <v>38.725051524569302</v>
      </c>
      <c r="G225">
        <v>24.3</v>
      </c>
      <c r="H225">
        <v>36</v>
      </c>
      <c r="I225">
        <v>15</v>
      </c>
      <c r="J225">
        <v>3.34</v>
      </c>
      <c r="K225" s="2">
        <v>12.473913043478262</v>
      </c>
      <c r="L225">
        <v>8.0090322580645168</v>
      </c>
      <c r="M225">
        <f t="shared" si="6"/>
        <v>4.4648807854137456</v>
      </c>
      <c r="O225">
        <v>8.6286956521739118</v>
      </c>
      <c r="Q225">
        <v>11.8</v>
      </c>
      <c r="R225">
        <v>9.2604347826086943</v>
      </c>
      <c r="S225">
        <f t="shared" si="5"/>
        <v>2.5395652173913064</v>
      </c>
      <c r="W225">
        <v>84.054161071777344</v>
      </c>
      <c r="X225">
        <v>73.711067199707031</v>
      </c>
      <c r="Y225">
        <v>93.280921936035156</v>
      </c>
      <c r="Z225">
        <v>7.0356473326683044E-2</v>
      </c>
    </row>
    <row r="226" spans="1:26" x14ac:dyDescent="0.2">
      <c r="A226" s="1">
        <v>32387</v>
      </c>
      <c r="B226" s="1">
        <v>32416</v>
      </c>
      <c r="C226">
        <v>60</v>
      </c>
      <c r="D226">
        <v>0.78290000000000004</v>
      </c>
      <c r="E226">
        <v>37.910090581582502</v>
      </c>
      <c r="G226">
        <v>24.3</v>
      </c>
      <c r="H226">
        <v>37</v>
      </c>
      <c r="I226">
        <v>13.3</v>
      </c>
      <c r="J226">
        <v>3.34</v>
      </c>
      <c r="K226" s="2">
        <v>12.72772727272727</v>
      </c>
      <c r="L226">
        <v>8.1933333333333351</v>
      </c>
      <c r="M226">
        <f t="shared" si="6"/>
        <v>4.5343939393939348</v>
      </c>
      <c r="O226">
        <v>8.4633333333333347</v>
      </c>
      <c r="Q226">
        <v>11.95</v>
      </c>
      <c r="R226">
        <v>8.9771428571428569</v>
      </c>
      <c r="S226">
        <f t="shared" si="5"/>
        <v>2.9728571428571424</v>
      </c>
      <c r="W226">
        <v>74.842658996582031</v>
      </c>
      <c r="X226">
        <v>72.934379577636719</v>
      </c>
      <c r="Y226">
        <v>74.3477783203125</v>
      </c>
      <c r="Z226">
        <v>3.3338889479637146E-2</v>
      </c>
    </row>
    <row r="227" spans="1:26" x14ac:dyDescent="0.2">
      <c r="A227" s="1">
        <v>32417</v>
      </c>
      <c r="B227" s="1">
        <v>32447</v>
      </c>
      <c r="C227">
        <v>61.1</v>
      </c>
      <c r="D227">
        <v>0.8256</v>
      </c>
      <c r="E227">
        <v>37.614602507748202</v>
      </c>
      <c r="G227">
        <v>24.3</v>
      </c>
      <c r="H227">
        <v>37</v>
      </c>
      <c r="I227">
        <v>12.5</v>
      </c>
      <c r="J227">
        <v>3.34</v>
      </c>
      <c r="K227" s="2">
        <v>13.253809523809522</v>
      </c>
      <c r="L227">
        <v>8.2961290322580652</v>
      </c>
      <c r="M227">
        <f t="shared" si="6"/>
        <v>4.9576804915514572</v>
      </c>
      <c r="O227">
        <v>8.354000000000001</v>
      </c>
      <c r="Q227">
        <v>11.9</v>
      </c>
      <c r="R227">
        <v>8.7955000000000005</v>
      </c>
      <c r="S227">
        <f t="shared" si="5"/>
        <v>3.1044999999999998</v>
      </c>
      <c r="W227">
        <v>73.450233459472656</v>
      </c>
      <c r="X227">
        <v>71.808670043945312</v>
      </c>
      <c r="Y227">
        <v>65.830245971679688</v>
      </c>
      <c r="Z227">
        <v>2.1975606679916382E-2</v>
      </c>
    </row>
    <row r="228" spans="1:26" x14ac:dyDescent="0.2">
      <c r="A228" s="1">
        <v>32448</v>
      </c>
      <c r="B228" s="1">
        <v>32477</v>
      </c>
      <c r="C228">
        <v>63.7</v>
      </c>
      <c r="D228">
        <v>0.87809999999999999</v>
      </c>
      <c r="E228">
        <v>36.964918814357198</v>
      </c>
      <c r="G228">
        <v>24.3</v>
      </c>
      <c r="H228">
        <v>37.5</v>
      </c>
      <c r="I228">
        <v>13</v>
      </c>
      <c r="J228">
        <v>3.34</v>
      </c>
      <c r="K228" s="2">
        <v>14.18318181818182</v>
      </c>
      <c r="L228">
        <v>8.3450000000000006</v>
      </c>
      <c r="M228">
        <f t="shared" si="6"/>
        <v>5.8381818181818197</v>
      </c>
      <c r="O228">
        <v>8.6660000000000004</v>
      </c>
      <c r="Q228">
        <v>12.35</v>
      </c>
      <c r="R228">
        <v>8.9625000000000004</v>
      </c>
      <c r="S228">
        <f t="shared" si="5"/>
        <v>3.3874999999999993</v>
      </c>
      <c r="W228">
        <v>68.798416137695312</v>
      </c>
      <c r="X228">
        <v>55.859085083007812</v>
      </c>
      <c r="Y228">
        <v>77.558380126953125</v>
      </c>
      <c r="Z228">
        <v>1.1592858470976353E-2</v>
      </c>
    </row>
    <row r="229" spans="1:26" x14ac:dyDescent="0.2">
      <c r="A229" s="1">
        <v>32478</v>
      </c>
      <c r="B229" s="1">
        <v>32508</v>
      </c>
      <c r="C229">
        <v>63.2</v>
      </c>
      <c r="D229">
        <v>0.85550000000000004</v>
      </c>
      <c r="E229">
        <v>37.6960608008173</v>
      </c>
      <c r="G229">
        <v>24.3</v>
      </c>
      <c r="H229">
        <v>38</v>
      </c>
      <c r="I229">
        <v>15.2</v>
      </c>
      <c r="J229">
        <v>3.34</v>
      </c>
      <c r="K229" s="2">
        <v>14.387499999999998</v>
      </c>
      <c r="L229">
        <v>8.7603225806451626</v>
      </c>
      <c r="M229">
        <f t="shared" si="6"/>
        <v>5.627177419354835</v>
      </c>
      <c r="O229">
        <v>9.0885714285714272</v>
      </c>
      <c r="Q229">
        <v>12.95</v>
      </c>
      <c r="R229">
        <v>9.1057142857142868</v>
      </c>
      <c r="S229">
        <f t="shared" si="5"/>
        <v>3.8442857142857125</v>
      </c>
      <c r="W229">
        <v>90.398719787597656</v>
      </c>
      <c r="X229">
        <v>82.279739379882812</v>
      </c>
      <c r="Y229">
        <v>94.384124755859375</v>
      </c>
      <c r="Z229">
        <v>3.9541319012641907E-2</v>
      </c>
    </row>
    <row r="230" spans="1:26" x14ac:dyDescent="0.2">
      <c r="A230" s="1">
        <v>32509</v>
      </c>
      <c r="B230" s="1">
        <v>32539</v>
      </c>
      <c r="C230">
        <v>66.7</v>
      </c>
      <c r="D230">
        <v>0.88900000000000001</v>
      </c>
      <c r="E230">
        <v>38.6869811668045</v>
      </c>
      <c r="G230">
        <v>27.8</v>
      </c>
      <c r="H230">
        <v>38</v>
      </c>
      <c r="I230">
        <v>17</v>
      </c>
      <c r="J230">
        <v>3.28</v>
      </c>
      <c r="K230" s="2">
        <v>14.705238095238098</v>
      </c>
      <c r="L230">
        <v>9.1212903225806414</v>
      </c>
      <c r="M230">
        <f t="shared" si="6"/>
        <v>5.5839477726574565</v>
      </c>
      <c r="O230">
        <v>9.1754999999999978</v>
      </c>
      <c r="Q230">
        <v>13.3</v>
      </c>
      <c r="R230">
        <v>9.0914999999999999</v>
      </c>
      <c r="S230">
        <f t="shared" si="5"/>
        <v>4.2085000000000008</v>
      </c>
      <c r="W230">
        <v>89.246589660644531</v>
      </c>
      <c r="X230">
        <v>89.095222473144531</v>
      </c>
      <c r="Y230">
        <v>82.815032958984375</v>
      </c>
      <c r="Z230">
        <v>2.1449102088809013E-2</v>
      </c>
    </row>
    <row r="231" spans="1:26" x14ac:dyDescent="0.2">
      <c r="A231" s="1">
        <v>32540</v>
      </c>
      <c r="B231" s="1">
        <v>32567</v>
      </c>
      <c r="C231">
        <v>59.6</v>
      </c>
      <c r="D231">
        <v>0.79959999999999998</v>
      </c>
      <c r="E231">
        <v>38.468547886208803</v>
      </c>
      <c r="G231">
        <v>27.8</v>
      </c>
      <c r="H231">
        <v>38</v>
      </c>
      <c r="I231">
        <v>16.7</v>
      </c>
      <c r="J231">
        <v>3.28</v>
      </c>
      <c r="K231" s="2">
        <v>15.603</v>
      </c>
      <c r="L231">
        <v>9.3610714285714263</v>
      </c>
      <c r="M231">
        <f t="shared" si="6"/>
        <v>6.2419285714285735</v>
      </c>
      <c r="O231">
        <v>9.3715789473684215</v>
      </c>
      <c r="Q231">
        <v>13.65</v>
      </c>
      <c r="R231">
        <v>9.1689473684210547</v>
      </c>
      <c r="S231">
        <f t="shared" si="5"/>
        <v>4.4810526315789456</v>
      </c>
      <c r="W231">
        <v>91.618553161621094</v>
      </c>
      <c r="X231">
        <v>88.437469482421875</v>
      </c>
      <c r="Y231">
        <v>91.774566650390625</v>
      </c>
      <c r="Z231">
        <v>4.6418788842856884E-3</v>
      </c>
    </row>
    <row r="232" spans="1:26" x14ac:dyDescent="0.2">
      <c r="A232" s="1">
        <v>32568</v>
      </c>
      <c r="B232" s="1">
        <v>32598</v>
      </c>
      <c r="C232">
        <v>62.2</v>
      </c>
      <c r="D232">
        <v>0.81940000000000002</v>
      </c>
      <c r="E232">
        <v>38.720106802346798</v>
      </c>
      <c r="G232">
        <v>27.8</v>
      </c>
      <c r="H232">
        <v>38</v>
      </c>
      <c r="I232">
        <v>18.7</v>
      </c>
      <c r="J232">
        <v>3.28</v>
      </c>
      <c r="K232" s="2">
        <v>16.350000000000001</v>
      </c>
      <c r="L232">
        <v>9.8487096774193539</v>
      </c>
      <c r="M232">
        <f t="shared" si="6"/>
        <v>6.5012903225806475</v>
      </c>
      <c r="O232">
        <v>9.6795454545454547</v>
      </c>
      <c r="Q232">
        <v>13.65</v>
      </c>
      <c r="R232">
        <v>9.3577272727272724</v>
      </c>
      <c r="S232">
        <f t="shared" si="5"/>
        <v>4.2922727272727279</v>
      </c>
      <c r="W232">
        <v>87.733772277832031</v>
      </c>
      <c r="X232">
        <v>79.901107788085938</v>
      </c>
      <c r="Y232">
        <v>93.086624145507812</v>
      </c>
      <c r="Z232">
        <v>8.0596413463354111E-3</v>
      </c>
    </row>
    <row r="233" spans="1:26" x14ac:dyDescent="0.2">
      <c r="A233" s="1">
        <v>32599</v>
      </c>
      <c r="B233" s="1">
        <v>32628</v>
      </c>
      <c r="C233">
        <v>60</v>
      </c>
      <c r="D233">
        <v>0.79279999999999995</v>
      </c>
      <c r="E233">
        <v>38.984589557592599</v>
      </c>
      <c r="G233">
        <v>27.8</v>
      </c>
      <c r="H233">
        <v>38</v>
      </c>
      <c r="I233">
        <v>19.8</v>
      </c>
      <c r="J233">
        <v>3.28</v>
      </c>
      <c r="K233" s="2">
        <v>16.531052631578945</v>
      </c>
      <c r="L233">
        <v>9.8353333333333328</v>
      </c>
      <c r="M233">
        <f t="shared" si="6"/>
        <v>6.6957192982456117</v>
      </c>
      <c r="O233">
        <v>9.4514999999999993</v>
      </c>
      <c r="Q233">
        <v>13.4</v>
      </c>
      <c r="R233">
        <v>9.1755000000000013</v>
      </c>
      <c r="S233">
        <f t="shared" si="5"/>
        <v>4.224499999999999</v>
      </c>
      <c r="W233">
        <v>83.579093933105469</v>
      </c>
      <c r="X233">
        <v>77.834388732910156</v>
      </c>
      <c r="Y233">
        <v>84.563285827636719</v>
      </c>
      <c r="Z233">
        <v>1.2660899199545383E-2</v>
      </c>
    </row>
    <row r="234" spans="1:26" x14ac:dyDescent="0.2">
      <c r="A234" s="1">
        <v>32629</v>
      </c>
      <c r="B234" s="1">
        <v>32659</v>
      </c>
      <c r="C234">
        <v>58.8</v>
      </c>
      <c r="D234">
        <v>0.74839999999999995</v>
      </c>
      <c r="E234">
        <v>39.655966586686098</v>
      </c>
      <c r="G234">
        <v>27.8</v>
      </c>
      <c r="H234">
        <v>38</v>
      </c>
      <c r="I234">
        <v>18.399999999999999</v>
      </c>
      <c r="J234">
        <v>3.28</v>
      </c>
      <c r="K234" s="2">
        <v>17.033043478260872</v>
      </c>
      <c r="L234">
        <v>9.8090322580645122</v>
      </c>
      <c r="M234">
        <f t="shared" si="6"/>
        <v>7.2240112201963598</v>
      </c>
      <c r="O234">
        <v>9.0177272727272726</v>
      </c>
      <c r="Q234">
        <v>13.9</v>
      </c>
      <c r="R234">
        <v>8.8590909090909076</v>
      </c>
      <c r="S234">
        <f t="shared" si="5"/>
        <v>5.0409090909090928</v>
      </c>
      <c r="W234">
        <v>103.82850646972656</v>
      </c>
      <c r="X234">
        <v>116.75053405761719</v>
      </c>
      <c r="Y234">
        <v>80.266983032226562</v>
      </c>
      <c r="Z234">
        <v>2.078915573656559E-2</v>
      </c>
    </row>
    <row r="235" spans="1:26" x14ac:dyDescent="0.2">
      <c r="A235" s="1">
        <v>32660</v>
      </c>
      <c r="B235" s="1">
        <v>32689</v>
      </c>
      <c r="C235">
        <v>59.4</v>
      </c>
      <c r="D235">
        <v>0.75529999999999997</v>
      </c>
      <c r="E235">
        <v>39.880207498121003</v>
      </c>
      <c r="G235">
        <v>27.8</v>
      </c>
      <c r="H235">
        <v>38</v>
      </c>
      <c r="I235">
        <v>17.5</v>
      </c>
      <c r="J235">
        <v>3.28</v>
      </c>
      <c r="K235" s="2">
        <v>16.949047619047615</v>
      </c>
      <c r="L235">
        <v>9.5299999999999994</v>
      </c>
      <c r="M235">
        <f t="shared" si="6"/>
        <v>7.4190476190476158</v>
      </c>
      <c r="O235">
        <v>8.406363636363638</v>
      </c>
      <c r="Q235">
        <v>13.5</v>
      </c>
      <c r="R235">
        <v>8.2772727272727291</v>
      </c>
      <c r="S235">
        <f t="shared" si="5"/>
        <v>5.2227272727272709</v>
      </c>
      <c r="W235">
        <v>89.461555480957031</v>
      </c>
      <c r="X235">
        <v>97.678947448730469</v>
      </c>
      <c r="Y235">
        <v>68.48663330078125</v>
      </c>
      <c r="Z235">
        <v>5.0390526652336121E-2</v>
      </c>
    </row>
    <row r="236" spans="1:26" x14ac:dyDescent="0.2">
      <c r="A236" s="1">
        <v>32690</v>
      </c>
      <c r="B236" s="1">
        <v>32720</v>
      </c>
      <c r="C236">
        <v>57.8</v>
      </c>
      <c r="D236">
        <v>0.75239999999999996</v>
      </c>
      <c r="E236">
        <v>39.038654265807097</v>
      </c>
      <c r="G236">
        <v>27.8</v>
      </c>
      <c r="H236">
        <v>38</v>
      </c>
      <c r="I236">
        <v>17.8</v>
      </c>
      <c r="J236">
        <v>3.28</v>
      </c>
      <c r="K236" s="2">
        <v>16.831428571428575</v>
      </c>
      <c r="L236">
        <v>9.2354838709677409</v>
      </c>
      <c r="M236">
        <f t="shared" si="6"/>
        <v>7.5959447004608336</v>
      </c>
      <c r="O236">
        <v>7.8195000000000006</v>
      </c>
      <c r="Q236">
        <v>13.35</v>
      </c>
      <c r="R236">
        <v>8.0184999999999995</v>
      </c>
      <c r="S236">
        <f t="shared" si="5"/>
        <v>5.3315000000000001</v>
      </c>
      <c r="W236">
        <v>84.753105163574219</v>
      </c>
      <c r="X236">
        <v>84.326042175292969</v>
      </c>
      <c r="Y236">
        <v>78.832496643066406</v>
      </c>
      <c r="Z236">
        <v>4.8971597105264664E-2</v>
      </c>
    </row>
    <row r="237" spans="1:26" x14ac:dyDescent="0.2">
      <c r="A237" s="1">
        <v>32721</v>
      </c>
      <c r="B237" s="1">
        <v>32751</v>
      </c>
      <c r="C237">
        <v>60</v>
      </c>
      <c r="D237">
        <v>0.76559999999999995</v>
      </c>
      <c r="E237">
        <v>39.440708856510298</v>
      </c>
      <c r="G237">
        <v>27.8</v>
      </c>
      <c r="H237">
        <v>38</v>
      </c>
      <c r="I237">
        <v>17.100000000000001</v>
      </c>
      <c r="J237">
        <v>3.28</v>
      </c>
      <c r="K237" s="2">
        <v>16.946956521739136</v>
      </c>
      <c r="L237">
        <v>8.9922580645161272</v>
      </c>
      <c r="M237">
        <f t="shared" si="6"/>
        <v>7.9546984572230084</v>
      </c>
      <c r="O237">
        <v>8.1447826086956532</v>
      </c>
      <c r="Q237">
        <v>12.95</v>
      </c>
      <c r="R237">
        <v>8.1126086956521757</v>
      </c>
      <c r="S237">
        <f t="shared" si="5"/>
        <v>4.8373913043478236</v>
      </c>
      <c r="W237">
        <v>109.17729187011719</v>
      </c>
      <c r="X237">
        <v>115.95725250244141</v>
      </c>
      <c r="Y237">
        <v>115.18624114990234</v>
      </c>
      <c r="Z237">
        <v>4.7584030777215958E-2</v>
      </c>
    </row>
    <row r="238" spans="1:26" x14ac:dyDescent="0.2">
      <c r="A238" s="1">
        <v>32752</v>
      </c>
      <c r="B238" s="1">
        <v>32781</v>
      </c>
      <c r="C238">
        <v>59.8</v>
      </c>
      <c r="D238">
        <v>0.77639999999999998</v>
      </c>
      <c r="E238">
        <v>40.009029553839298</v>
      </c>
      <c r="G238">
        <v>27.8</v>
      </c>
      <c r="H238">
        <v>38</v>
      </c>
      <c r="I238">
        <v>17.8</v>
      </c>
      <c r="J238">
        <v>3.28</v>
      </c>
      <c r="K238" s="2">
        <v>17.44619047619048</v>
      </c>
      <c r="L238">
        <v>9.0210000000000026</v>
      </c>
      <c r="M238">
        <f t="shared" si="6"/>
        <v>8.4251904761904779</v>
      </c>
      <c r="O238">
        <v>8.2844999999999995</v>
      </c>
      <c r="Q238">
        <v>13.65</v>
      </c>
      <c r="R238">
        <v>8.1905000000000037</v>
      </c>
      <c r="S238">
        <f t="shared" si="5"/>
        <v>5.4594999999999967</v>
      </c>
      <c r="W238">
        <v>85.545845031738281</v>
      </c>
      <c r="X238">
        <v>79.419578552246094</v>
      </c>
      <c r="Y238">
        <v>88.943740844726562</v>
      </c>
      <c r="Z238">
        <v>2.1275689825415611E-2</v>
      </c>
    </row>
    <row r="239" spans="1:26" x14ac:dyDescent="0.2">
      <c r="A239" s="1">
        <v>32782</v>
      </c>
      <c r="B239" s="1">
        <v>32812</v>
      </c>
      <c r="C239">
        <v>60.7</v>
      </c>
      <c r="D239">
        <v>0.78310000000000002</v>
      </c>
      <c r="E239">
        <v>39.762452442320999</v>
      </c>
      <c r="G239">
        <v>27.8</v>
      </c>
      <c r="H239">
        <v>38</v>
      </c>
      <c r="I239">
        <v>19</v>
      </c>
      <c r="J239">
        <v>3.28</v>
      </c>
      <c r="K239" s="2">
        <v>17.601363636363637</v>
      </c>
      <c r="L239">
        <v>8.8406451612903219</v>
      </c>
      <c r="M239">
        <f t="shared" si="6"/>
        <v>8.7607184750733147</v>
      </c>
      <c r="O239">
        <v>7.9790476190476181</v>
      </c>
      <c r="Q239">
        <v>13.55</v>
      </c>
      <c r="R239">
        <v>8.0076190476190483</v>
      </c>
      <c r="S239">
        <f t="shared" si="5"/>
        <v>5.5423809523809524</v>
      </c>
      <c r="W239">
        <v>69.524673461914062</v>
      </c>
      <c r="X239">
        <v>68.156112670898438</v>
      </c>
      <c r="Y239">
        <v>64.535484313964844</v>
      </c>
      <c r="Z239">
        <v>2.7698637917637825E-2</v>
      </c>
    </row>
    <row r="240" spans="1:26" x14ac:dyDescent="0.2">
      <c r="A240" s="1">
        <v>32813</v>
      </c>
      <c r="B240" s="1">
        <v>32842</v>
      </c>
      <c r="C240">
        <v>60.4</v>
      </c>
      <c r="D240">
        <v>0.78149999999999997</v>
      </c>
      <c r="E240">
        <v>39.824672363182501</v>
      </c>
      <c r="G240">
        <v>27.8</v>
      </c>
      <c r="H240">
        <v>38</v>
      </c>
      <c r="I240">
        <v>19.2</v>
      </c>
      <c r="J240">
        <v>3.28</v>
      </c>
      <c r="K240" s="2">
        <v>18.013636363636362</v>
      </c>
      <c r="L240">
        <v>8.5480000000000018</v>
      </c>
      <c r="M240">
        <f t="shared" si="6"/>
        <v>9.4656363636363601</v>
      </c>
      <c r="O240">
        <v>7.7957142857142836</v>
      </c>
      <c r="Q240">
        <v>13.1</v>
      </c>
      <c r="R240">
        <v>7.8742857142857137</v>
      </c>
      <c r="S240">
        <f t="shared" si="5"/>
        <v>5.225714285714286</v>
      </c>
      <c r="W240">
        <v>92.828712463378906</v>
      </c>
      <c r="X240">
        <v>71.749732971191406</v>
      </c>
      <c r="Y240">
        <v>112.52256774902344</v>
      </c>
      <c r="Z240">
        <v>3.2901499420404434E-2</v>
      </c>
    </row>
    <row r="241" spans="1:26" x14ac:dyDescent="0.2">
      <c r="A241" s="1">
        <v>32843</v>
      </c>
      <c r="B241" s="1">
        <v>32873</v>
      </c>
      <c r="C241">
        <v>61.1</v>
      </c>
      <c r="D241">
        <v>0.79269999999999996</v>
      </c>
      <c r="E241">
        <v>38.971884315775696</v>
      </c>
      <c r="G241">
        <v>27.8</v>
      </c>
      <c r="H241">
        <v>38</v>
      </c>
      <c r="I241">
        <v>19.899999999999999</v>
      </c>
      <c r="J241">
        <v>3.28</v>
      </c>
      <c r="K241" s="2">
        <v>17.898947368421048</v>
      </c>
      <c r="L241">
        <v>8.4525806451612908</v>
      </c>
      <c r="M241">
        <f t="shared" si="6"/>
        <v>9.4463667232597572</v>
      </c>
      <c r="O241">
        <v>7.7769999999999992</v>
      </c>
      <c r="Q241">
        <v>12.9</v>
      </c>
      <c r="R241">
        <v>7.8360000000000003</v>
      </c>
      <c r="S241">
        <f t="shared" si="5"/>
        <v>5.0640000000000001</v>
      </c>
      <c r="W241">
        <v>112.55352783203125</v>
      </c>
      <c r="X241">
        <v>101.52501678466797</v>
      </c>
      <c r="Y241">
        <v>128.65443420410156</v>
      </c>
      <c r="Z241">
        <v>9.538818895816803E-2</v>
      </c>
    </row>
    <row r="242" spans="1:26" x14ac:dyDescent="0.2">
      <c r="A242" s="1">
        <v>32874</v>
      </c>
      <c r="B242" s="1">
        <v>32904</v>
      </c>
      <c r="C242">
        <v>59.4</v>
      </c>
      <c r="D242">
        <v>0.77080000000000004</v>
      </c>
      <c r="E242">
        <v>38.239842188088801</v>
      </c>
      <c r="G242">
        <v>32.5</v>
      </c>
      <c r="H242">
        <v>38</v>
      </c>
      <c r="I242">
        <v>21</v>
      </c>
      <c r="J242">
        <v>3.64</v>
      </c>
      <c r="K242" s="2">
        <v>17.704090909090912</v>
      </c>
      <c r="L242">
        <v>8.2290322580645157</v>
      </c>
      <c r="M242">
        <f t="shared" si="6"/>
        <v>9.4750586510263961</v>
      </c>
      <c r="O242">
        <v>8.0852380952380969</v>
      </c>
      <c r="Q242">
        <v>12.8</v>
      </c>
      <c r="R242">
        <v>8.206666666666667</v>
      </c>
      <c r="S242">
        <f t="shared" si="5"/>
        <v>4.5933333333333337</v>
      </c>
      <c r="T242">
        <v>23.347272727272721</v>
      </c>
      <c r="W242">
        <v>81.544044494628906</v>
      </c>
      <c r="X242">
        <v>76.011421203613281</v>
      </c>
      <c r="Y242">
        <v>80.72607421875</v>
      </c>
      <c r="Z242">
        <v>5.7355891913175583E-2</v>
      </c>
    </row>
    <row r="243" spans="1:26" x14ac:dyDescent="0.2">
      <c r="A243" s="1">
        <v>32905</v>
      </c>
      <c r="B243" s="1">
        <v>32932</v>
      </c>
      <c r="C243">
        <v>59</v>
      </c>
      <c r="D243">
        <v>0.75939999999999996</v>
      </c>
      <c r="E243">
        <v>37.274123791843003</v>
      </c>
      <c r="G243">
        <v>32.5</v>
      </c>
      <c r="H243">
        <v>38</v>
      </c>
      <c r="I243">
        <v>19.899999999999999</v>
      </c>
      <c r="J243">
        <v>3.64</v>
      </c>
      <c r="K243" s="2">
        <v>16.690999999999999</v>
      </c>
      <c r="L243">
        <v>8.2371428571428584</v>
      </c>
      <c r="M243">
        <f t="shared" si="6"/>
        <v>8.4538571428571405</v>
      </c>
      <c r="O243">
        <v>8.3705263157894727</v>
      </c>
      <c r="Q243">
        <v>13.3</v>
      </c>
      <c r="R243">
        <v>8.4731578947368433</v>
      </c>
      <c r="S243">
        <f t="shared" si="5"/>
        <v>4.8268421052631574</v>
      </c>
      <c r="T243">
        <v>23.262631578947367</v>
      </c>
      <c r="W243">
        <v>77.407211303710938</v>
      </c>
      <c r="X243">
        <v>81.108810424804688</v>
      </c>
      <c r="Y243">
        <v>65.3890380859375</v>
      </c>
      <c r="Z243">
        <v>4.0183953940868378E-2</v>
      </c>
    </row>
    <row r="244" spans="1:26" x14ac:dyDescent="0.2">
      <c r="A244" s="1">
        <v>32933</v>
      </c>
      <c r="B244" s="1">
        <v>32963</v>
      </c>
      <c r="C244">
        <v>59.8</v>
      </c>
      <c r="D244">
        <v>0.75419999999999998</v>
      </c>
      <c r="E244">
        <v>38.222347419902597</v>
      </c>
      <c r="G244">
        <v>32.5</v>
      </c>
      <c r="H244">
        <v>38</v>
      </c>
      <c r="I244">
        <v>18.5</v>
      </c>
      <c r="J244">
        <v>3.64</v>
      </c>
      <c r="K244" s="2">
        <v>16.316818181818178</v>
      </c>
      <c r="L244">
        <v>8.2767741935483858</v>
      </c>
      <c r="M244">
        <f t="shared" si="6"/>
        <v>8.0400439882697921</v>
      </c>
      <c r="O244">
        <v>8.6268181818181819</v>
      </c>
      <c r="Q244">
        <v>13.44</v>
      </c>
      <c r="R244">
        <v>8.5886363636363647</v>
      </c>
      <c r="S244">
        <f t="shared" si="5"/>
        <v>4.8513636363636348</v>
      </c>
      <c r="T244">
        <v>20.062272727272724</v>
      </c>
      <c r="W244">
        <v>67.591941833496094</v>
      </c>
      <c r="X244">
        <v>68.186721801757812</v>
      </c>
      <c r="Y244">
        <v>59.722858428955078</v>
      </c>
      <c r="Z244">
        <v>1.9418984651565552E-2</v>
      </c>
    </row>
    <row r="245" spans="1:26" x14ac:dyDescent="0.2">
      <c r="A245" s="1">
        <v>32964</v>
      </c>
      <c r="B245" s="1">
        <v>32993</v>
      </c>
      <c r="C245">
        <v>59.6</v>
      </c>
      <c r="D245">
        <v>0.75090000000000001</v>
      </c>
      <c r="E245">
        <v>38.469194024884601</v>
      </c>
      <c r="G245">
        <v>32.5</v>
      </c>
      <c r="H245">
        <v>38</v>
      </c>
      <c r="I245">
        <v>16.8</v>
      </c>
      <c r="J245">
        <v>3.64</v>
      </c>
      <c r="K245" s="2">
        <v>15.096111111111112</v>
      </c>
      <c r="L245">
        <v>8.2550000000000026</v>
      </c>
      <c r="M245">
        <f t="shared" si="6"/>
        <v>6.8411111111111094</v>
      </c>
      <c r="O245">
        <v>8.7239999999999984</v>
      </c>
      <c r="Q245">
        <v>13.78</v>
      </c>
      <c r="R245">
        <v>8.7855000000000008</v>
      </c>
      <c r="S245">
        <f t="shared" si="5"/>
        <v>4.9944999999999986</v>
      </c>
      <c r="T245">
        <v>21.403500000000001</v>
      </c>
      <c r="W245">
        <v>81.643844604492188</v>
      </c>
      <c r="X245">
        <v>97.976547241210938</v>
      </c>
      <c r="Y245">
        <v>54.792671203613281</v>
      </c>
      <c r="Z245">
        <v>1.6380015760660172E-2</v>
      </c>
    </row>
    <row r="246" spans="1:26" x14ac:dyDescent="0.2">
      <c r="A246" s="1">
        <v>32994</v>
      </c>
      <c r="B246" s="1">
        <v>33024</v>
      </c>
      <c r="C246">
        <v>60.2</v>
      </c>
      <c r="D246">
        <v>0.76910000000000001</v>
      </c>
      <c r="E246">
        <v>37.778773753189299</v>
      </c>
      <c r="G246">
        <v>32.5</v>
      </c>
      <c r="H246">
        <v>40.5</v>
      </c>
      <c r="I246">
        <v>16.7</v>
      </c>
      <c r="J246">
        <v>3.64</v>
      </c>
      <c r="K246" s="2">
        <v>14.962173913043477</v>
      </c>
      <c r="L246">
        <v>8.1764516129032252</v>
      </c>
      <c r="M246">
        <f t="shared" si="6"/>
        <v>6.785722300140252</v>
      </c>
      <c r="O246">
        <v>8.6422727272727276</v>
      </c>
      <c r="Q246">
        <v>13.51</v>
      </c>
      <c r="R246">
        <v>8.7581818181818178</v>
      </c>
      <c r="S246">
        <f t="shared" si="5"/>
        <v>4.7518181818181819</v>
      </c>
      <c r="T246">
        <v>18.097727272727273</v>
      </c>
      <c r="W246">
        <v>86.407119750976562</v>
      </c>
      <c r="X246">
        <v>97.816574096679688</v>
      </c>
      <c r="Y246">
        <v>66.843780517578125</v>
      </c>
      <c r="Z246">
        <v>1.587553508579731E-2</v>
      </c>
    </row>
    <row r="247" spans="1:26" x14ac:dyDescent="0.2">
      <c r="A247" s="1">
        <v>33025</v>
      </c>
      <c r="B247" s="1">
        <v>33054</v>
      </c>
      <c r="C247">
        <v>61.6</v>
      </c>
      <c r="D247">
        <v>0.78900000000000003</v>
      </c>
      <c r="E247">
        <v>36.708228737173897</v>
      </c>
      <c r="G247">
        <v>32.5</v>
      </c>
      <c r="H247">
        <v>40.5</v>
      </c>
      <c r="I247">
        <v>15.7</v>
      </c>
      <c r="J247">
        <v>3.64</v>
      </c>
      <c r="K247" s="2">
        <v>14.976999999999999</v>
      </c>
      <c r="L247">
        <v>8.2886666666666695</v>
      </c>
      <c r="M247">
        <f t="shared" si="6"/>
        <v>6.688333333333329</v>
      </c>
      <c r="O247">
        <v>8.3509523809523802</v>
      </c>
      <c r="Q247">
        <v>13.4</v>
      </c>
      <c r="R247">
        <v>8.4800000000000022</v>
      </c>
      <c r="S247">
        <f t="shared" si="5"/>
        <v>4.9199999999999982</v>
      </c>
      <c r="T247">
        <v>16.822380952380954</v>
      </c>
      <c r="W247">
        <v>79.681106567382812</v>
      </c>
      <c r="X247">
        <v>72.846420288085938</v>
      </c>
      <c r="Y247">
        <v>80.652877807617188</v>
      </c>
      <c r="Z247">
        <v>4.5641258358955383E-2</v>
      </c>
    </row>
    <row r="248" spans="1:26" x14ac:dyDescent="0.2">
      <c r="A248" s="1">
        <v>33055</v>
      </c>
      <c r="B248" s="1">
        <v>33085</v>
      </c>
      <c r="C248">
        <v>60.4</v>
      </c>
      <c r="D248">
        <v>0.79010000000000002</v>
      </c>
      <c r="E248">
        <v>35.678058004012399</v>
      </c>
      <c r="G248">
        <v>32.5</v>
      </c>
      <c r="H248">
        <v>40.5</v>
      </c>
      <c r="I248">
        <v>17.600000000000001</v>
      </c>
      <c r="J248">
        <v>3.64</v>
      </c>
      <c r="K248" s="2">
        <v>14.947272727272725</v>
      </c>
      <c r="L248">
        <v>8.1525806451612919</v>
      </c>
      <c r="M248">
        <f t="shared" si="6"/>
        <v>6.7946920821114336</v>
      </c>
      <c r="O248">
        <v>8.1571428571428584</v>
      </c>
      <c r="Q248">
        <v>13.16</v>
      </c>
      <c r="R248">
        <v>8.4714285714285733</v>
      </c>
      <c r="S248">
        <f t="shared" si="5"/>
        <v>4.6885714285714268</v>
      </c>
      <c r="T248">
        <v>18.392857142857146</v>
      </c>
      <c r="W248">
        <v>85.787429809570312</v>
      </c>
      <c r="X248">
        <v>82.369255065917969</v>
      </c>
      <c r="Y248">
        <v>81.847137451171875</v>
      </c>
      <c r="Z248">
        <v>3.3800911158323288E-2</v>
      </c>
    </row>
    <row r="249" spans="1:26" x14ac:dyDescent="0.2">
      <c r="A249" s="1">
        <v>33086</v>
      </c>
      <c r="B249" s="1">
        <v>33116</v>
      </c>
      <c r="C249">
        <v>61.4</v>
      </c>
      <c r="D249">
        <v>0.81620000000000004</v>
      </c>
      <c r="E249">
        <v>36.099166320800201</v>
      </c>
      <c r="G249">
        <v>32.5</v>
      </c>
      <c r="H249">
        <v>40.5</v>
      </c>
      <c r="I249">
        <v>27.1</v>
      </c>
      <c r="J249">
        <v>3.64</v>
      </c>
      <c r="K249">
        <v>14</v>
      </c>
      <c r="L249">
        <v>8.1341935483870955</v>
      </c>
      <c r="M249">
        <f t="shared" si="6"/>
        <v>5.8658064516129045</v>
      </c>
      <c r="O249">
        <v>8.061304347826086</v>
      </c>
      <c r="Q249">
        <v>13.49</v>
      </c>
      <c r="R249">
        <v>8.7526086956521745</v>
      </c>
      <c r="S249">
        <f t="shared" si="5"/>
        <v>4.7373913043478257</v>
      </c>
      <c r="T249">
        <v>28.175217391304351</v>
      </c>
      <c r="W249">
        <v>250.45108032226562</v>
      </c>
      <c r="X249">
        <v>353.76312255859375</v>
      </c>
      <c r="Y249">
        <v>128.25019836425781</v>
      </c>
      <c r="Z249">
        <v>0.24392260611057281</v>
      </c>
    </row>
    <row r="250" spans="1:26" x14ac:dyDescent="0.2">
      <c r="A250" s="1">
        <v>33117</v>
      </c>
      <c r="B250" s="1">
        <v>33146</v>
      </c>
      <c r="C250">
        <v>61.6</v>
      </c>
      <c r="D250">
        <v>0.82650000000000001</v>
      </c>
      <c r="E250">
        <v>36.676073081938704</v>
      </c>
      <c r="G250">
        <v>32.5</v>
      </c>
      <c r="H250">
        <v>40.5</v>
      </c>
      <c r="I250">
        <v>34.1</v>
      </c>
      <c r="J250">
        <v>3.64</v>
      </c>
      <c r="K250">
        <v>14</v>
      </c>
      <c r="L250">
        <v>8.1950000000000003</v>
      </c>
      <c r="M250">
        <f t="shared" si="6"/>
        <v>5.8049999999999997</v>
      </c>
      <c r="O250">
        <v>8.0794736842105266</v>
      </c>
      <c r="Q250">
        <v>13.63</v>
      </c>
      <c r="R250">
        <v>8.8931578947368415</v>
      </c>
      <c r="S250">
        <f t="shared" si="5"/>
        <v>4.7368421052631593</v>
      </c>
      <c r="T250">
        <v>29.107368421052637</v>
      </c>
      <c r="W250">
        <v>188.66053771972656</v>
      </c>
      <c r="X250">
        <v>262.12362670898438</v>
      </c>
      <c r="Y250">
        <v>106.95481109619141</v>
      </c>
      <c r="Z250">
        <v>0.14945821464061737</v>
      </c>
    </row>
    <row r="251" spans="1:26" x14ac:dyDescent="0.2">
      <c r="A251" s="1">
        <v>33147</v>
      </c>
      <c r="B251" s="1">
        <v>33177</v>
      </c>
      <c r="C251">
        <v>57.2</v>
      </c>
      <c r="D251">
        <v>0.78469999999999995</v>
      </c>
      <c r="E251">
        <v>35.161288939001302</v>
      </c>
      <c r="G251">
        <v>32.5</v>
      </c>
      <c r="H251">
        <v>40.5</v>
      </c>
      <c r="I251">
        <v>36.1</v>
      </c>
      <c r="J251">
        <v>3.64</v>
      </c>
      <c r="K251">
        <v>13.4347826086957</v>
      </c>
      <c r="L251">
        <v>8.112580645161291</v>
      </c>
      <c r="M251">
        <f t="shared" si="6"/>
        <v>5.3222019635344093</v>
      </c>
      <c r="O251">
        <v>7.8777272727272729</v>
      </c>
      <c r="Q251">
        <v>13.35</v>
      </c>
      <c r="R251">
        <v>8.7195454545454538</v>
      </c>
      <c r="S251">
        <f t="shared" si="5"/>
        <v>4.6304545454545458</v>
      </c>
      <c r="T251">
        <v>29.625652173913039</v>
      </c>
      <c r="W251">
        <v>143.85256958007812</v>
      </c>
      <c r="X251">
        <v>172.94636535644531</v>
      </c>
      <c r="Y251">
        <v>105.10758972167969</v>
      </c>
      <c r="Z251">
        <v>0.15242114663124084</v>
      </c>
    </row>
    <row r="252" spans="1:26" x14ac:dyDescent="0.2">
      <c r="A252" s="1">
        <v>33178</v>
      </c>
      <c r="B252" s="1">
        <v>33207</v>
      </c>
      <c r="C252">
        <v>56.9</v>
      </c>
      <c r="D252">
        <v>0.77449999999999997</v>
      </c>
      <c r="E252">
        <v>33.544562876119699</v>
      </c>
      <c r="G252">
        <v>32.5</v>
      </c>
      <c r="H252">
        <v>40.5</v>
      </c>
      <c r="I252">
        <v>33</v>
      </c>
      <c r="J252">
        <v>3.64</v>
      </c>
      <c r="K252">
        <v>13</v>
      </c>
      <c r="L252">
        <v>7.8066666666666684</v>
      </c>
      <c r="M252">
        <f t="shared" si="6"/>
        <v>5.1933333333333316</v>
      </c>
      <c r="O252">
        <v>7.5995000000000008</v>
      </c>
      <c r="Q252">
        <v>12.23</v>
      </c>
      <c r="R252">
        <v>8.3919999999999995</v>
      </c>
      <c r="S252">
        <f t="shared" si="5"/>
        <v>3.838000000000001</v>
      </c>
      <c r="T252">
        <v>24.885714285714283</v>
      </c>
      <c r="W252">
        <v>158.74354553222656</v>
      </c>
      <c r="X252">
        <v>201.18106079101562</v>
      </c>
      <c r="Y252">
        <v>115.40345764160156</v>
      </c>
      <c r="Z252">
        <v>0.10079019516706467</v>
      </c>
    </row>
    <row r="253" spans="1:26" x14ac:dyDescent="0.2">
      <c r="A253" s="1">
        <v>33208</v>
      </c>
      <c r="B253" s="1">
        <v>33238</v>
      </c>
      <c r="C253">
        <v>57.3</v>
      </c>
      <c r="D253">
        <v>0.77329999999999999</v>
      </c>
      <c r="E253">
        <v>33.184665895259201</v>
      </c>
      <c r="G253">
        <v>32.5</v>
      </c>
      <c r="H253">
        <v>40.5</v>
      </c>
      <c r="I253">
        <v>28</v>
      </c>
      <c r="J253">
        <v>3.64</v>
      </c>
      <c r="K253">
        <v>12.578947368421099</v>
      </c>
      <c r="L253">
        <v>7.3129032258064504</v>
      </c>
      <c r="M253">
        <f t="shared" si="6"/>
        <v>5.2660441426146489</v>
      </c>
      <c r="O253">
        <v>7.3140000000000001</v>
      </c>
      <c r="Q253">
        <v>12.07</v>
      </c>
      <c r="R253">
        <v>8.0749999999999993</v>
      </c>
      <c r="S253">
        <f t="shared" si="5"/>
        <v>3.995000000000001</v>
      </c>
      <c r="T253">
        <v>23.363000000000003</v>
      </c>
      <c r="W253">
        <v>153.16242980957031</v>
      </c>
      <c r="X253">
        <v>194.64852905273438</v>
      </c>
      <c r="Y253">
        <v>103.18325805664062</v>
      </c>
      <c r="Z253">
        <v>0.12089288234710693</v>
      </c>
    </row>
    <row r="254" spans="1:26" x14ac:dyDescent="0.2">
      <c r="A254" s="1">
        <v>33239</v>
      </c>
      <c r="B254" s="1">
        <v>33269</v>
      </c>
      <c r="C254">
        <v>57.5</v>
      </c>
      <c r="D254">
        <v>0.78490000000000004</v>
      </c>
      <c r="E254">
        <v>33.077327636133703</v>
      </c>
      <c r="G254">
        <v>34.799999999999997</v>
      </c>
      <c r="H254">
        <v>40.5</v>
      </c>
      <c r="I254">
        <v>23.7</v>
      </c>
      <c r="J254">
        <v>3.99</v>
      </c>
      <c r="K254">
        <v>12</v>
      </c>
      <c r="L254">
        <v>6.9064516129032274</v>
      </c>
      <c r="M254">
        <f t="shared" si="6"/>
        <v>5.0935483870967726</v>
      </c>
      <c r="O254">
        <v>7.1252380952380951</v>
      </c>
      <c r="Q254">
        <v>11.52</v>
      </c>
      <c r="R254">
        <v>8.0919047619047628</v>
      </c>
      <c r="S254">
        <f t="shared" si="5"/>
        <v>3.4280952380952368</v>
      </c>
      <c r="T254">
        <v>27.429090909090903</v>
      </c>
      <c r="W254">
        <v>379.24978637695312</v>
      </c>
      <c r="X254">
        <v>360.03280639648438</v>
      </c>
      <c r="Y254">
        <v>479.71585083007812</v>
      </c>
      <c r="Z254">
        <v>0.23520824313163757</v>
      </c>
    </row>
    <row r="255" spans="1:26" x14ac:dyDescent="0.2">
      <c r="A255" s="1">
        <v>33270</v>
      </c>
      <c r="B255" s="1">
        <v>33297</v>
      </c>
      <c r="C255">
        <v>57.9</v>
      </c>
      <c r="D255">
        <v>0.78510000000000002</v>
      </c>
      <c r="E255">
        <v>30.9934636299221</v>
      </c>
      <c r="G255">
        <v>34.799999999999997</v>
      </c>
      <c r="H255">
        <v>40.5</v>
      </c>
      <c r="I255">
        <v>19.399999999999999</v>
      </c>
      <c r="J255">
        <v>3.99</v>
      </c>
      <c r="K255">
        <v>12</v>
      </c>
      <c r="L255">
        <v>6.2525000000000004</v>
      </c>
      <c r="M255">
        <f t="shared" si="6"/>
        <v>5.7474999999999996</v>
      </c>
      <c r="O255">
        <v>6.8668421052631592</v>
      </c>
      <c r="Q255">
        <v>11.53</v>
      </c>
      <c r="R255">
        <v>7.8547368421052619</v>
      </c>
      <c r="S255">
        <f t="shared" si="5"/>
        <v>3.6752631578947375</v>
      </c>
      <c r="T255">
        <v>21.598421052631579</v>
      </c>
      <c r="W255">
        <v>339.3580322265625</v>
      </c>
      <c r="X255">
        <v>253.7916259765625</v>
      </c>
      <c r="Y255">
        <v>490.27374267578125</v>
      </c>
      <c r="Z255">
        <v>0.13845466077327728</v>
      </c>
    </row>
    <row r="256" spans="1:26" x14ac:dyDescent="0.2">
      <c r="A256" s="1">
        <v>33298</v>
      </c>
      <c r="B256" s="1">
        <v>33328</v>
      </c>
      <c r="C256">
        <v>59.7</v>
      </c>
      <c r="D256">
        <v>0.7752</v>
      </c>
      <c r="E256">
        <v>32.108454113697803</v>
      </c>
      <c r="G256">
        <v>34.799999999999997</v>
      </c>
      <c r="H256">
        <v>39.5</v>
      </c>
      <c r="I256">
        <v>19.5</v>
      </c>
      <c r="J256">
        <v>3.99</v>
      </c>
      <c r="K256">
        <v>12</v>
      </c>
      <c r="L256">
        <v>6.1151612903225816</v>
      </c>
      <c r="M256">
        <f t="shared" si="6"/>
        <v>5.8848387096774184</v>
      </c>
      <c r="O256">
        <v>7.1029999999999998</v>
      </c>
      <c r="Q256">
        <v>11.38</v>
      </c>
      <c r="R256">
        <v>8.1100000000000012</v>
      </c>
      <c r="S256">
        <f t="shared" si="5"/>
        <v>3.2699999999999996</v>
      </c>
      <c r="T256">
        <v>17.74421052631579</v>
      </c>
      <c r="W256">
        <v>148.61831665039062</v>
      </c>
      <c r="X256">
        <v>133.98248291015625</v>
      </c>
      <c r="Y256">
        <v>171.39544677734375</v>
      </c>
      <c r="Z256">
        <v>6.5493248403072357E-2</v>
      </c>
    </row>
    <row r="257" spans="1:26" x14ac:dyDescent="0.2">
      <c r="A257" s="1">
        <v>33329</v>
      </c>
      <c r="B257" s="1">
        <v>33358</v>
      </c>
      <c r="C257">
        <v>60.2</v>
      </c>
      <c r="D257">
        <v>0.78169999999999995</v>
      </c>
      <c r="E257">
        <v>33.011880796271399</v>
      </c>
      <c r="G257">
        <v>34.799999999999997</v>
      </c>
      <c r="H257">
        <v>39.5</v>
      </c>
      <c r="I257">
        <v>19.3</v>
      </c>
      <c r="J257">
        <v>3.99</v>
      </c>
      <c r="K257">
        <v>11.55</v>
      </c>
      <c r="L257">
        <v>5.912333333333331</v>
      </c>
      <c r="M257">
        <f t="shared" si="6"/>
        <v>5.6376666666666697</v>
      </c>
      <c r="O257">
        <v>6.9481818181818191</v>
      </c>
      <c r="Q257">
        <v>10.98</v>
      </c>
      <c r="R257">
        <v>8.0390909090909091</v>
      </c>
      <c r="S257">
        <f t="shared" si="5"/>
        <v>2.9409090909090914</v>
      </c>
      <c r="T257">
        <v>17.372727272727271</v>
      </c>
      <c r="W257">
        <v>97.760009765625</v>
      </c>
      <c r="X257">
        <v>100.77496337890625</v>
      </c>
      <c r="Y257">
        <v>88.505546569824219</v>
      </c>
      <c r="Z257">
        <v>2.4100257083773613E-2</v>
      </c>
    </row>
    <row r="258" spans="1:26" x14ac:dyDescent="0.2">
      <c r="A258" s="1">
        <v>33359</v>
      </c>
      <c r="B258" s="1">
        <v>33389</v>
      </c>
      <c r="C258">
        <v>58.5</v>
      </c>
      <c r="D258">
        <v>0.76090000000000002</v>
      </c>
      <c r="E258">
        <v>33.108811007922199</v>
      </c>
      <c r="G258">
        <v>34.799999999999997</v>
      </c>
      <c r="H258">
        <v>39.5</v>
      </c>
      <c r="I258">
        <v>19.3</v>
      </c>
      <c r="J258">
        <v>3.99</v>
      </c>
      <c r="K258">
        <v>10.978260869565201</v>
      </c>
      <c r="L258">
        <v>5.7829032258064519</v>
      </c>
      <c r="M258">
        <f t="shared" si="6"/>
        <v>5.195357643758749</v>
      </c>
      <c r="O258">
        <v>6.7836363636363641</v>
      </c>
      <c r="Q258">
        <v>10.75</v>
      </c>
      <c r="R258">
        <v>8.0677272727272715</v>
      </c>
      <c r="S258">
        <f t="shared" si="5"/>
        <v>2.6822727272727285</v>
      </c>
      <c r="T258">
        <v>16.932272727272728</v>
      </c>
      <c r="W258">
        <v>88.569023132324219</v>
      </c>
      <c r="X258">
        <v>95.457389831542969</v>
      </c>
      <c r="Y258">
        <v>79.06768798828125</v>
      </c>
      <c r="Z258">
        <v>2.9974896460771561E-2</v>
      </c>
    </row>
    <row r="259" spans="1:26" x14ac:dyDescent="0.2">
      <c r="A259" s="1">
        <v>33390</v>
      </c>
      <c r="B259" s="1">
        <v>33419</v>
      </c>
      <c r="C259">
        <v>59.7</v>
      </c>
      <c r="D259">
        <v>0.7681</v>
      </c>
      <c r="E259">
        <v>34.037380650116098</v>
      </c>
      <c r="G259">
        <v>34.799999999999997</v>
      </c>
      <c r="H259">
        <v>39.5</v>
      </c>
      <c r="I259">
        <v>18.2</v>
      </c>
      <c r="J259">
        <v>3.99</v>
      </c>
      <c r="K259">
        <v>10.5</v>
      </c>
      <c r="L259">
        <v>5.8996666666666675</v>
      </c>
      <c r="M259">
        <f t="shared" si="6"/>
        <v>4.6003333333333325</v>
      </c>
      <c r="O259">
        <v>6.9560000000000004</v>
      </c>
      <c r="Q259">
        <v>11.17</v>
      </c>
      <c r="R259">
        <v>8.2840000000000025</v>
      </c>
      <c r="S259">
        <f t="shared" ref="S259:S322" si="7">Q259-R259</f>
        <v>2.8859999999999975</v>
      </c>
      <c r="T259">
        <v>17.135000000000005</v>
      </c>
      <c r="W259">
        <v>87.733833312988281</v>
      </c>
      <c r="X259">
        <v>99.798851013183594</v>
      </c>
      <c r="Y259">
        <v>69.48858642578125</v>
      </c>
      <c r="Z259">
        <v>3.5721372812986374E-2</v>
      </c>
    </row>
    <row r="260" spans="1:26" x14ac:dyDescent="0.2">
      <c r="A260" s="1">
        <v>33420</v>
      </c>
      <c r="B260" s="1">
        <v>33450</v>
      </c>
      <c r="C260">
        <v>60.1</v>
      </c>
      <c r="D260">
        <v>0.77749999999999997</v>
      </c>
      <c r="E260">
        <v>33.960897845896397</v>
      </c>
      <c r="G260">
        <v>34.799999999999997</v>
      </c>
      <c r="H260">
        <v>39.5</v>
      </c>
      <c r="I260">
        <v>19.5</v>
      </c>
      <c r="J260">
        <v>3.99</v>
      </c>
      <c r="K260">
        <v>10.5</v>
      </c>
      <c r="L260">
        <v>5.8209677419354815</v>
      </c>
      <c r="M260">
        <f t="shared" si="6"/>
        <v>4.6790322580645185</v>
      </c>
      <c r="O260">
        <v>6.9177272727272729</v>
      </c>
      <c r="Q260">
        <v>10.99</v>
      </c>
      <c r="R260">
        <v>8.2727272727272716</v>
      </c>
      <c r="S260">
        <f t="shared" si="7"/>
        <v>2.7172727272727286</v>
      </c>
      <c r="T260">
        <v>17.294090909090912</v>
      </c>
      <c r="W260">
        <v>115.18467712402344</v>
      </c>
      <c r="X260">
        <v>144.65106201171875</v>
      </c>
      <c r="Y260">
        <v>84.731201171875</v>
      </c>
      <c r="Z260">
        <v>4.5458301901817322E-2</v>
      </c>
    </row>
    <row r="261" spans="1:26" x14ac:dyDescent="0.2">
      <c r="A261" s="1">
        <v>33451</v>
      </c>
      <c r="B261" s="1">
        <v>33481</v>
      </c>
      <c r="C261">
        <v>60.5</v>
      </c>
      <c r="D261">
        <v>0.78480000000000005</v>
      </c>
      <c r="E261">
        <v>33.252378295203499</v>
      </c>
      <c r="G261">
        <v>34.799999999999997</v>
      </c>
      <c r="H261">
        <v>39.5</v>
      </c>
      <c r="I261">
        <v>19.8</v>
      </c>
      <c r="J261">
        <v>3.99</v>
      </c>
      <c r="K261">
        <v>10.5</v>
      </c>
      <c r="L261">
        <v>5.6612903225806459</v>
      </c>
      <c r="M261">
        <f t="shared" si="6"/>
        <v>4.8387096774193541</v>
      </c>
      <c r="O261">
        <v>6.4331818181818194</v>
      </c>
      <c r="Q261">
        <v>10.67</v>
      </c>
      <c r="R261">
        <v>7.8999999999999995</v>
      </c>
      <c r="S261">
        <f t="shared" si="7"/>
        <v>2.7700000000000005</v>
      </c>
      <c r="T261">
        <v>15.681363636363635</v>
      </c>
      <c r="W261">
        <v>113.49502563476562</v>
      </c>
      <c r="X261">
        <v>133.4146728515625</v>
      </c>
      <c r="Y261">
        <v>87.345291137695312</v>
      </c>
      <c r="Z261">
        <v>8.9369133114814758E-2</v>
      </c>
    </row>
    <row r="262" spans="1:26" x14ac:dyDescent="0.2">
      <c r="A262" s="1">
        <v>33482</v>
      </c>
      <c r="B262" s="1">
        <v>33511</v>
      </c>
      <c r="C262">
        <v>60.6</v>
      </c>
      <c r="D262">
        <v>0.79949999999999999</v>
      </c>
      <c r="E262">
        <v>32.801164449260497</v>
      </c>
      <c r="G262">
        <v>34.799999999999997</v>
      </c>
      <c r="H262">
        <v>39.5</v>
      </c>
      <c r="I262">
        <v>20.5</v>
      </c>
      <c r="J262">
        <v>3.99</v>
      </c>
      <c r="K262">
        <v>9.5476190476190492</v>
      </c>
      <c r="L262">
        <v>5.447000000000001</v>
      </c>
      <c r="M262">
        <f t="shared" si="6"/>
        <v>4.1006190476190483</v>
      </c>
      <c r="O262">
        <v>6.1814999999999989</v>
      </c>
      <c r="Q262">
        <v>10.31</v>
      </c>
      <c r="R262">
        <v>7.6500000000000012</v>
      </c>
      <c r="S262">
        <f t="shared" si="7"/>
        <v>2.6599999999999993</v>
      </c>
      <c r="T262">
        <v>16.956500000000005</v>
      </c>
      <c r="W262">
        <v>117.94219207763672</v>
      </c>
      <c r="X262">
        <v>154.14364624023438</v>
      </c>
      <c r="Y262">
        <v>74.796638488769531</v>
      </c>
      <c r="Z262">
        <v>7.5435742735862732E-2</v>
      </c>
    </row>
    <row r="263" spans="1:26" x14ac:dyDescent="0.2">
      <c r="A263" s="1">
        <v>33512</v>
      </c>
      <c r="B263" s="1">
        <v>33542</v>
      </c>
      <c r="C263">
        <v>59.3</v>
      </c>
      <c r="D263">
        <v>0.78369999999999995</v>
      </c>
      <c r="E263">
        <v>32.6703246199273</v>
      </c>
      <c r="G263">
        <v>34.799999999999997</v>
      </c>
      <c r="H263">
        <v>39.5</v>
      </c>
      <c r="I263">
        <v>22.2</v>
      </c>
      <c r="J263">
        <v>3.99</v>
      </c>
      <c r="K263">
        <v>9.5</v>
      </c>
      <c r="L263">
        <v>5.2096774193548399</v>
      </c>
      <c r="M263">
        <f t="shared" si="6"/>
        <v>4.2903225806451601</v>
      </c>
      <c r="O263">
        <v>5.912272727272728</v>
      </c>
      <c r="Q263">
        <v>9.82</v>
      </c>
      <c r="R263">
        <v>7.5272727272727273</v>
      </c>
      <c r="S263">
        <f t="shared" si="7"/>
        <v>2.2927272727272729</v>
      </c>
      <c r="T263">
        <v>16.363913043478259</v>
      </c>
      <c r="W263">
        <v>100.83180999755859</v>
      </c>
      <c r="X263">
        <v>122.64443206787109</v>
      </c>
      <c r="Y263">
        <v>77.95648193359375</v>
      </c>
      <c r="Z263">
        <v>3.2833535224199295E-2</v>
      </c>
    </row>
    <row r="264" spans="1:26" x14ac:dyDescent="0.2">
      <c r="A264" s="1">
        <v>33543</v>
      </c>
      <c r="B264" s="1">
        <v>33572</v>
      </c>
      <c r="C264">
        <v>59</v>
      </c>
      <c r="D264">
        <v>0.78480000000000005</v>
      </c>
      <c r="E264">
        <v>32.4784516512591</v>
      </c>
      <c r="G264">
        <v>34.799999999999997</v>
      </c>
      <c r="H264">
        <v>39.5</v>
      </c>
      <c r="I264">
        <v>21.3</v>
      </c>
      <c r="J264">
        <v>3.99</v>
      </c>
      <c r="K264">
        <v>8.6428571428571406</v>
      </c>
      <c r="L264">
        <v>4.8113333333333346</v>
      </c>
      <c r="M264">
        <f t="shared" si="6"/>
        <v>3.831523809523806</v>
      </c>
      <c r="O264">
        <v>5.5589473684210517</v>
      </c>
      <c r="Q264">
        <v>9.7799999999999994</v>
      </c>
      <c r="R264">
        <v>7.4173684210526307</v>
      </c>
      <c r="S264">
        <f t="shared" si="7"/>
        <v>2.3626315789473686</v>
      </c>
      <c r="T264">
        <v>17.773500000000002</v>
      </c>
      <c r="W264">
        <v>100.74233245849609</v>
      </c>
      <c r="X264">
        <v>120.33022308349609</v>
      </c>
      <c r="Y264">
        <v>77.582061767578125</v>
      </c>
      <c r="Z264">
        <v>5.4026935249567032E-2</v>
      </c>
    </row>
    <row r="265" spans="1:26" x14ac:dyDescent="0.2">
      <c r="A265" s="1">
        <v>33573</v>
      </c>
      <c r="B265" s="1">
        <v>33603</v>
      </c>
      <c r="C265">
        <v>55.9</v>
      </c>
      <c r="D265">
        <v>0.75980000000000003</v>
      </c>
      <c r="E265">
        <v>32.329377688058102</v>
      </c>
      <c r="G265">
        <v>34.799999999999997</v>
      </c>
      <c r="H265">
        <v>39.5</v>
      </c>
      <c r="I265">
        <v>18.399999999999999</v>
      </c>
      <c r="J265">
        <v>3.99</v>
      </c>
      <c r="K265">
        <v>8.5</v>
      </c>
      <c r="L265">
        <v>4.4341935483870962</v>
      </c>
      <c r="M265">
        <f t="shared" si="6"/>
        <v>4.0658064516129038</v>
      </c>
      <c r="O265">
        <v>5.0257142857142849</v>
      </c>
      <c r="Q265">
        <v>9.39</v>
      </c>
      <c r="R265">
        <v>7.0885714285714281</v>
      </c>
      <c r="S265">
        <f t="shared" si="7"/>
        <v>2.3014285714285725</v>
      </c>
      <c r="T265">
        <v>18.347619047619048</v>
      </c>
      <c r="W265">
        <v>103.96953582763672</v>
      </c>
      <c r="X265">
        <v>135.23251342773438</v>
      </c>
      <c r="Y265">
        <v>58.747432708740234</v>
      </c>
      <c r="Z265">
        <v>3.1659346073865891E-2</v>
      </c>
    </row>
    <row r="266" spans="1:26" x14ac:dyDescent="0.2">
      <c r="A266" s="1">
        <v>33604</v>
      </c>
      <c r="B266" s="1">
        <v>33634</v>
      </c>
      <c r="C266">
        <v>55.8</v>
      </c>
      <c r="D266">
        <v>0.74980000000000002</v>
      </c>
      <c r="E266">
        <v>32.009554403316002</v>
      </c>
      <c r="G266">
        <v>33.1</v>
      </c>
      <c r="H266">
        <v>39.5</v>
      </c>
      <c r="I266">
        <v>18.2</v>
      </c>
      <c r="J266">
        <v>3.6</v>
      </c>
      <c r="K266">
        <v>7.6904761904761898</v>
      </c>
      <c r="L266">
        <v>4.0341935483870968</v>
      </c>
      <c r="M266">
        <f t="shared" si="6"/>
        <v>3.656282642089093</v>
      </c>
      <c r="O266">
        <v>4.9580952380952379</v>
      </c>
      <c r="Q266">
        <v>10.11</v>
      </c>
      <c r="R266">
        <v>7.0323809523809526</v>
      </c>
      <c r="S266">
        <f t="shared" si="7"/>
        <v>3.0776190476190468</v>
      </c>
      <c r="T266">
        <v>17.683181818181819</v>
      </c>
      <c r="W266">
        <v>102.95763397216797</v>
      </c>
      <c r="X266">
        <v>126.15647125244141</v>
      </c>
      <c r="Y266">
        <v>69.456680297851562</v>
      </c>
      <c r="Z266">
        <v>6.1150390654802322E-2</v>
      </c>
    </row>
    <row r="267" spans="1:26" x14ac:dyDescent="0.2">
      <c r="A267" s="1">
        <v>33635</v>
      </c>
      <c r="B267" s="1">
        <v>33663</v>
      </c>
      <c r="C267">
        <v>56.8</v>
      </c>
      <c r="D267">
        <v>0.75460000000000005</v>
      </c>
      <c r="E267">
        <v>32.825739727771499</v>
      </c>
      <c r="G267">
        <v>33.1</v>
      </c>
      <c r="H267">
        <v>39.5</v>
      </c>
      <c r="I267">
        <v>18.100000000000001</v>
      </c>
      <c r="J267">
        <v>3.51</v>
      </c>
      <c r="K267">
        <v>7.5</v>
      </c>
      <c r="L267">
        <v>4.057586206896552</v>
      </c>
      <c r="M267">
        <f t="shared" ref="M267:M330" si="8">K267-L267</f>
        <v>3.442413793103448</v>
      </c>
      <c r="O267">
        <v>5.2121052631578939</v>
      </c>
      <c r="Q267">
        <v>10.039999999999999</v>
      </c>
      <c r="R267">
        <v>7.3378947368421059</v>
      </c>
      <c r="S267">
        <f t="shared" si="7"/>
        <v>2.7021052631578932</v>
      </c>
      <c r="T267">
        <v>17.477368421052631</v>
      </c>
      <c r="W267">
        <v>87.203468322753906</v>
      </c>
      <c r="X267">
        <v>101.09597015380859</v>
      </c>
      <c r="Y267">
        <v>62.860504150390625</v>
      </c>
      <c r="Z267">
        <v>2.3706045001745224E-2</v>
      </c>
    </row>
    <row r="268" spans="1:26" x14ac:dyDescent="0.2">
      <c r="A268" s="1">
        <v>33664</v>
      </c>
      <c r="B268" s="1">
        <v>33694</v>
      </c>
      <c r="C268">
        <v>58.6</v>
      </c>
      <c r="D268">
        <v>0.76839999999999997</v>
      </c>
      <c r="E268">
        <v>32.969234172131301</v>
      </c>
      <c r="G268">
        <v>33.1</v>
      </c>
      <c r="H268">
        <v>39.5</v>
      </c>
      <c r="I268">
        <v>17.600000000000001</v>
      </c>
      <c r="J268">
        <v>3.59</v>
      </c>
      <c r="K268">
        <v>7.5</v>
      </c>
      <c r="L268">
        <v>3.9832258064516126</v>
      </c>
      <c r="M268">
        <f t="shared" si="8"/>
        <v>3.5167741935483874</v>
      </c>
      <c r="O268">
        <v>5.6850000000000005</v>
      </c>
      <c r="Q268">
        <v>9.89</v>
      </c>
      <c r="R268">
        <v>7.5422727272727261</v>
      </c>
      <c r="S268">
        <f t="shared" si="7"/>
        <v>2.3477272727272744</v>
      </c>
      <c r="T268">
        <v>17.520454545454548</v>
      </c>
      <c r="W268">
        <v>85.297317504882812</v>
      </c>
      <c r="X268">
        <v>107.12957000732422</v>
      </c>
      <c r="Y268">
        <v>53.692520141601562</v>
      </c>
      <c r="Z268">
        <v>1.8248174339532852E-2</v>
      </c>
    </row>
    <row r="269" spans="1:26" x14ac:dyDescent="0.2">
      <c r="A269" s="1">
        <v>33695</v>
      </c>
      <c r="B269" s="1">
        <v>33724</v>
      </c>
      <c r="C269">
        <v>57.9</v>
      </c>
      <c r="D269">
        <v>0.75929999999999997</v>
      </c>
      <c r="E269">
        <v>32.444482683376698</v>
      </c>
      <c r="G269">
        <v>33.1</v>
      </c>
      <c r="H269">
        <v>39.5</v>
      </c>
      <c r="I269">
        <v>19</v>
      </c>
      <c r="J269">
        <v>3.53</v>
      </c>
      <c r="K269">
        <v>7.5</v>
      </c>
      <c r="L269">
        <v>3.7346666666666661</v>
      </c>
      <c r="M269">
        <f t="shared" si="8"/>
        <v>3.7653333333333339</v>
      </c>
      <c r="O269">
        <v>5.3442857142857134</v>
      </c>
      <c r="Q269">
        <v>9.43</v>
      </c>
      <c r="R269">
        <v>7.4804761904761907</v>
      </c>
      <c r="S269">
        <f t="shared" si="7"/>
        <v>1.949523809523809</v>
      </c>
      <c r="T269">
        <v>16.562857142857144</v>
      </c>
      <c r="W269">
        <v>85.855621337890625</v>
      </c>
      <c r="X269">
        <v>92.641197204589844</v>
      </c>
      <c r="Y269">
        <v>74.401252746582031</v>
      </c>
      <c r="Z269">
        <v>2.6431052014231682E-2</v>
      </c>
    </row>
    <row r="270" spans="1:26" x14ac:dyDescent="0.2">
      <c r="A270" s="1">
        <v>33725</v>
      </c>
      <c r="B270" s="1">
        <v>33755</v>
      </c>
      <c r="C270">
        <v>56.9</v>
      </c>
      <c r="D270">
        <v>0.75890000000000002</v>
      </c>
      <c r="E270">
        <v>32.091717892482897</v>
      </c>
      <c r="G270">
        <v>33.1</v>
      </c>
      <c r="H270">
        <v>39.5</v>
      </c>
      <c r="I270">
        <v>19.899999999999999</v>
      </c>
      <c r="J270">
        <v>3.47</v>
      </c>
      <c r="K270">
        <v>6.6428571428571397</v>
      </c>
      <c r="L270">
        <v>3.823225806451612</v>
      </c>
      <c r="M270">
        <f t="shared" si="8"/>
        <v>2.8196313364055277</v>
      </c>
      <c r="O270">
        <v>5.2254999999999985</v>
      </c>
      <c r="Q270">
        <v>9.1199999999999992</v>
      </c>
      <c r="R270">
        <v>7.3920000000000012</v>
      </c>
      <c r="S270">
        <f t="shared" si="7"/>
        <v>1.727999999999998</v>
      </c>
      <c r="T270">
        <v>15.076999999999998</v>
      </c>
      <c r="W270">
        <v>78.968147277832031</v>
      </c>
      <c r="X270">
        <v>93.082290649414062</v>
      </c>
      <c r="Y270">
        <v>56.435390472412109</v>
      </c>
      <c r="Z270">
        <v>2.2309808060526848E-2</v>
      </c>
    </row>
    <row r="271" spans="1:26" x14ac:dyDescent="0.2">
      <c r="A271" s="1">
        <v>33756</v>
      </c>
      <c r="B271" s="1">
        <v>33785</v>
      </c>
      <c r="C271">
        <v>55.2</v>
      </c>
      <c r="D271">
        <v>0.74880000000000002</v>
      </c>
      <c r="E271">
        <v>31.6759830721019</v>
      </c>
      <c r="G271">
        <v>33.1</v>
      </c>
      <c r="H271">
        <v>39.5</v>
      </c>
      <c r="I271">
        <v>21.2</v>
      </c>
      <c r="J271">
        <v>3.49</v>
      </c>
      <c r="K271">
        <v>6.5</v>
      </c>
      <c r="L271">
        <v>3.7626666666666662</v>
      </c>
      <c r="M271">
        <f t="shared" si="8"/>
        <v>2.7373333333333338</v>
      </c>
      <c r="O271">
        <v>5.048181818181817</v>
      </c>
      <c r="Q271">
        <v>8.9</v>
      </c>
      <c r="R271">
        <v>7.26181818181818</v>
      </c>
      <c r="S271">
        <f t="shared" si="7"/>
        <v>1.6381818181818204</v>
      </c>
      <c r="T271">
        <v>15.203181818181816</v>
      </c>
      <c r="W271">
        <v>93.849090576171875</v>
      </c>
      <c r="X271">
        <v>124.33613586425781</v>
      </c>
      <c r="Y271">
        <v>49.730014801025391</v>
      </c>
      <c r="Z271">
        <v>4.2358197271823883E-2</v>
      </c>
    </row>
    <row r="272" spans="1:26" x14ac:dyDescent="0.2">
      <c r="A272" s="1">
        <v>33786</v>
      </c>
      <c r="B272" s="1">
        <v>33816</v>
      </c>
      <c r="C272">
        <v>54.7</v>
      </c>
      <c r="D272">
        <v>0.74419999999999997</v>
      </c>
      <c r="E272">
        <v>30.990145944485398</v>
      </c>
      <c r="G272">
        <v>33.1</v>
      </c>
      <c r="H272">
        <v>39.5</v>
      </c>
      <c r="I272">
        <v>20.3</v>
      </c>
      <c r="J272">
        <v>3.61</v>
      </c>
      <c r="K272">
        <v>5.9130434782608701</v>
      </c>
      <c r="L272">
        <v>3.253548387096775</v>
      </c>
      <c r="M272">
        <f t="shared" si="8"/>
        <v>2.6594950911640951</v>
      </c>
      <c r="O272">
        <v>4.3554545454545455</v>
      </c>
      <c r="Q272">
        <v>8.3000000000000007</v>
      </c>
      <c r="R272">
        <v>6.8445454545454547</v>
      </c>
      <c r="S272">
        <f t="shared" si="7"/>
        <v>1.455454545454546</v>
      </c>
      <c r="T272">
        <v>13.601818181818182</v>
      </c>
      <c r="W272">
        <v>75.196769714355469</v>
      </c>
      <c r="X272">
        <v>92.428863525390625</v>
      </c>
      <c r="Y272">
        <v>51.642940521240234</v>
      </c>
      <c r="Z272">
        <v>1.1352885514497757E-2</v>
      </c>
    </row>
    <row r="273" spans="1:26" x14ac:dyDescent="0.2">
      <c r="A273" s="1">
        <v>33817</v>
      </c>
      <c r="B273" s="1">
        <v>33847</v>
      </c>
      <c r="C273">
        <v>51.6</v>
      </c>
      <c r="D273">
        <v>0.71340000000000003</v>
      </c>
      <c r="E273">
        <v>30.3411434691062</v>
      </c>
      <c r="G273">
        <v>33.1</v>
      </c>
      <c r="H273">
        <v>39.5</v>
      </c>
      <c r="I273">
        <v>19.8</v>
      </c>
      <c r="J273">
        <v>3.65</v>
      </c>
      <c r="K273">
        <v>5.75</v>
      </c>
      <c r="L273">
        <v>3.3032258064516129</v>
      </c>
      <c r="M273">
        <f t="shared" si="8"/>
        <v>2.4467741935483871</v>
      </c>
      <c r="O273">
        <v>4.1928571428571431</v>
      </c>
      <c r="Q273">
        <v>8.9700000000000006</v>
      </c>
      <c r="R273">
        <v>6.5857142857142863</v>
      </c>
      <c r="S273">
        <f t="shared" si="7"/>
        <v>2.3842857142857143</v>
      </c>
      <c r="T273">
        <v>14.421904761904763</v>
      </c>
      <c r="W273">
        <v>81.645195007324219</v>
      </c>
      <c r="X273">
        <v>87.556793212890625</v>
      </c>
      <c r="Y273">
        <v>70.159523010253906</v>
      </c>
      <c r="Z273">
        <v>1.5499070286750793E-2</v>
      </c>
    </row>
    <row r="274" spans="1:26" x14ac:dyDescent="0.2">
      <c r="A274" s="1">
        <v>33848</v>
      </c>
      <c r="B274" s="1">
        <v>33877</v>
      </c>
      <c r="C274">
        <v>51.7</v>
      </c>
      <c r="D274">
        <v>0.71399999999999997</v>
      </c>
      <c r="E274">
        <v>30.300182090765301</v>
      </c>
      <c r="G274">
        <v>33.1</v>
      </c>
      <c r="H274">
        <v>39.5</v>
      </c>
      <c r="I274">
        <v>20.3</v>
      </c>
      <c r="J274">
        <v>3.63</v>
      </c>
      <c r="K274">
        <v>5.75</v>
      </c>
      <c r="L274">
        <v>3.2196666666666673</v>
      </c>
      <c r="M274">
        <f t="shared" si="8"/>
        <v>2.5303333333333327</v>
      </c>
      <c r="O274">
        <v>3.8942857142857137</v>
      </c>
      <c r="Q274">
        <v>8.94</v>
      </c>
      <c r="R274">
        <v>6.415238095238097</v>
      </c>
      <c r="S274">
        <f t="shared" si="7"/>
        <v>2.5247619047619025</v>
      </c>
      <c r="T274">
        <v>13.696666666666669</v>
      </c>
      <c r="W274">
        <v>74.609718322753906</v>
      </c>
      <c r="X274">
        <v>92.689262390136719</v>
      </c>
      <c r="Y274">
        <v>45.738723754882812</v>
      </c>
      <c r="Z274">
        <v>3.0707815662026405E-2</v>
      </c>
    </row>
    <row r="275" spans="1:26" x14ac:dyDescent="0.2">
      <c r="A275" s="1">
        <v>33878</v>
      </c>
      <c r="B275" s="1">
        <v>33908</v>
      </c>
      <c r="C275">
        <v>51.9</v>
      </c>
      <c r="D275">
        <v>0.69540000000000002</v>
      </c>
      <c r="E275">
        <v>30.266938928404699</v>
      </c>
      <c r="G275">
        <v>33.1</v>
      </c>
      <c r="H275">
        <v>37.299999999999997</v>
      </c>
      <c r="I275">
        <v>20.3</v>
      </c>
      <c r="J275">
        <v>3.7</v>
      </c>
      <c r="K275">
        <v>5.75</v>
      </c>
      <c r="L275">
        <v>3.0990322580645167</v>
      </c>
      <c r="M275">
        <f t="shared" si="8"/>
        <v>2.6509677419354833</v>
      </c>
      <c r="O275">
        <v>4.0828571428571419</v>
      </c>
      <c r="Q275">
        <v>8.86</v>
      </c>
      <c r="R275">
        <v>6.5890476190476193</v>
      </c>
      <c r="S275">
        <f t="shared" si="7"/>
        <v>2.2709523809523802</v>
      </c>
      <c r="T275">
        <v>17.636818181818182</v>
      </c>
      <c r="W275">
        <v>68.182777404785156</v>
      </c>
      <c r="X275">
        <v>71.336257934570312</v>
      </c>
      <c r="Y275">
        <v>58.993061065673828</v>
      </c>
      <c r="Z275">
        <v>4.3053962290287018E-2</v>
      </c>
    </row>
    <row r="276" spans="1:26" x14ac:dyDescent="0.2">
      <c r="A276" s="1">
        <v>33909</v>
      </c>
      <c r="B276" s="1">
        <v>33938</v>
      </c>
      <c r="C276">
        <v>51.8</v>
      </c>
      <c r="D276">
        <v>0.68230000000000002</v>
      </c>
      <c r="E276">
        <v>30.484291044595501</v>
      </c>
      <c r="G276">
        <v>33.1</v>
      </c>
      <c r="H276">
        <v>35</v>
      </c>
      <c r="I276">
        <v>19.2</v>
      </c>
      <c r="J276">
        <v>3.65</v>
      </c>
      <c r="K276">
        <v>5.75</v>
      </c>
      <c r="L276">
        <v>3.0876666666666659</v>
      </c>
      <c r="M276">
        <f t="shared" si="8"/>
        <v>2.6623333333333341</v>
      </c>
      <c r="O276">
        <v>4.5794736842105266</v>
      </c>
      <c r="Q276">
        <v>9.14</v>
      </c>
      <c r="R276">
        <v>6.8731578947368419</v>
      </c>
      <c r="S276">
        <f t="shared" si="7"/>
        <v>2.2668421052631587</v>
      </c>
      <c r="T276">
        <v>14.4245</v>
      </c>
      <c r="W276">
        <v>91.008995056152344</v>
      </c>
      <c r="X276">
        <v>109.6229248046875</v>
      </c>
      <c r="Y276">
        <v>68.556907653808594</v>
      </c>
      <c r="Z276">
        <v>5.7427257299423218E-2</v>
      </c>
    </row>
    <row r="277" spans="1:26" x14ac:dyDescent="0.2">
      <c r="A277" s="1">
        <v>33939</v>
      </c>
      <c r="B277" s="1">
        <v>33969</v>
      </c>
      <c r="C277">
        <v>52.4</v>
      </c>
      <c r="D277">
        <v>0.68799999999999994</v>
      </c>
      <c r="E277">
        <v>30.427850054331799</v>
      </c>
      <c r="G277">
        <v>33.1</v>
      </c>
      <c r="H277">
        <v>35</v>
      </c>
      <c r="I277">
        <v>18.2</v>
      </c>
      <c r="J277">
        <v>3.71</v>
      </c>
      <c r="K277">
        <v>5.75</v>
      </c>
      <c r="L277">
        <v>2.9196774193548372</v>
      </c>
      <c r="M277">
        <f t="shared" si="8"/>
        <v>2.8303225806451628</v>
      </c>
      <c r="O277">
        <v>4.6736363636363629</v>
      </c>
      <c r="Q277">
        <v>8.94</v>
      </c>
      <c r="R277">
        <v>6.7699999999999987</v>
      </c>
      <c r="S277">
        <f t="shared" si="7"/>
        <v>2.1700000000000008</v>
      </c>
      <c r="T277">
        <v>12.191363636363638</v>
      </c>
      <c r="W277">
        <v>83.420967102050781</v>
      </c>
      <c r="X277">
        <v>97.294036865234375</v>
      </c>
      <c r="Y277">
        <v>60.885471343994141</v>
      </c>
      <c r="Z277">
        <v>2.0145855844020844E-2</v>
      </c>
    </row>
    <row r="278" spans="1:26" x14ac:dyDescent="0.2">
      <c r="A278" s="1">
        <v>33970</v>
      </c>
      <c r="B278" s="1">
        <v>34000</v>
      </c>
      <c r="C278">
        <v>51.6</v>
      </c>
      <c r="D278">
        <v>0.67859999999999998</v>
      </c>
      <c r="E278">
        <v>30.891979454912999</v>
      </c>
      <c r="G278">
        <v>29.1</v>
      </c>
      <c r="H278">
        <v>35</v>
      </c>
      <c r="I278">
        <v>17.399999999999999</v>
      </c>
      <c r="J278">
        <v>3.64</v>
      </c>
      <c r="K278">
        <v>5.75</v>
      </c>
      <c r="L278">
        <v>3.0241935483870965</v>
      </c>
      <c r="M278">
        <f t="shared" si="8"/>
        <v>2.7258064516129035</v>
      </c>
      <c r="O278">
        <v>4.3899999999999997</v>
      </c>
      <c r="Q278">
        <v>8.6</v>
      </c>
      <c r="R278">
        <v>6.6</v>
      </c>
      <c r="S278">
        <f t="shared" si="7"/>
        <v>2</v>
      </c>
      <c r="T278">
        <v>12.408999999999999</v>
      </c>
      <c r="W278">
        <v>128.91807556152344</v>
      </c>
      <c r="X278">
        <v>144.89353942871094</v>
      </c>
      <c r="Y278">
        <v>114.82777404785156</v>
      </c>
      <c r="Z278">
        <v>8.2653537392616272E-2</v>
      </c>
    </row>
    <row r="279" spans="1:26" x14ac:dyDescent="0.2">
      <c r="A279" s="1">
        <v>34001</v>
      </c>
      <c r="B279" s="1">
        <v>34028</v>
      </c>
      <c r="C279">
        <v>52.7</v>
      </c>
      <c r="D279">
        <v>0.69569999999999999</v>
      </c>
      <c r="E279">
        <v>30.901037575191001</v>
      </c>
      <c r="G279">
        <v>29.1</v>
      </c>
      <c r="H279">
        <v>31</v>
      </c>
      <c r="I279">
        <v>18.5</v>
      </c>
      <c r="J279">
        <v>3.61</v>
      </c>
      <c r="K279">
        <v>5.75</v>
      </c>
      <c r="L279">
        <v>3.0271428571428585</v>
      </c>
      <c r="M279">
        <f t="shared" si="8"/>
        <v>2.7228571428571415</v>
      </c>
      <c r="O279">
        <v>4.0984210526315801</v>
      </c>
      <c r="Q279">
        <v>7.98</v>
      </c>
      <c r="R279">
        <v>6.2589473684210537</v>
      </c>
      <c r="S279">
        <f t="shared" si="7"/>
        <v>1.7210526315789467</v>
      </c>
      <c r="T279">
        <v>13.721578947368419</v>
      </c>
      <c r="W279">
        <v>90.468063354492188</v>
      </c>
      <c r="X279">
        <v>105.26100158691406</v>
      </c>
      <c r="Y279">
        <v>64.637405395507812</v>
      </c>
      <c r="Z279">
        <v>5.2689023315906525E-2</v>
      </c>
    </row>
    <row r="280" spans="1:26" x14ac:dyDescent="0.2">
      <c r="A280" s="1">
        <v>34029</v>
      </c>
      <c r="B280" s="1">
        <v>34059</v>
      </c>
      <c r="C280">
        <v>52.9</v>
      </c>
      <c r="D280">
        <v>0.70579999999999998</v>
      </c>
      <c r="E280">
        <v>30.177571718933301</v>
      </c>
      <c r="G280">
        <v>29.1</v>
      </c>
      <c r="H280">
        <v>31</v>
      </c>
      <c r="I280">
        <v>18.8</v>
      </c>
      <c r="J280">
        <v>3.59</v>
      </c>
      <c r="K280">
        <v>5.5978260869565197</v>
      </c>
      <c r="L280">
        <v>3.0741935483870972</v>
      </c>
      <c r="M280">
        <f t="shared" si="8"/>
        <v>2.5236325385694225</v>
      </c>
      <c r="O280">
        <v>3.9495652173913043</v>
      </c>
      <c r="Q280">
        <v>7.82</v>
      </c>
      <c r="R280">
        <v>5.9752173913043478</v>
      </c>
      <c r="S280">
        <f t="shared" si="7"/>
        <v>1.8447826086956525</v>
      </c>
      <c r="T280">
        <v>13.606086956521736</v>
      </c>
      <c r="W280">
        <v>94.241447448730469</v>
      </c>
      <c r="X280">
        <v>99.9146728515625</v>
      </c>
      <c r="Y280">
        <v>80.288093566894531</v>
      </c>
      <c r="Z280">
        <v>3.0576884746551514E-2</v>
      </c>
    </row>
    <row r="281" spans="1:26" x14ac:dyDescent="0.2">
      <c r="A281" s="1">
        <v>34060</v>
      </c>
      <c r="B281" s="1">
        <v>34089</v>
      </c>
      <c r="C281">
        <v>52.3</v>
      </c>
      <c r="D281">
        <v>0.71160000000000001</v>
      </c>
      <c r="E281">
        <v>29.271830175454699</v>
      </c>
      <c r="G281">
        <v>29.1</v>
      </c>
      <c r="H281">
        <v>31</v>
      </c>
      <c r="I281">
        <v>18.7</v>
      </c>
      <c r="J281">
        <v>3.62</v>
      </c>
      <c r="K281">
        <v>5.25</v>
      </c>
      <c r="L281">
        <v>2.957666666666666</v>
      </c>
      <c r="M281">
        <f t="shared" si="8"/>
        <v>2.292333333333334</v>
      </c>
      <c r="O281">
        <v>3.8376190476190479</v>
      </c>
      <c r="Q281">
        <v>7.55</v>
      </c>
      <c r="R281">
        <v>5.9695238095238086</v>
      </c>
      <c r="S281">
        <f t="shared" si="7"/>
        <v>1.5804761904761913</v>
      </c>
      <c r="T281">
        <v>12.840952380952384</v>
      </c>
      <c r="W281">
        <v>112.72166442871094</v>
      </c>
      <c r="X281">
        <v>144.03901672363281</v>
      </c>
      <c r="Y281">
        <v>72.713912963867188</v>
      </c>
      <c r="Z281">
        <v>2.4273527786135674E-2</v>
      </c>
    </row>
    <row r="282" spans="1:26" x14ac:dyDescent="0.2">
      <c r="A282" s="1">
        <v>34090</v>
      </c>
      <c r="B282" s="1">
        <v>34120</v>
      </c>
      <c r="C282">
        <v>49.4</v>
      </c>
      <c r="D282">
        <v>0.67689999999999995</v>
      </c>
      <c r="E282">
        <v>29.332811243245398</v>
      </c>
      <c r="G282">
        <v>29.1</v>
      </c>
      <c r="H282">
        <v>31</v>
      </c>
      <c r="I282">
        <v>18.5</v>
      </c>
      <c r="J282">
        <v>3.57</v>
      </c>
      <c r="K282">
        <v>5.25</v>
      </c>
      <c r="L282">
        <v>2.9961290322580636</v>
      </c>
      <c r="M282">
        <f t="shared" si="8"/>
        <v>2.2538709677419364</v>
      </c>
      <c r="O282">
        <v>3.9769999999999994</v>
      </c>
      <c r="Q282">
        <v>7.71</v>
      </c>
      <c r="R282">
        <v>6.0354999999999999</v>
      </c>
      <c r="S282">
        <f t="shared" si="7"/>
        <v>1.6745000000000001</v>
      </c>
      <c r="T282">
        <v>13.606</v>
      </c>
      <c r="W282">
        <v>110.72975158691406</v>
      </c>
      <c r="X282">
        <v>137.38629150390625</v>
      </c>
      <c r="Y282">
        <v>77.883865356445312</v>
      </c>
      <c r="Z282">
        <v>5.4896041750907898E-2</v>
      </c>
    </row>
    <row r="283" spans="1:26" x14ac:dyDescent="0.2">
      <c r="A283" s="1">
        <v>34121</v>
      </c>
      <c r="B283" s="1">
        <v>34150</v>
      </c>
      <c r="C283">
        <v>49.5</v>
      </c>
      <c r="D283">
        <v>0.67220000000000002</v>
      </c>
      <c r="E283">
        <v>29.173134629004899</v>
      </c>
      <c r="G283">
        <v>29.1</v>
      </c>
      <c r="H283">
        <v>31</v>
      </c>
      <c r="I283">
        <v>17.7</v>
      </c>
      <c r="J283">
        <v>3.54</v>
      </c>
      <c r="K283">
        <v>5.25</v>
      </c>
      <c r="L283">
        <v>3.0379999999999989</v>
      </c>
      <c r="M283">
        <f t="shared" si="8"/>
        <v>2.2120000000000011</v>
      </c>
      <c r="O283">
        <v>4.163636363636364</v>
      </c>
      <c r="Q283">
        <v>7.37</v>
      </c>
      <c r="R283">
        <v>5.962727272727272</v>
      </c>
      <c r="S283">
        <f t="shared" si="7"/>
        <v>1.4072727272727281</v>
      </c>
      <c r="T283">
        <v>12.52409090909091</v>
      </c>
      <c r="W283">
        <v>104.19525146484375</v>
      </c>
      <c r="X283">
        <v>125.46405029296875</v>
      </c>
      <c r="Y283">
        <v>73.332115173339844</v>
      </c>
      <c r="Z283">
        <v>3.1079495325684547E-2</v>
      </c>
    </row>
    <row r="284" spans="1:26" x14ac:dyDescent="0.2">
      <c r="A284" s="1">
        <v>34151</v>
      </c>
      <c r="B284" s="1">
        <v>34181</v>
      </c>
      <c r="C284">
        <v>50.9</v>
      </c>
      <c r="D284">
        <v>0.68340000000000001</v>
      </c>
      <c r="E284">
        <v>30.068844893413502</v>
      </c>
      <c r="G284">
        <v>29.1</v>
      </c>
      <c r="H284">
        <v>31</v>
      </c>
      <c r="I284">
        <v>16.8</v>
      </c>
      <c r="J284">
        <v>3.54</v>
      </c>
      <c r="K284">
        <v>5.2272727272727302</v>
      </c>
      <c r="L284">
        <v>3.0554838709677421</v>
      </c>
      <c r="M284">
        <f t="shared" si="8"/>
        <v>2.1717888563049881</v>
      </c>
      <c r="O284">
        <v>4.0719047619047624</v>
      </c>
      <c r="Q284">
        <v>6.88</v>
      </c>
      <c r="R284">
        <v>5.8052380952380966</v>
      </c>
      <c r="S284">
        <f t="shared" si="7"/>
        <v>1.0747619047619033</v>
      </c>
      <c r="T284">
        <v>11.50047619047619</v>
      </c>
      <c r="W284">
        <v>123.31478881835938</v>
      </c>
      <c r="X284">
        <v>131.75840759277344</v>
      </c>
      <c r="Y284">
        <v>107.0821533203125</v>
      </c>
      <c r="Z284">
        <v>5.350073054432869E-2</v>
      </c>
    </row>
    <row r="285" spans="1:26" x14ac:dyDescent="0.2">
      <c r="A285" s="1">
        <v>34182</v>
      </c>
      <c r="B285" s="1">
        <v>34212</v>
      </c>
      <c r="C285">
        <v>49.3</v>
      </c>
      <c r="D285">
        <v>0.67079999999999995</v>
      </c>
      <c r="E285">
        <v>29.518015132749699</v>
      </c>
      <c r="G285">
        <v>29.1</v>
      </c>
      <c r="H285">
        <v>31</v>
      </c>
      <c r="I285">
        <v>16.7</v>
      </c>
      <c r="J285">
        <v>3.49</v>
      </c>
      <c r="K285">
        <v>4.75</v>
      </c>
      <c r="L285">
        <v>3.032258064516129</v>
      </c>
      <c r="M285">
        <f t="shared" si="8"/>
        <v>1.717741935483871</v>
      </c>
      <c r="O285">
        <v>4.001363636363636</v>
      </c>
      <c r="Q285">
        <v>6.64</v>
      </c>
      <c r="R285">
        <v>5.6777272727272736</v>
      </c>
      <c r="S285">
        <f t="shared" si="7"/>
        <v>0.96227272727272606</v>
      </c>
      <c r="T285">
        <v>11.928636363636365</v>
      </c>
      <c r="W285">
        <v>97.241676330566406</v>
      </c>
      <c r="X285">
        <v>97.085624694824219</v>
      </c>
      <c r="Y285">
        <v>94.735572814941406</v>
      </c>
      <c r="Z285">
        <v>3.7060372531414032E-2</v>
      </c>
    </row>
    <row r="286" spans="1:26" x14ac:dyDescent="0.2">
      <c r="A286" s="1">
        <v>34213</v>
      </c>
      <c r="B286" s="1">
        <v>34242</v>
      </c>
      <c r="C286">
        <v>47.3</v>
      </c>
      <c r="D286">
        <v>0.64529999999999998</v>
      </c>
      <c r="E286">
        <v>28.533838443350799</v>
      </c>
      <c r="G286">
        <v>29.1</v>
      </c>
      <c r="H286">
        <v>31</v>
      </c>
      <c r="I286">
        <v>16</v>
      </c>
      <c r="J286">
        <v>3.48</v>
      </c>
      <c r="K286">
        <v>4.75</v>
      </c>
      <c r="L286">
        <v>3.0863333333333327</v>
      </c>
      <c r="M286">
        <f t="shared" si="8"/>
        <v>1.6636666666666673</v>
      </c>
      <c r="O286">
        <v>3.8471428571428583</v>
      </c>
      <c r="Q286">
        <v>6.84</v>
      </c>
      <c r="R286">
        <v>5.36</v>
      </c>
      <c r="S286">
        <f t="shared" si="7"/>
        <v>1.4799999999999995</v>
      </c>
      <c r="T286">
        <v>12.931428571428574</v>
      </c>
      <c r="W286">
        <v>89.164779663085938</v>
      </c>
      <c r="X286">
        <v>97.456596374511719</v>
      </c>
      <c r="Y286">
        <v>76.930183410644531</v>
      </c>
      <c r="Z286">
        <v>4.8879269510507584E-2</v>
      </c>
    </row>
    <row r="287" spans="1:26" x14ac:dyDescent="0.2">
      <c r="A287" s="1">
        <v>34243</v>
      </c>
      <c r="B287" s="1">
        <v>34273</v>
      </c>
      <c r="C287">
        <v>49.4</v>
      </c>
      <c r="D287">
        <v>0.66610000000000003</v>
      </c>
      <c r="E287">
        <v>28.816601092864001</v>
      </c>
      <c r="G287">
        <v>29.1</v>
      </c>
      <c r="H287">
        <v>31</v>
      </c>
      <c r="I287">
        <v>16.600000000000001</v>
      </c>
      <c r="J287">
        <v>3.39</v>
      </c>
      <c r="K287">
        <v>4.75</v>
      </c>
      <c r="L287">
        <v>2.9925806451612909</v>
      </c>
      <c r="M287">
        <f t="shared" si="8"/>
        <v>1.7574193548387091</v>
      </c>
      <c r="O287">
        <v>3.8744999999999998</v>
      </c>
      <c r="Q287">
        <v>6.49</v>
      </c>
      <c r="R287">
        <v>5.3339999999999987</v>
      </c>
      <c r="S287">
        <f t="shared" si="7"/>
        <v>1.1560000000000015</v>
      </c>
      <c r="T287">
        <v>11.875238095238094</v>
      </c>
      <c r="W287">
        <v>106.16590881347656</v>
      </c>
      <c r="X287">
        <v>130.30680847167969</v>
      </c>
      <c r="Y287">
        <v>65.223770141601562</v>
      </c>
      <c r="Z287">
        <v>2.5783995166420937E-2</v>
      </c>
    </row>
    <row r="288" spans="1:26" x14ac:dyDescent="0.2">
      <c r="A288" s="1">
        <v>34274</v>
      </c>
      <c r="B288" s="1">
        <v>34303</v>
      </c>
      <c r="C288">
        <v>49.1</v>
      </c>
      <c r="D288">
        <v>0.65859999999999996</v>
      </c>
      <c r="E288">
        <v>29.2000501602339</v>
      </c>
      <c r="G288">
        <v>29.1</v>
      </c>
      <c r="H288">
        <v>31</v>
      </c>
      <c r="I288">
        <v>15.2</v>
      </c>
      <c r="J288">
        <v>3.36</v>
      </c>
      <c r="K288">
        <v>4.75</v>
      </c>
      <c r="L288">
        <v>3.0180000000000002</v>
      </c>
      <c r="M288">
        <f t="shared" si="8"/>
        <v>1.7319999999999998</v>
      </c>
      <c r="O288">
        <v>4.1555</v>
      </c>
      <c r="Q288">
        <v>6.81</v>
      </c>
      <c r="R288">
        <v>5.7240000000000011</v>
      </c>
      <c r="S288">
        <f t="shared" si="7"/>
        <v>1.0859999999999985</v>
      </c>
      <c r="T288">
        <v>14.083809523809524</v>
      </c>
      <c r="W288">
        <v>83.480178833007812</v>
      </c>
      <c r="X288">
        <v>105.13095855712891</v>
      </c>
      <c r="Y288">
        <v>51.355937957763672</v>
      </c>
      <c r="Z288">
        <v>3.3836368471384048E-2</v>
      </c>
    </row>
    <row r="289" spans="1:26" x14ac:dyDescent="0.2">
      <c r="A289" s="1">
        <v>34304</v>
      </c>
      <c r="B289" s="1">
        <v>34334</v>
      </c>
      <c r="C289">
        <v>50.8</v>
      </c>
      <c r="D289">
        <v>0.67110000000000003</v>
      </c>
      <c r="E289">
        <v>29.840388858035201</v>
      </c>
      <c r="G289">
        <v>29.1</v>
      </c>
      <c r="H289">
        <v>31</v>
      </c>
      <c r="I289">
        <v>13.6</v>
      </c>
      <c r="J289">
        <v>3.25</v>
      </c>
      <c r="K289">
        <v>4.75</v>
      </c>
      <c r="L289">
        <v>2.9551612903225801</v>
      </c>
      <c r="M289">
        <f t="shared" si="8"/>
        <v>1.7948387096774199</v>
      </c>
      <c r="O289">
        <v>4.2122727272727287</v>
      </c>
      <c r="Q289">
        <v>6.68</v>
      </c>
      <c r="R289">
        <v>5.7740909090909085</v>
      </c>
      <c r="S289">
        <f t="shared" si="7"/>
        <v>0.90590909090909122</v>
      </c>
      <c r="T289">
        <v>11.356363636363637</v>
      </c>
      <c r="W289">
        <v>79.551795959472656</v>
      </c>
      <c r="X289">
        <v>97.065681457519531</v>
      </c>
      <c r="Y289">
        <v>50.134674072265625</v>
      </c>
      <c r="Z289">
        <v>1.0557804256677628E-2</v>
      </c>
    </row>
    <row r="290" spans="1:26" x14ac:dyDescent="0.2">
      <c r="A290" s="1">
        <v>34335</v>
      </c>
      <c r="B290" s="1">
        <v>34365</v>
      </c>
      <c r="C290">
        <v>54</v>
      </c>
      <c r="D290">
        <v>0.71120000000000005</v>
      </c>
      <c r="E290">
        <v>30.778052429562901</v>
      </c>
      <c r="G290">
        <v>26.5</v>
      </c>
      <c r="H290">
        <v>31</v>
      </c>
      <c r="I290">
        <v>14.3</v>
      </c>
      <c r="J290">
        <v>3.12</v>
      </c>
      <c r="K290">
        <v>4.75</v>
      </c>
      <c r="L290">
        <v>3.050645161290324</v>
      </c>
      <c r="M290">
        <f t="shared" si="8"/>
        <v>1.699354838709676</v>
      </c>
      <c r="O290">
        <v>4.1399999999999997</v>
      </c>
      <c r="Q290">
        <v>6.36</v>
      </c>
      <c r="R290">
        <v>5.7505000000000006</v>
      </c>
      <c r="S290">
        <f t="shared" si="7"/>
        <v>0.60949999999999971</v>
      </c>
      <c r="T290">
        <v>11.290476190476189</v>
      </c>
      <c r="W290">
        <v>83.489974975585938</v>
      </c>
      <c r="X290">
        <v>93.091835021972656</v>
      </c>
      <c r="Y290">
        <v>65.270423889160156</v>
      </c>
      <c r="Z290">
        <v>4.0996208786964417E-2</v>
      </c>
    </row>
    <row r="291" spans="1:26" x14ac:dyDescent="0.2">
      <c r="A291" s="1">
        <v>34366</v>
      </c>
      <c r="B291" s="1">
        <v>34393</v>
      </c>
      <c r="C291">
        <v>53.6</v>
      </c>
      <c r="D291">
        <v>0.71779999999999999</v>
      </c>
      <c r="E291">
        <v>30.9283671246409</v>
      </c>
      <c r="G291">
        <v>26.5</v>
      </c>
      <c r="H291">
        <v>31</v>
      </c>
      <c r="I291">
        <v>13.8</v>
      </c>
      <c r="J291">
        <v>3.19</v>
      </c>
      <c r="K291">
        <v>4.75</v>
      </c>
      <c r="L291">
        <v>3.2450000000000001</v>
      </c>
      <c r="M291">
        <f t="shared" si="8"/>
        <v>1.5049999999999999</v>
      </c>
      <c r="O291">
        <v>4.4742105263157894</v>
      </c>
      <c r="Q291">
        <v>7.05</v>
      </c>
      <c r="R291">
        <v>5.9731578947368416</v>
      </c>
      <c r="S291">
        <f t="shared" si="7"/>
        <v>1.0768421052631583</v>
      </c>
      <c r="T291">
        <v>13.64421052631579</v>
      </c>
      <c r="W291">
        <v>117.2420654296875</v>
      </c>
      <c r="X291">
        <v>148.14723205566406</v>
      </c>
      <c r="Y291">
        <v>76.488105773925781</v>
      </c>
      <c r="Z291">
        <v>3.2933253794908524E-2</v>
      </c>
    </row>
    <row r="292" spans="1:26" x14ac:dyDescent="0.2">
      <c r="A292" s="1">
        <v>34394</v>
      </c>
      <c r="B292" s="1">
        <v>34424</v>
      </c>
      <c r="C292">
        <v>52.1</v>
      </c>
      <c r="D292">
        <v>0.70079999999999998</v>
      </c>
      <c r="E292">
        <v>30.514799437901999</v>
      </c>
      <c r="G292">
        <v>26.5</v>
      </c>
      <c r="H292">
        <v>29.5</v>
      </c>
      <c r="I292">
        <v>14</v>
      </c>
      <c r="J292">
        <v>3.15</v>
      </c>
      <c r="K292">
        <v>4.75</v>
      </c>
      <c r="L292">
        <v>3.3358064516129029</v>
      </c>
      <c r="M292">
        <f t="shared" si="8"/>
        <v>1.4141935483870971</v>
      </c>
      <c r="O292">
        <v>4.9952173913043483</v>
      </c>
      <c r="Q292">
        <v>7.95</v>
      </c>
      <c r="R292">
        <v>6.4826086956521749</v>
      </c>
      <c r="S292">
        <f t="shared" si="7"/>
        <v>1.4673913043478253</v>
      </c>
      <c r="T292">
        <v>15.223478260869562</v>
      </c>
      <c r="W292">
        <v>93.474037170410156</v>
      </c>
      <c r="X292">
        <v>98.562347412109375</v>
      </c>
      <c r="Y292">
        <v>79.419532775878906</v>
      </c>
      <c r="Z292">
        <v>3.9768021553754807E-2</v>
      </c>
    </row>
    <row r="293" spans="1:26" x14ac:dyDescent="0.2">
      <c r="A293" s="1">
        <v>34425</v>
      </c>
      <c r="B293" s="1">
        <v>34454</v>
      </c>
      <c r="C293">
        <v>52.6</v>
      </c>
      <c r="D293">
        <v>0.71240000000000003</v>
      </c>
      <c r="E293">
        <v>29.985985158445899</v>
      </c>
      <c r="G293">
        <v>26.5</v>
      </c>
      <c r="H293">
        <v>29.5</v>
      </c>
      <c r="I293">
        <v>15.2</v>
      </c>
      <c r="J293">
        <v>3.07</v>
      </c>
      <c r="K293">
        <v>4.75</v>
      </c>
      <c r="L293">
        <v>3.5550000000000006</v>
      </c>
      <c r="M293">
        <f t="shared" si="8"/>
        <v>1.1949999999999994</v>
      </c>
      <c r="O293">
        <v>5.5494736842105281</v>
      </c>
      <c r="Q293">
        <v>8.44</v>
      </c>
      <c r="R293">
        <v>6.9721052631578928</v>
      </c>
      <c r="S293">
        <f t="shared" si="7"/>
        <v>1.4678947368421067</v>
      </c>
      <c r="T293">
        <v>16.471052631578946</v>
      </c>
      <c r="W293">
        <v>95.356971740722656</v>
      </c>
      <c r="X293">
        <v>116.44586181640625</v>
      </c>
      <c r="Y293">
        <v>68.708938598632812</v>
      </c>
      <c r="Z293">
        <v>3.127714991569519E-2</v>
      </c>
    </row>
    <row r="294" spans="1:26" x14ac:dyDescent="0.2">
      <c r="A294" s="1">
        <v>34455</v>
      </c>
      <c r="B294" s="1">
        <v>34485</v>
      </c>
      <c r="C294">
        <v>54.6</v>
      </c>
      <c r="D294">
        <v>0.73609999999999998</v>
      </c>
      <c r="E294">
        <v>29.974429780048901</v>
      </c>
      <c r="G294">
        <v>26.5</v>
      </c>
      <c r="H294">
        <v>31.4</v>
      </c>
      <c r="I294">
        <v>16.2</v>
      </c>
      <c r="J294">
        <v>3.06</v>
      </c>
      <c r="K294">
        <v>4.75</v>
      </c>
      <c r="L294">
        <v>4.0109677419354837</v>
      </c>
      <c r="M294">
        <f t="shared" si="8"/>
        <v>0.73903225806451633</v>
      </c>
      <c r="O294">
        <v>5.9680952380952377</v>
      </c>
      <c r="Q294">
        <v>8.7899999999999991</v>
      </c>
      <c r="R294">
        <v>7.1833333333333327</v>
      </c>
      <c r="S294">
        <f t="shared" si="7"/>
        <v>1.6066666666666665</v>
      </c>
      <c r="T294">
        <v>13.897142857142859</v>
      </c>
      <c r="W294">
        <v>104.46678924560547</v>
      </c>
      <c r="X294">
        <v>122.97669982910156</v>
      </c>
      <c r="Y294">
        <v>73.906204223632812</v>
      </c>
      <c r="Z294">
        <v>5.3504548966884613E-2</v>
      </c>
    </row>
    <row r="295" spans="1:26" x14ac:dyDescent="0.2">
      <c r="A295" s="1">
        <v>34486</v>
      </c>
      <c r="B295" s="1">
        <v>34515</v>
      </c>
      <c r="C295">
        <v>53</v>
      </c>
      <c r="D295">
        <v>0.72909999999999997</v>
      </c>
      <c r="E295">
        <v>30.067272241855299</v>
      </c>
      <c r="G295">
        <v>26.5</v>
      </c>
      <c r="H295">
        <v>33.6</v>
      </c>
      <c r="I295">
        <v>16.8</v>
      </c>
      <c r="J295">
        <v>3.1</v>
      </c>
      <c r="K295">
        <v>4.75</v>
      </c>
      <c r="L295">
        <v>4.2456666666666667</v>
      </c>
      <c r="M295">
        <f t="shared" si="8"/>
        <v>0.5043333333333333</v>
      </c>
      <c r="O295">
        <v>5.9313636363636366</v>
      </c>
      <c r="Q295">
        <v>9.6300000000000008</v>
      </c>
      <c r="R295">
        <v>7.1013636363636348</v>
      </c>
      <c r="S295">
        <f t="shared" si="7"/>
        <v>2.528636363636366</v>
      </c>
      <c r="T295">
        <v>13.408636363636367</v>
      </c>
      <c r="W295">
        <v>120.35224151611328</v>
      </c>
      <c r="X295">
        <v>148.29606628417969</v>
      </c>
      <c r="Y295">
        <v>79.949851989746094</v>
      </c>
      <c r="Z295">
        <v>3.0620576813817024E-2</v>
      </c>
    </row>
    <row r="296" spans="1:26" x14ac:dyDescent="0.2">
      <c r="A296" s="1">
        <v>34516</v>
      </c>
      <c r="B296" s="1">
        <v>34546</v>
      </c>
      <c r="C296">
        <v>53.9</v>
      </c>
      <c r="D296">
        <v>0.73929999999999996</v>
      </c>
      <c r="E296">
        <v>29.647971397840902</v>
      </c>
      <c r="G296">
        <v>26.5</v>
      </c>
      <c r="H296">
        <v>33.1</v>
      </c>
      <c r="I296">
        <v>17.600000000000001</v>
      </c>
      <c r="J296">
        <v>3.14</v>
      </c>
      <c r="K296">
        <v>4.75</v>
      </c>
      <c r="L296">
        <v>4.2561290322580652</v>
      </c>
      <c r="M296">
        <f t="shared" si="8"/>
        <v>0.49387096774193484</v>
      </c>
      <c r="O296">
        <v>6.129999999999999</v>
      </c>
      <c r="Q296">
        <v>9.57</v>
      </c>
      <c r="R296">
        <v>7.298</v>
      </c>
      <c r="S296">
        <f t="shared" si="7"/>
        <v>2.2720000000000002</v>
      </c>
      <c r="T296">
        <v>12.484500000000001</v>
      </c>
      <c r="W296">
        <v>99.640235900878906</v>
      </c>
      <c r="X296">
        <v>115.40325927734375</v>
      </c>
      <c r="Y296">
        <v>75.470878601074219</v>
      </c>
      <c r="Z296">
        <v>2.4269320070743561E-2</v>
      </c>
    </row>
    <row r="297" spans="1:26" x14ac:dyDescent="0.2">
      <c r="A297" s="1">
        <v>34547</v>
      </c>
      <c r="B297" s="1">
        <v>34577</v>
      </c>
      <c r="C297">
        <v>53.9</v>
      </c>
      <c r="D297">
        <v>0.74250000000000005</v>
      </c>
      <c r="E297">
        <v>29.743848872678299</v>
      </c>
      <c r="G297">
        <v>26.5</v>
      </c>
      <c r="H297">
        <v>33.1</v>
      </c>
      <c r="I297">
        <v>16.8</v>
      </c>
      <c r="J297">
        <v>3.24</v>
      </c>
      <c r="K297">
        <v>5.1086956521739104</v>
      </c>
      <c r="L297">
        <v>4.4745161290322564</v>
      </c>
      <c r="M297">
        <f t="shared" si="8"/>
        <v>0.63417952314165404</v>
      </c>
      <c r="O297">
        <v>6.1773913043478252</v>
      </c>
      <c r="Q297">
        <v>9.36</v>
      </c>
      <c r="R297">
        <v>7.2360869565217394</v>
      </c>
      <c r="S297">
        <f t="shared" si="7"/>
        <v>2.12391304347826</v>
      </c>
      <c r="T297">
        <v>11.889130434782608</v>
      </c>
      <c r="W297">
        <v>98.227027893066406</v>
      </c>
      <c r="X297">
        <v>122.92201232910156</v>
      </c>
      <c r="Y297">
        <v>66.640151977539062</v>
      </c>
      <c r="Z297">
        <v>6.0562878847122192E-2</v>
      </c>
    </row>
    <row r="298" spans="1:26" x14ac:dyDescent="0.2">
      <c r="A298" s="1">
        <v>34578</v>
      </c>
      <c r="B298" s="1">
        <v>34607</v>
      </c>
      <c r="C298">
        <v>53.4</v>
      </c>
      <c r="D298">
        <v>0.73929999999999996</v>
      </c>
      <c r="E298">
        <v>30.3001063020521</v>
      </c>
      <c r="G298">
        <v>26.5</v>
      </c>
      <c r="H298">
        <v>33.1</v>
      </c>
      <c r="I298">
        <v>15.9</v>
      </c>
      <c r="J298">
        <v>3.28</v>
      </c>
      <c r="K298">
        <v>5.5</v>
      </c>
      <c r="L298">
        <v>4.7336666666666671</v>
      </c>
      <c r="M298">
        <f t="shared" si="8"/>
        <v>0.76633333333333287</v>
      </c>
      <c r="O298">
        <v>6.3923809523809512</v>
      </c>
      <c r="Q298">
        <v>10.33</v>
      </c>
      <c r="R298">
        <v>7.4571428571428555</v>
      </c>
      <c r="S298">
        <f t="shared" si="7"/>
        <v>2.8728571428571446</v>
      </c>
      <c r="T298">
        <v>13.233333333333333</v>
      </c>
      <c r="W298">
        <v>98.898483276367188</v>
      </c>
      <c r="X298">
        <v>131.31796264648438</v>
      </c>
      <c r="Y298">
        <v>51.336830139160156</v>
      </c>
      <c r="Z298">
        <v>3.3823776990175247E-2</v>
      </c>
    </row>
    <row r="299" spans="1:26" x14ac:dyDescent="0.2">
      <c r="A299" s="1">
        <v>34608</v>
      </c>
      <c r="B299" s="1">
        <v>34638</v>
      </c>
      <c r="C299">
        <v>53.1</v>
      </c>
      <c r="D299">
        <v>0.74219999999999997</v>
      </c>
      <c r="E299">
        <v>29.976019733699399</v>
      </c>
      <c r="G299">
        <v>26.5</v>
      </c>
      <c r="H299">
        <v>33.1</v>
      </c>
      <c r="I299">
        <v>16.399999999999999</v>
      </c>
      <c r="J299">
        <v>3.26</v>
      </c>
      <c r="K299">
        <v>5.78571428571429</v>
      </c>
      <c r="L299">
        <v>4.7599999999999989</v>
      </c>
      <c r="M299">
        <f t="shared" si="8"/>
        <v>1.0257142857142911</v>
      </c>
      <c r="O299">
        <v>6.7285000000000013</v>
      </c>
      <c r="Q299">
        <v>10.51</v>
      </c>
      <c r="R299">
        <v>7.7439999999999998</v>
      </c>
      <c r="S299">
        <f t="shared" si="7"/>
        <v>2.766</v>
      </c>
      <c r="T299">
        <v>15.245238095238097</v>
      </c>
      <c r="W299">
        <v>94.853630065917969</v>
      </c>
      <c r="X299">
        <v>118.89933776855469</v>
      </c>
      <c r="Y299">
        <v>64.505691528320312</v>
      </c>
      <c r="Z299">
        <v>5.8727569878101349E-2</v>
      </c>
    </row>
    <row r="300" spans="1:26" x14ac:dyDescent="0.2">
      <c r="A300" s="1">
        <v>34639</v>
      </c>
      <c r="B300" s="1">
        <v>34668</v>
      </c>
      <c r="C300">
        <v>55.5</v>
      </c>
      <c r="D300">
        <v>0.76739999999999997</v>
      </c>
      <c r="E300">
        <v>30.825677207020799</v>
      </c>
      <c r="G300">
        <v>26.5</v>
      </c>
      <c r="H300">
        <v>33.1</v>
      </c>
      <c r="I300">
        <v>17.2</v>
      </c>
      <c r="J300">
        <v>3.26</v>
      </c>
      <c r="K300">
        <v>6.5</v>
      </c>
      <c r="L300">
        <v>5.2946666666666671</v>
      </c>
      <c r="M300">
        <f t="shared" si="8"/>
        <v>1.2053333333333329</v>
      </c>
      <c r="O300">
        <v>7.1485000000000003</v>
      </c>
      <c r="Q300">
        <v>10.47</v>
      </c>
      <c r="R300">
        <v>7.9550000000000001</v>
      </c>
      <c r="S300">
        <f t="shared" si="7"/>
        <v>2.5150000000000006</v>
      </c>
      <c r="T300">
        <v>16.383809523809521</v>
      </c>
      <c r="W300">
        <v>86.529808044433594</v>
      </c>
      <c r="X300">
        <v>100.79308319091797</v>
      </c>
      <c r="Y300">
        <v>70.689460754394531</v>
      </c>
      <c r="Z300">
        <v>7.3354758322238922E-2</v>
      </c>
    </row>
    <row r="301" spans="1:26" x14ac:dyDescent="0.2">
      <c r="A301" s="1">
        <v>34669</v>
      </c>
      <c r="B301" s="1">
        <v>34699</v>
      </c>
      <c r="C301">
        <v>56.2</v>
      </c>
      <c r="D301">
        <v>0.77680000000000005</v>
      </c>
      <c r="E301">
        <v>31.640938234655199</v>
      </c>
      <c r="G301">
        <v>26.5</v>
      </c>
      <c r="H301">
        <v>36.1</v>
      </c>
      <c r="I301">
        <v>16</v>
      </c>
      <c r="J301">
        <v>3.29</v>
      </c>
      <c r="K301">
        <v>7.05</v>
      </c>
      <c r="L301">
        <v>5.4532258064516119</v>
      </c>
      <c r="M301">
        <f t="shared" si="8"/>
        <v>1.5967741935483879</v>
      </c>
      <c r="O301">
        <v>7.5895238095238096</v>
      </c>
      <c r="Q301">
        <v>10.039999999999999</v>
      </c>
      <c r="R301">
        <v>7.8138095238095238</v>
      </c>
      <c r="S301">
        <f t="shared" si="7"/>
        <v>2.2261904761904754</v>
      </c>
      <c r="T301">
        <v>14.177142857142856</v>
      </c>
      <c r="W301">
        <v>96.047500610351562</v>
      </c>
      <c r="X301">
        <v>107.74173736572266</v>
      </c>
      <c r="Y301">
        <v>81.616096496582031</v>
      </c>
      <c r="Z301">
        <v>1.4173842035233974E-2</v>
      </c>
    </row>
    <row r="302" spans="1:26" x14ac:dyDescent="0.2">
      <c r="A302" s="1">
        <v>34700</v>
      </c>
      <c r="B302" s="1">
        <v>34730</v>
      </c>
      <c r="C302">
        <v>54.5</v>
      </c>
      <c r="D302">
        <v>0.75829999999999997</v>
      </c>
      <c r="E302">
        <v>32.000502308974099</v>
      </c>
      <c r="G302">
        <v>28.4</v>
      </c>
      <c r="H302">
        <v>37.1</v>
      </c>
      <c r="I302">
        <v>16.600000000000001</v>
      </c>
      <c r="J302">
        <v>3.36</v>
      </c>
      <c r="K302">
        <v>7.5</v>
      </c>
      <c r="L302">
        <v>5.5274193548387087</v>
      </c>
      <c r="M302">
        <f t="shared" si="8"/>
        <v>1.9725806451612913</v>
      </c>
      <c r="N302">
        <v>10.201999999999998</v>
      </c>
      <c r="O302">
        <v>7.5069999999999979</v>
      </c>
      <c r="P302">
        <f>N302-O302</f>
        <v>2.6950000000000003</v>
      </c>
      <c r="Q302">
        <v>10.3345</v>
      </c>
      <c r="R302">
        <v>7.7794999999999987</v>
      </c>
      <c r="S302">
        <f t="shared" si="7"/>
        <v>2.5550000000000015</v>
      </c>
      <c r="T302">
        <v>12.274285714285714</v>
      </c>
      <c r="W302">
        <v>80.154678344726562</v>
      </c>
      <c r="X302">
        <v>84.899139404296875</v>
      </c>
      <c r="Y302">
        <v>70.477058410644531</v>
      </c>
      <c r="Z302">
        <v>4.4112782925367355E-2</v>
      </c>
    </row>
    <row r="303" spans="1:26" x14ac:dyDescent="0.2">
      <c r="A303" s="1">
        <v>34731</v>
      </c>
      <c r="B303" s="1">
        <v>34758</v>
      </c>
      <c r="C303">
        <v>52.9</v>
      </c>
      <c r="D303">
        <v>0.73950000000000005</v>
      </c>
      <c r="E303">
        <v>31.056984435821299</v>
      </c>
      <c r="G303">
        <v>28.4</v>
      </c>
      <c r="H303">
        <v>37.6</v>
      </c>
      <c r="I303">
        <v>17.100000000000001</v>
      </c>
      <c r="J303">
        <v>3.4</v>
      </c>
      <c r="K303">
        <v>7.5</v>
      </c>
      <c r="L303">
        <v>5.9153571428571441</v>
      </c>
      <c r="M303">
        <f t="shared" si="8"/>
        <v>1.5846428571428559</v>
      </c>
      <c r="N303">
        <v>9.5605000000000011</v>
      </c>
      <c r="O303">
        <v>7.1115789473684217</v>
      </c>
      <c r="P303">
        <f t="shared" ref="P303:P366" si="9">N303-O303</f>
        <v>2.4489210526315794</v>
      </c>
      <c r="Q303">
        <v>10.146500000000001</v>
      </c>
      <c r="R303">
        <v>7.4694736842105272</v>
      </c>
      <c r="S303">
        <f t="shared" si="7"/>
        <v>2.6770263157894743</v>
      </c>
      <c r="T303">
        <v>11.47</v>
      </c>
      <c r="W303">
        <v>76.875328063964844</v>
      </c>
      <c r="X303">
        <v>72.594070434570312</v>
      </c>
      <c r="Y303">
        <v>77.14599609375</v>
      </c>
      <c r="Z303">
        <v>2.7973145246505737E-2</v>
      </c>
    </row>
    <row r="304" spans="1:26" x14ac:dyDescent="0.2">
      <c r="A304" s="1">
        <v>34759</v>
      </c>
      <c r="B304" s="1">
        <v>34789</v>
      </c>
      <c r="C304">
        <v>50.7</v>
      </c>
      <c r="D304">
        <v>0.72799999999999998</v>
      </c>
      <c r="E304">
        <v>29.824455262960001</v>
      </c>
      <c r="G304">
        <v>28.4</v>
      </c>
      <c r="H304">
        <v>38.4</v>
      </c>
      <c r="I304">
        <v>17</v>
      </c>
      <c r="J304">
        <v>3.46</v>
      </c>
      <c r="K304">
        <v>7.5</v>
      </c>
      <c r="L304">
        <v>5.9764516129032259</v>
      </c>
      <c r="M304">
        <f t="shared" si="8"/>
        <v>1.5235483870967741</v>
      </c>
      <c r="N304">
        <v>9.3699999999999992</v>
      </c>
      <c r="O304">
        <v>6.7756521739130422</v>
      </c>
      <c r="P304">
        <f t="shared" si="9"/>
        <v>2.594347826086957</v>
      </c>
      <c r="Q304">
        <v>10.137826086956521</v>
      </c>
      <c r="R304">
        <v>7.204782608695651</v>
      </c>
      <c r="S304">
        <f t="shared" si="7"/>
        <v>2.9330434782608696</v>
      </c>
      <c r="T304">
        <v>12.166521739130435</v>
      </c>
      <c r="W304">
        <v>82.24444580078125</v>
      </c>
      <c r="X304">
        <v>79.159042358398438</v>
      </c>
      <c r="Y304">
        <v>79.875289916992188</v>
      </c>
      <c r="Z304">
        <v>2.8232637792825699E-2</v>
      </c>
    </row>
    <row r="305" spans="1:26" x14ac:dyDescent="0.2">
      <c r="A305" s="1">
        <v>34790</v>
      </c>
      <c r="B305" s="1">
        <v>34819</v>
      </c>
      <c r="C305">
        <v>49.6</v>
      </c>
      <c r="D305">
        <v>0.72989999999999999</v>
      </c>
      <c r="E305">
        <v>29.274249450479601</v>
      </c>
      <c r="G305">
        <v>28.4</v>
      </c>
      <c r="H305">
        <v>37.1</v>
      </c>
      <c r="I305">
        <v>18.7</v>
      </c>
      <c r="J305">
        <v>3.45</v>
      </c>
      <c r="K305">
        <v>7.5</v>
      </c>
      <c r="L305">
        <v>6.0473333333333326</v>
      </c>
      <c r="M305">
        <f t="shared" si="8"/>
        <v>1.4526666666666674</v>
      </c>
      <c r="N305">
        <v>8.8952941176470581</v>
      </c>
      <c r="O305">
        <v>6.5678947368421037</v>
      </c>
      <c r="P305">
        <f t="shared" si="9"/>
        <v>2.3273993808049545</v>
      </c>
      <c r="Q305">
        <v>9.7988235294117629</v>
      </c>
      <c r="R305">
        <v>7.0626315789473697</v>
      </c>
      <c r="S305">
        <f t="shared" si="7"/>
        <v>2.7361919504643932</v>
      </c>
      <c r="T305">
        <v>12.442631578947369</v>
      </c>
      <c r="W305">
        <v>99.190879821777344</v>
      </c>
      <c r="X305">
        <v>93.92303466796875</v>
      </c>
      <c r="Y305">
        <v>99.147941589355469</v>
      </c>
      <c r="Z305">
        <v>4.0552996098995209E-2</v>
      </c>
    </row>
    <row r="306" spans="1:26" x14ac:dyDescent="0.2">
      <c r="A306" s="1">
        <v>34820</v>
      </c>
      <c r="B306" s="1">
        <v>34850</v>
      </c>
      <c r="C306">
        <v>48.5</v>
      </c>
      <c r="D306">
        <v>0.71379999999999999</v>
      </c>
      <c r="E306">
        <v>29.6912757553179</v>
      </c>
      <c r="G306">
        <v>28.4</v>
      </c>
      <c r="H306">
        <v>38.799999999999997</v>
      </c>
      <c r="I306">
        <v>18.399999999999999</v>
      </c>
      <c r="J306">
        <v>3.53</v>
      </c>
      <c r="K306">
        <v>7.5</v>
      </c>
      <c r="L306">
        <v>6.009032258064515</v>
      </c>
      <c r="M306">
        <f t="shared" si="8"/>
        <v>1.490967741935485</v>
      </c>
      <c r="N306">
        <v>8.1904347826086958</v>
      </c>
      <c r="O306">
        <v>6.1709090909090909</v>
      </c>
      <c r="P306">
        <f t="shared" si="9"/>
        <v>2.0195256916996049</v>
      </c>
      <c r="Q306">
        <v>9.1060869565217395</v>
      </c>
      <c r="R306">
        <v>6.6327272727272719</v>
      </c>
      <c r="S306">
        <f t="shared" si="7"/>
        <v>2.4733596837944676</v>
      </c>
      <c r="T306">
        <v>12.265909090909092</v>
      </c>
      <c r="W306">
        <v>87.842529296875</v>
      </c>
      <c r="X306">
        <v>96.409194946289062</v>
      </c>
      <c r="Y306">
        <v>79.349617004394531</v>
      </c>
      <c r="Z306">
        <v>5.4511755704879761E-2</v>
      </c>
    </row>
    <row r="307" spans="1:26" x14ac:dyDescent="0.2">
      <c r="A307" s="1">
        <v>34851</v>
      </c>
      <c r="B307" s="1">
        <v>34880</v>
      </c>
      <c r="C307">
        <v>48.4</v>
      </c>
      <c r="D307">
        <v>0.70860000000000001</v>
      </c>
      <c r="E307">
        <v>29.921605136871701</v>
      </c>
      <c r="G307">
        <v>28.4</v>
      </c>
      <c r="H307">
        <v>40.799999999999997</v>
      </c>
      <c r="I307">
        <v>17.399999999999999</v>
      </c>
      <c r="J307">
        <v>3.56</v>
      </c>
      <c r="K307">
        <v>7.5</v>
      </c>
      <c r="L307">
        <v>6.0013333333333323</v>
      </c>
      <c r="M307">
        <f t="shared" si="8"/>
        <v>1.4986666666666677</v>
      </c>
      <c r="N307">
        <v>7.6580952380952381</v>
      </c>
      <c r="O307">
        <v>5.7159090909090917</v>
      </c>
      <c r="P307">
        <f t="shared" si="9"/>
        <v>1.9421861471861463</v>
      </c>
      <c r="Q307">
        <v>8.8561904761904771</v>
      </c>
      <c r="R307">
        <v>6.168181818181818</v>
      </c>
      <c r="S307">
        <f t="shared" si="7"/>
        <v>2.6880086580086591</v>
      </c>
      <c r="T307">
        <v>11.896818181818183</v>
      </c>
      <c r="W307">
        <v>104.60775756835938</v>
      </c>
      <c r="X307">
        <v>121.57904815673828</v>
      </c>
      <c r="Y307">
        <v>85.120948791503906</v>
      </c>
      <c r="Z307">
        <v>6.6521301865577698E-2</v>
      </c>
    </row>
    <row r="308" spans="1:26" x14ac:dyDescent="0.2">
      <c r="A308" s="1">
        <v>34881</v>
      </c>
      <c r="B308" s="1">
        <v>34911</v>
      </c>
      <c r="C308">
        <v>51</v>
      </c>
      <c r="D308">
        <v>0.7389</v>
      </c>
      <c r="E308">
        <v>29.996796613866401</v>
      </c>
      <c r="G308">
        <v>28.4</v>
      </c>
      <c r="H308">
        <v>41.1</v>
      </c>
      <c r="I308">
        <v>15.9</v>
      </c>
      <c r="J308">
        <v>3.48</v>
      </c>
      <c r="K308">
        <v>7.5</v>
      </c>
      <c r="L308">
        <v>5.8519354838709683</v>
      </c>
      <c r="M308">
        <f t="shared" si="8"/>
        <v>1.6480645161290317</v>
      </c>
      <c r="N308">
        <v>7.6861904761904771</v>
      </c>
      <c r="O308">
        <v>5.7799999999999994</v>
      </c>
      <c r="P308">
        <f t="shared" si="9"/>
        <v>1.9061904761904778</v>
      </c>
      <c r="Q308">
        <v>9.0819047619047613</v>
      </c>
      <c r="R308">
        <v>6.2780000000000005</v>
      </c>
      <c r="S308">
        <f t="shared" si="7"/>
        <v>2.8039047619047608</v>
      </c>
      <c r="T308">
        <v>12.514000000000003</v>
      </c>
      <c r="W308">
        <v>107.64541625976562</v>
      </c>
      <c r="X308">
        <v>115.32476806640625</v>
      </c>
      <c r="Y308">
        <v>100.19744873046875</v>
      </c>
      <c r="Z308">
        <v>8.1887304782867432E-2</v>
      </c>
    </row>
    <row r="309" spans="1:26" x14ac:dyDescent="0.2">
      <c r="A309" s="1">
        <v>34912</v>
      </c>
      <c r="B309" s="1">
        <v>34942</v>
      </c>
      <c r="C309">
        <v>53.9</v>
      </c>
      <c r="D309">
        <v>0.75239999999999996</v>
      </c>
      <c r="E309">
        <v>30.9287604869997</v>
      </c>
      <c r="G309">
        <v>28.4</v>
      </c>
      <c r="H309">
        <v>40.9</v>
      </c>
      <c r="I309">
        <v>16.100000000000001</v>
      </c>
      <c r="J309">
        <v>3.46</v>
      </c>
      <c r="K309">
        <v>7.5</v>
      </c>
      <c r="L309">
        <v>5.7351612903225826</v>
      </c>
      <c r="M309">
        <f t="shared" si="8"/>
        <v>1.7648387096774174</v>
      </c>
      <c r="N309">
        <v>7.9308695652173915</v>
      </c>
      <c r="O309">
        <v>5.9808695652173913</v>
      </c>
      <c r="P309">
        <f t="shared" si="9"/>
        <v>1.9500000000000002</v>
      </c>
      <c r="Q309">
        <v>9.1243478260869555</v>
      </c>
      <c r="R309">
        <v>6.4882608695652193</v>
      </c>
      <c r="S309">
        <f t="shared" si="7"/>
        <v>2.6360869565217362</v>
      </c>
      <c r="T309">
        <v>12.798260869565214</v>
      </c>
      <c r="W309">
        <v>106.93478393554688</v>
      </c>
      <c r="X309">
        <v>118.49733734130859</v>
      </c>
      <c r="Y309">
        <v>100.7674560546875</v>
      </c>
      <c r="Z309">
        <v>0.12125479429960251</v>
      </c>
    </row>
    <row r="310" spans="1:26" x14ac:dyDescent="0.2">
      <c r="A310" s="1">
        <v>34943</v>
      </c>
      <c r="B310" s="1">
        <v>34972</v>
      </c>
      <c r="C310">
        <v>53.8</v>
      </c>
      <c r="D310">
        <v>0.755</v>
      </c>
      <c r="E310">
        <v>31.5865513848447</v>
      </c>
      <c r="G310">
        <v>28.4</v>
      </c>
      <c r="H310">
        <v>40.9</v>
      </c>
      <c r="I310">
        <v>16.8</v>
      </c>
      <c r="J310">
        <v>3.46</v>
      </c>
      <c r="K310">
        <v>7.5</v>
      </c>
      <c r="L310">
        <v>5.8046666666666651</v>
      </c>
      <c r="M310">
        <f t="shared" si="8"/>
        <v>1.6953333333333349</v>
      </c>
      <c r="N310">
        <v>7.5914285714285734</v>
      </c>
      <c r="O310">
        <v>5.8059999999999992</v>
      </c>
      <c r="P310">
        <f t="shared" si="9"/>
        <v>1.7854285714285743</v>
      </c>
      <c r="Q310">
        <v>8.6861904761904771</v>
      </c>
      <c r="R310">
        <v>6.1974999999999998</v>
      </c>
      <c r="S310">
        <f t="shared" si="7"/>
        <v>2.4886904761904773</v>
      </c>
      <c r="T310">
        <v>12.057</v>
      </c>
      <c r="W310">
        <v>71.205169677734375</v>
      </c>
      <c r="X310">
        <v>72.984016418457031</v>
      </c>
      <c r="Y310">
        <v>68.817550659179688</v>
      </c>
      <c r="Z310">
        <v>9.0881548821926117E-2</v>
      </c>
    </row>
    <row r="311" spans="1:26" x14ac:dyDescent="0.2">
      <c r="A311" s="1">
        <v>34973</v>
      </c>
      <c r="B311" s="1">
        <v>35003</v>
      </c>
      <c r="C311">
        <v>54.3</v>
      </c>
      <c r="D311">
        <v>0.75660000000000005</v>
      </c>
      <c r="E311">
        <v>30.756765908118201</v>
      </c>
      <c r="G311">
        <v>28.4</v>
      </c>
      <c r="H311">
        <v>41</v>
      </c>
      <c r="I311">
        <v>16.100000000000001</v>
      </c>
      <c r="J311">
        <v>3.45</v>
      </c>
      <c r="K311">
        <v>7.5</v>
      </c>
      <c r="L311">
        <v>5.7561290322580652</v>
      </c>
      <c r="M311">
        <f t="shared" si="8"/>
        <v>1.7438709677419348</v>
      </c>
      <c r="N311">
        <v>7.540909090909091</v>
      </c>
      <c r="O311">
        <v>5.6971428571428575</v>
      </c>
      <c r="P311">
        <f t="shared" si="9"/>
        <v>1.8437662337662335</v>
      </c>
      <c r="Q311">
        <v>8.5086363636363647</v>
      </c>
      <c r="R311">
        <v>6.0447619047619057</v>
      </c>
      <c r="S311">
        <f t="shared" si="7"/>
        <v>2.463874458874459</v>
      </c>
      <c r="T311">
        <v>14.357272727272726</v>
      </c>
      <c r="W311">
        <v>67.741500854492188</v>
      </c>
      <c r="X311">
        <v>64.277809143066406</v>
      </c>
      <c r="Y311">
        <v>69.126480102539062</v>
      </c>
      <c r="Z311">
        <v>4.8223759979009628E-2</v>
      </c>
    </row>
    <row r="312" spans="1:26" x14ac:dyDescent="0.2">
      <c r="A312" s="1">
        <v>35004</v>
      </c>
      <c r="B312" s="1">
        <v>35033</v>
      </c>
      <c r="C312">
        <v>53.8</v>
      </c>
      <c r="D312">
        <v>0.74690000000000001</v>
      </c>
      <c r="E312">
        <v>31.1859974594677</v>
      </c>
      <c r="G312">
        <v>28.4</v>
      </c>
      <c r="H312">
        <v>39.6</v>
      </c>
      <c r="I312">
        <v>16.899999999999999</v>
      </c>
      <c r="J312">
        <v>3.41</v>
      </c>
      <c r="K312">
        <v>7.5</v>
      </c>
      <c r="L312">
        <v>5.8030000000000008</v>
      </c>
      <c r="M312">
        <f t="shared" si="8"/>
        <v>1.6969999999999992</v>
      </c>
      <c r="N312">
        <v>7.5427272727272712</v>
      </c>
      <c r="O312">
        <v>5.4785714285714278</v>
      </c>
      <c r="P312">
        <f t="shared" si="9"/>
        <v>2.0641558441558434</v>
      </c>
      <c r="Q312">
        <v>8.4949999999999992</v>
      </c>
      <c r="R312">
        <v>5.9304761904761891</v>
      </c>
      <c r="S312">
        <f t="shared" si="7"/>
        <v>2.5645238095238101</v>
      </c>
      <c r="T312">
        <v>12.46904761904762</v>
      </c>
      <c r="W312">
        <v>76.33349609375</v>
      </c>
      <c r="X312">
        <v>78.8126220703125</v>
      </c>
      <c r="Y312">
        <v>69.865882873535156</v>
      </c>
      <c r="Z312">
        <v>5.9759467840194702E-2</v>
      </c>
    </row>
    <row r="313" spans="1:26" x14ac:dyDescent="0.2">
      <c r="A313" s="1">
        <v>35034</v>
      </c>
      <c r="B313" s="1">
        <v>35064</v>
      </c>
      <c r="C313">
        <v>53.9</v>
      </c>
      <c r="D313">
        <v>0.745</v>
      </c>
      <c r="E313">
        <v>31.3015722798003</v>
      </c>
      <c r="G313">
        <v>28.4</v>
      </c>
      <c r="H313">
        <v>39.4</v>
      </c>
      <c r="I313">
        <v>18</v>
      </c>
      <c r="J313">
        <v>3.37</v>
      </c>
      <c r="K313">
        <v>7.5</v>
      </c>
      <c r="L313">
        <v>5.6019354838709665</v>
      </c>
      <c r="M313">
        <f t="shared" si="8"/>
        <v>1.8980645161290335</v>
      </c>
      <c r="N313">
        <v>7.4094736842105267</v>
      </c>
      <c r="O313">
        <v>5.3245000000000005</v>
      </c>
      <c r="P313">
        <f t="shared" si="9"/>
        <v>2.0849736842105262</v>
      </c>
      <c r="Q313">
        <v>8.2547368421052632</v>
      </c>
      <c r="R313">
        <v>5.7114999999999991</v>
      </c>
      <c r="S313">
        <f t="shared" si="7"/>
        <v>2.543236842105264</v>
      </c>
      <c r="T313">
        <v>11.7485</v>
      </c>
      <c r="W313">
        <v>65.67205810546875</v>
      </c>
      <c r="X313">
        <v>68.982017517089844</v>
      </c>
      <c r="Y313">
        <v>55.363800048828125</v>
      </c>
      <c r="Z313">
        <v>1.5917230397462845E-2</v>
      </c>
    </row>
    <row r="314" spans="1:26" x14ac:dyDescent="0.2">
      <c r="A314" s="1">
        <v>35065</v>
      </c>
      <c r="B314" s="1">
        <v>35095</v>
      </c>
      <c r="C314">
        <v>54.7</v>
      </c>
      <c r="D314">
        <v>0.74470000000000003</v>
      </c>
      <c r="E314">
        <v>31.6489792266288</v>
      </c>
      <c r="G314">
        <v>30</v>
      </c>
      <c r="H314">
        <v>39.4</v>
      </c>
      <c r="I314">
        <v>17.899999999999999</v>
      </c>
      <c r="J314">
        <v>3.43</v>
      </c>
      <c r="K314">
        <v>7.5</v>
      </c>
      <c r="L314">
        <v>5.5648387096774199</v>
      </c>
      <c r="M314">
        <f t="shared" si="8"/>
        <v>1.9351612903225801</v>
      </c>
      <c r="N314">
        <v>7.388571428571427</v>
      </c>
      <c r="O314">
        <v>5.1123809523809518</v>
      </c>
      <c r="P314">
        <f t="shared" si="9"/>
        <v>2.2761904761904752</v>
      </c>
      <c r="Q314">
        <v>8.1123809523809509</v>
      </c>
      <c r="R314">
        <v>5.6523809523809527</v>
      </c>
      <c r="S314">
        <f t="shared" si="7"/>
        <v>2.4599999999999982</v>
      </c>
      <c r="T314">
        <v>13.473636363636361</v>
      </c>
      <c r="W314">
        <v>75.634925842285156</v>
      </c>
      <c r="X314">
        <v>73.660079956054688</v>
      </c>
      <c r="Y314">
        <v>79.682464599609375</v>
      </c>
      <c r="Z314">
        <v>3.7999697029590607E-2</v>
      </c>
    </row>
    <row r="315" spans="1:26" x14ac:dyDescent="0.2">
      <c r="A315" s="1">
        <v>35096</v>
      </c>
      <c r="B315" s="1">
        <v>35124</v>
      </c>
      <c r="C315">
        <v>55.5</v>
      </c>
      <c r="D315">
        <v>0.76349999999999996</v>
      </c>
      <c r="E315">
        <v>31.878461577987501</v>
      </c>
      <c r="G315">
        <v>30</v>
      </c>
      <c r="H315">
        <v>39.299999999999997</v>
      </c>
      <c r="I315">
        <v>18</v>
      </c>
      <c r="J315">
        <v>3.48</v>
      </c>
      <c r="K315">
        <v>7.5</v>
      </c>
      <c r="L315">
        <v>5.224482758620689</v>
      </c>
      <c r="M315">
        <f t="shared" si="8"/>
        <v>2.275517241379311</v>
      </c>
      <c r="N315">
        <v>7.5185714285714278</v>
      </c>
      <c r="O315">
        <v>5.0254999999999992</v>
      </c>
      <c r="P315">
        <f t="shared" si="9"/>
        <v>2.4930714285714286</v>
      </c>
      <c r="Q315">
        <v>8.2485714285714291</v>
      </c>
      <c r="R315">
        <v>5.8055000000000003</v>
      </c>
      <c r="S315">
        <f t="shared" si="7"/>
        <v>2.4430714285714288</v>
      </c>
      <c r="T315">
        <v>15.033000000000001</v>
      </c>
      <c r="W315">
        <v>80.420921325683594</v>
      </c>
      <c r="X315">
        <v>85.975975036621094</v>
      </c>
      <c r="Y315">
        <v>69.157791137695312</v>
      </c>
      <c r="Z315">
        <v>3.9804164320230484E-2</v>
      </c>
    </row>
    <row r="316" spans="1:26" x14ac:dyDescent="0.2">
      <c r="A316" s="1">
        <v>35125</v>
      </c>
      <c r="B316" s="1">
        <v>35155</v>
      </c>
      <c r="C316">
        <v>56.8</v>
      </c>
      <c r="D316">
        <v>0.77929999999999999</v>
      </c>
      <c r="E316">
        <v>31.857576599274299</v>
      </c>
      <c r="G316">
        <v>30</v>
      </c>
      <c r="H316">
        <v>39</v>
      </c>
      <c r="I316">
        <v>20</v>
      </c>
      <c r="J316">
        <v>3.47</v>
      </c>
      <c r="K316">
        <v>7.5</v>
      </c>
      <c r="L316">
        <v>5.3141935483870961</v>
      </c>
      <c r="M316">
        <f t="shared" si="8"/>
        <v>2.1858064516129039</v>
      </c>
      <c r="N316">
        <v>8.0852380952380951</v>
      </c>
      <c r="O316">
        <v>5.6609523809523798</v>
      </c>
      <c r="P316">
        <f t="shared" si="9"/>
        <v>2.4242857142857153</v>
      </c>
      <c r="Q316">
        <v>8.8080952380952375</v>
      </c>
      <c r="R316">
        <v>6.2685714285714278</v>
      </c>
      <c r="S316">
        <f t="shared" si="7"/>
        <v>2.5395238095238097</v>
      </c>
      <c r="T316">
        <v>17.762380952380951</v>
      </c>
      <c r="W316">
        <v>82.147613525390625</v>
      </c>
      <c r="X316">
        <v>77.891006469726562</v>
      </c>
      <c r="Y316">
        <v>84.08819580078125</v>
      </c>
      <c r="Z316">
        <v>3.6720156669616699E-2</v>
      </c>
    </row>
    <row r="317" spans="1:26" x14ac:dyDescent="0.2">
      <c r="A317" s="1">
        <v>35156</v>
      </c>
      <c r="B317" s="1">
        <v>35185</v>
      </c>
      <c r="C317">
        <v>57.1</v>
      </c>
      <c r="D317">
        <v>0.78539999999999999</v>
      </c>
      <c r="E317">
        <v>32.433264730856003</v>
      </c>
      <c r="G317">
        <v>30</v>
      </c>
      <c r="H317">
        <v>39.299999999999997</v>
      </c>
      <c r="I317">
        <v>21</v>
      </c>
      <c r="J317">
        <v>3.56</v>
      </c>
      <c r="K317">
        <v>7.5</v>
      </c>
      <c r="L317">
        <v>5.2236666666666673</v>
      </c>
      <c r="M317">
        <f t="shared" si="8"/>
        <v>2.2763333333333327</v>
      </c>
      <c r="N317">
        <v>8.2315789473684209</v>
      </c>
      <c r="O317">
        <v>5.9572727272727271</v>
      </c>
      <c r="P317">
        <f t="shared" si="9"/>
        <v>2.2743062200956938</v>
      </c>
      <c r="Q317">
        <v>8.8736842105263154</v>
      </c>
      <c r="R317">
        <v>6.5113636363636367</v>
      </c>
      <c r="S317">
        <f t="shared" si="7"/>
        <v>2.3623205741626787</v>
      </c>
      <c r="T317">
        <v>16.575238095238095</v>
      </c>
      <c r="W317">
        <v>84.828620910644531</v>
      </c>
      <c r="X317">
        <v>71.231971740722656</v>
      </c>
      <c r="Y317">
        <v>98.6463623046875</v>
      </c>
      <c r="Z317">
        <v>3.195398673415184E-2</v>
      </c>
    </row>
    <row r="318" spans="1:26" x14ac:dyDescent="0.2">
      <c r="A318" s="1">
        <v>35186</v>
      </c>
      <c r="B318" s="1">
        <v>35216</v>
      </c>
      <c r="C318">
        <v>58.7</v>
      </c>
      <c r="D318">
        <v>0.79830000000000001</v>
      </c>
      <c r="E318">
        <v>32.752034477691197</v>
      </c>
      <c r="G318">
        <v>30</v>
      </c>
      <c r="H318">
        <v>38.200000000000003</v>
      </c>
      <c r="I318">
        <v>19.100000000000001</v>
      </c>
      <c r="J318">
        <v>3.6</v>
      </c>
      <c r="K318">
        <v>7.5</v>
      </c>
      <c r="L318">
        <v>5.2351612903225817</v>
      </c>
      <c r="M318">
        <f t="shared" si="8"/>
        <v>2.2648387096774183</v>
      </c>
      <c r="N318">
        <v>8.0995652173913033</v>
      </c>
      <c r="O318">
        <v>6.0949999999999998</v>
      </c>
      <c r="P318">
        <f t="shared" si="9"/>
        <v>2.0045652173913036</v>
      </c>
      <c r="Q318">
        <v>8.83217391304348</v>
      </c>
      <c r="R318">
        <v>6.7368181818181823</v>
      </c>
      <c r="S318">
        <f t="shared" si="7"/>
        <v>2.0953557312252977</v>
      </c>
      <c r="T318">
        <v>16.146363636363638</v>
      </c>
      <c r="W318">
        <v>65.53082275390625</v>
      </c>
      <c r="X318">
        <v>59.1929931640625</v>
      </c>
      <c r="Y318">
        <v>68.710739135742188</v>
      </c>
      <c r="Z318">
        <v>5.1242634654045105E-2</v>
      </c>
    </row>
    <row r="319" spans="1:26" x14ac:dyDescent="0.2">
      <c r="A319" s="1">
        <v>35217</v>
      </c>
      <c r="B319" s="1">
        <v>35246</v>
      </c>
      <c r="C319">
        <v>58.1</v>
      </c>
      <c r="D319">
        <v>0.78900000000000003</v>
      </c>
      <c r="E319">
        <v>32.378269347947899</v>
      </c>
      <c r="G319">
        <v>30</v>
      </c>
      <c r="H319">
        <v>38.200000000000003</v>
      </c>
      <c r="I319">
        <v>18.3</v>
      </c>
      <c r="J319">
        <v>3.6</v>
      </c>
      <c r="K319">
        <v>7.5</v>
      </c>
      <c r="L319">
        <v>5.2733333333333343</v>
      </c>
      <c r="M319">
        <f t="shared" si="8"/>
        <v>2.2266666666666657</v>
      </c>
      <c r="N319">
        <v>8.1447368421052619</v>
      </c>
      <c r="O319">
        <v>6.2969999999999988</v>
      </c>
      <c r="P319">
        <f t="shared" si="9"/>
        <v>1.8477368421052631</v>
      </c>
      <c r="Q319">
        <v>8.9315789473684237</v>
      </c>
      <c r="R319">
        <v>6.911999999999999</v>
      </c>
      <c r="S319">
        <f t="shared" si="7"/>
        <v>2.0195789473684247</v>
      </c>
      <c r="T319">
        <v>16.395000000000003</v>
      </c>
      <c r="W319">
        <v>69.088584899902344</v>
      </c>
      <c r="X319">
        <v>72.525932312011719</v>
      </c>
      <c r="Y319">
        <v>61.670173645019531</v>
      </c>
      <c r="Z319">
        <v>6.6172115504741669E-2</v>
      </c>
    </row>
    <row r="320" spans="1:26" x14ac:dyDescent="0.2">
      <c r="A320" s="1">
        <v>35247</v>
      </c>
      <c r="B320" s="1">
        <v>35277</v>
      </c>
      <c r="C320">
        <v>56.5</v>
      </c>
      <c r="D320">
        <v>0.77310000000000001</v>
      </c>
      <c r="E320">
        <v>31.908146972386799</v>
      </c>
      <c r="G320">
        <v>30</v>
      </c>
      <c r="H320">
        <v>38.4</v>
      </c>
      <c r="I320">
        <v>19.600000000000001</v>
      </c>
      <c r="J320">
        <v>3.61</v>
      </c>
      <c r="K320">
        <v>7.4782608695652204</v>
      </c>
      <c r="L320">
        <v>5.3964516129032249</v>
      </c>
      <c r="M320">
        <f t="shared" si="8"/>
        <v>2.0818092566619955</v>
      </c>
      <c r="N320">
        <v>7.944782608695653</v>
      </c>
      <c r="O320">
        <v>6.2700000000000014</v>
      </c>
      <c r="P320">
        <f t="shared" si="9"/>
        <v>1.6747826086956517</v>
      </c>
      <c r="Q320">
        <v>8.6295652173913027</v>
      </c>
      <c r="R320">
        <v>6.8654545454545461</v>
      </c>
      <c r="S320">
        <f t="shared" si="7"/>
        <v>1.7641106719367565</v>
      </c>
      <c r="T320">
        <v>17.978636363636358</v>
      </c>
      <c r="W320">
        <v>80.644317626953125</v>
      </c>
      <c r="X320">
        <v>74.906936645507812</v>
      </c>
      <c r="Y320">
        <v>85.272193908691406</v>
      </c>
      <c r="Z320">
        <v>5.4508909583091736E-2</v>
      </c>
    </row>
    <row r="321" spans="1:26" x14ac:dyDescent="0.2">
      <c r="A321" s="1">
        <v>35278</v>
      </c>
      <c r="B321" s="1">
        <v>35308</v>
      </c>
      <c r="C321">
        <v>57.9</v>
      </c>
      <c r="D321">
        <v>0.79090000000000005</v>
      </c>
      <c r="E321">
        <v>31.834417875351999</v>
      </c>
      <c r="G321">
        <v>30</v>
      </c>
      <c r="H321">
        <v>38.4</v>
      </c>
      <c r="I321">
        <v>20.6</v>
      </c>
      <c r="J321">
        <v>3.68</v>
      </c>
      <c r="K321">
        <v>7</v>
      </c>
      <c r="L321">
        <v>5.2229032258064532</v>
      </c>
      <c r="M321">
        <f t="shared" si="8"/>
        <v>1.7770967741935468</v>
      </c>
      <c r="N321">
        <v>7.0413636363636378</v>
      </c>
      <c r="O321">
        <v>6.0290909090909084</v>
      </c>
      <c r="P321">
        <f t="shared" si="9"/>
        <v>1.0122727272727294</v>
      </c>
      <c r="Q321">
        <v>8.0399999999999991</v>
      </c>
      <c r="R321">
        <v>6.6354545454545475</v>
      </c>
      <c r="S321">
        <f t="shared" si="7"/>
        <v>1.4045454545454517</v>
      </c>
      <c r="T321">
        <v>15.760454545454547</v>
      </c>
      <c r="W321">
        <v>81.687644958496094</v>
      </c>
      <c r="X321">
        <v>81.733741760253906</v>
      </c>
      <c r="Y321">
        <v>85.693893432617188</v>
      </c>
      <c r="Z321">
        <v>6.0453042387962341E-2</v>
      </c>
    </row>
    <row r="322" spans="1:26" x14ac:dyDescent="0.2">
      <c r="A322" s="1">
        <v>35309</v>
      </c>
      <c r="B322" s="1">
        <v>35338</v>
      </c>
      <c r="C322">
        <v>58.5</v>
      </c>
      <c r="D322">
        <v>0.79239999999999999</v>
      </c>
      <c r="E322">
        <v>31.903046406928699</v>
      </c>
      <c r="G322">
        <v>30</v>
      </c>
      <c r="H322">
        <v>38.1</v>
      </c>
      <c r="I322">
        <v>22.6</v>
      </c>
      <c r="J322">
        <v>3.68</v>
      </c>
      <c r="K322">
        <v>7</v>
      </c>
      <c r="L322">
        <v>5.2990000000000013</v>
      </c>
      <c r="M322">
        <f t="shared" si="8"/>
        <v>1.7009999999999987</v>
      </c>
      <c r="N322">
        <v>7.0185714285714296</v>
      </c>
      <c r="O322">
        <v>6.234</v>
      </c>
      <c r="P322">
        <f t="shared" si="9"/>
        <v>0.78457142857142959</v>
      </c>
      <c r="Q322">
        <v>8.0033333333333339</v>
      </c>
      <c r="R322">
        <v>6.831999999999999</v>
      </c>
      <c r="S322">
        <f t="shared" si="7"/>
        <v>1.1713333333333349</v>
      </c>
      <c r="T322">
        <v>16.578000000000007</v>
      </c>
      <c r="W322">
        <v>88.196975708007812</v>
      </c>
      <c r="X322">
        <v>87.048286437988281</v>
      </c>
      <c r="Y322">
        <v>92.839004516601562</v>
      </c>
      <c r="Z322">
        <v>8.4858320653438568E-2</v>
      </c>
    </row>
    <row r="323" spans="1:26" x14ac:dyDescent="0.2">
      <c r="A323" s="1">
        <v>35339</v>
      </c>
      <c r="B323" s="1">
        <v>35369</v>
      </c>
      <c r="C323">
        <v>58.6</v>
      </c>
      <c r="D323">
        <v>0.79190000000000005</v>
      </c>
      <c r="E323">
        <v>32.136166326587499</v>
      </c>
      <c r="G323">
        <v>30</v>
      </c>
      <c r="H323">
        <v>37.6</v>
      </c>
      <c r="I323">
        <v>24.2</v>
      </c>
      <c r="J323">
        <v>3.79</v>
      </c>
      <c r="K323">
        <v>7</v>
      </c>
      <c r="L323">
        <v>5.2380645161290325</v>
      </c>
      <c r="M323">
        <f t="shared" si="8"/>
        <v>1.7619354838709675</v>
      </c>
      <c r="N323">
        <v>6.6726086956521753</v>
      </c>
      <c r="O323">
        <v>5.9127272727272731</v>
      </c>
      <c r="P323">
        <f t="shared" si="9"/>
        <v>0.75988142292490224</v>
      </c>
      <c r="Q323">
        <v>7.5504347826086953</v>
      </c>
      <c r="R323">
        <v>6.5336363636363641</v>
      </c>
      <c r="S323">
        <f t="shared" ref="S323:S386" si="10">Q323-R323</f>
        <v>1.0167984189723311</v>
      </c>
      <c r="T323">
        <v>16.381739130434781</v>
      </c>
      <c r="W323">
        <v>55.586830139160156</v>
      </c>
      <c r="X323">
        <v>56.879756927490234</v>
      </c>
      <c r="Y323">
        <v>49.544357299804688</v>
      </c>
      <c r="Z323">
        <v>3.9000291377305984E-2</v>
      </c>
    </row>
    <row r="324" spans="1:26" x14ac:dyDescent="0.2">
      <c r="A324" s="1">
        <v>35370</v>
      </c>
      <c r="B324" s="1">
        <v>35399</v>
      </c>
      <c r="C324">
        <v>59.9</v>
      </c>
      <c r="D324">
        <v>0.81069999999999998</v>
      </c>
      <c r="E324">
        <v>31.584928766039202</v>
      </c>
      <c r="G324">
        <v>30</v>
      </c>
      <c r="H324">
        <v>35.700000000000003</v>
      </c>
      <c r="I324">
        <v>22.6</v>
      </c>
      <c r="J324">
        <v>4.03</v>
      </c>
      <c r="K324">
        <v>6.5714285714285703</v>
      </c>
      <c r="L324">
        <v>5.3109999999999991</v>
      </c>
      <c r="M324">
        <f t="shared" si="8"/>
        <v>1.2604285714285712</v>
      </c>
      <c r="N324">
        <v>6.3966666666666674</v>
      </c>
      <c r="O324">
        <v>5.7015789473684215</v>
      </c>
      <c r="P324">
        <f t="shared" si="9"/>
        <v>0.69508771929824587</v>
      </c>
      <c r="Q324">
        <v>7.1566666666666663</v>
      </c>
      <c r="R324">
        <v>6.2036842105263164</v>
      </c>
      <c r="S324">
        <f t="shared" si="10"/>
        <v>0.95298245614034993</v>
      </c>
      <c r="T324">
        <v>15.996999999999995</v>
      </c>
      <c r="W324">
        <v>57.344612121582031</v>
      </c>
      <c r="X324">
        <v>58.0576171875</v>
      </c>
      <c r="Y324">
        <v>51.038421630859375</v>
      </c>
      <c r="Z324">
        <v>6.4457036554813385E-2</v>
      </c>
    </row>
    <row r="325" spans="1:26" x14ac:dyDescent="0.2">
      <c r="A325" s="1">
        <v>35400</v>
      </c>
      <c r="B325" s="1">
        <v>35430</v>
      </c>
      <c r="C325">
        <v>59.4</v>
      </c>
      <c r="D325">
        <v>0.79649999999999999</v>
      </c>
      <c r="E325">
        <v>31.828766978946899</v>
      </c>
      <c r="G325">
        <v>30</v>
      </c>
      <c r="H325">
        <v>35.4</v>
      </c>
      <c r="I325">
        <v>23.9</v>
      </c>
      <c r="J325">
        <v>4.08</v>
      </c>
      <c r="K325">
        <v>6.1749999999999998</v>
      </c>
      <c r="L325">
        <v>5.2945161290322584</v>
      </c>
      <c r="M325">
        <f t="shared" si="8"/>
        <v>0.88048387096774139</v>
      </c>
      <c r="N325">
        <v>6.3674999999999997</v>
      </c>
      <c r="O325">
        <v>5.7819047619047605</v>
      </c>
      <c r="P325">
        <f t="shared" si="9"/>
        <v>0.58559523809523917</v>
      </c>
      <c r="Q325">
        <v>7.3239999999999998</v>
      </c>
      <c r="R325">
        <v>6.3023809523809522</v>
      </c>
      <c r="S325">
        <f t="shared" si="10"/>
        <v>1.0216190476190476</v>
      </c>
      <c r="T325">
        <v>19.260952380952382</v>
      </c>
      <c r="W325">
        <v>74.982635498046875</v>
      </c>
      <c r="X325">
        <v>80.178627014160156</v>
      </c>
      <c r="Y325">
        <v>66.176483154296875</v>
      </c>
      <c r="Z325">
        <v>3.7798609584569931E-2</v>
      </c>
    </row>
    <row r="326" spans="1:26" x14ac:dyDescent="0.2">
      <c r="A326" s="1">
        <v>35431</v>
      </c>
      <c r="B326" s="1">
        <v>35461</v>
      </c>
      <c r="C326">
        <v>58.1</v>
      </c>
      <c r="D326">
        <v>0.76200000000000001</v>
      </c>
      <c r="E326">
        <v>32.345639121711002</v>
      </c>
      <c r="G326">
        <v>30.2</v>
      </c>
      <c r="H326">
        <v>35.200000000000003</v>
      </c>
      <c r="I326">
        <v>23.5</v>
      </c>
      <c r="J326">
        <v>4.13</v>
      </c>
      <c r="K326">
        <v>6</v>
      </c>
      <c r="L326">
        <v>5.2545161290322593</v>
      </c>
      <c r="M326">
        <f t="shared" si="8"/>
        <v>0.74548387096774071</v>
      </c>
      <c r="N326">
        <v>6.232380952380951</v>
      </c>
      <c r="O326">
        <v>6.0080952380952386</v>
      </c>
      <c r="P326">
        <f t="shared" si="9"/>
        <v>0.22428571428571242</v>
      </c>
      <c r="Q326">
        <v>7.4590476190476185</v>
      </c>
      <c r="R326">
        <v>6.5790476190476186</v>
      </c>
      <c r="S326">
        <f t="shared" si="10"/>
        <v>0.87999999999999989</v>
      </c>
      <c r="T326">
        <v>19.473333333333336</v>
      </c>
      <c r="U326">
        <v>77.592550585606176</v>
      </c>
      <c r="W326">
        <v>54.062435150146484</v>
      </c>
      <c r="X326">
        <v>53.257827758789062</v>
      </c>
      <c r="Y326">
        <v>55.227325439453125</v>
      </c>
      <c r="Z326">
        <v>3.0168186873197556E-2</v>
      </c>
    </row>
    <row r="327" spans="1:26" x14ac:dyDescent="0.2">
      <c r="A327" s="1">
        <v>35462</v>
      </c>
      <c r="B327" s="1">
        <v>35489</v>
      </c>
      <c r="C327">
        <v>59.3</v>
      </c>
      <c r="D327">
        <v>0.77580000000000005</v>
      </c>
      <c r="E327">
        <v>33.085051716524099</v>
      </c>
      <c r="G327">
        <v>30.2</v>
      </c>
      <c r="H327">
        <v>34.6</v>
      </c>
      <c r="I327">
        <v>20.8</v>
      </c>
      <c r="J327">
        <v>4.22</v>
      </c>
      <c r="K327">
        <v>6</v>
      </c>
      <c r="L327">
        <v>5.1857142857142851</v>
      </c>
      <c r="M327">
        <f t="shared" si="8"/>
        <v>0.81428571428571495</v>
      </c>
      <c r="N327">
        <v>6.3295000000000003</v>
      </c>
      <c r="O327">
        <v>5.898421052631579</v>
      </c>
      <c r="P327">
        <f t="shared" si="9"/>
        <v>0.43107894736842134</v>
      </c>
      <c r="Q327">
        <v>7.394000000000001</v>
      </c>
      <c r="R327">
        <v>6.4194736842105264</v>
      </c>
      <c r="S327">
        <f t="shared" si="10"/>
        <v>0.97452631578947457</v>
      </c>
      <c r="T327">
        <v>20.139473684210529</v>
      </c>
      <c r="U327">
        <v>77.921979386248992</v>
      </c>
      <c r="W327">
        <v>50.559940338134766</v>
      </c>
      <c r="X327">
        <v>54.501365661621094</v>
      </c>
      <c r="Y327">
        <v>43.509159088134766</v>
      </c>
      <c r="Z327">
        <v>2.2031284868717194E-2</v>
      </c>
    </row>
    <row r="328" spans="1:26" x14ac:dyDescent="0.2">
      <c r="A328" s="1">
        <v>35490</v>
      </c>
      <c r="B328" s="1">
        <v>35520</v>
      </c>
      <c r="C328">
        <v>60.5</v>
      </c>
      <c r="D328">
        <v>0.78649999999999998</v>
      </c>
      <c r="E328">
        <v>33.857101267957503</v>
      </c>
      <c r="G328">
        <v>30.2</v>
      </c>
      <c r="H328">
        <v>34.5</v>
      </c>
      <c r="I328">
        <v>19.2</v>
      </c>
      <c r="J328">
        <v>4.25</v>
      </c>
      <c r="K328">
        <v>6</v>
      </c>
      <c r="L328">
        <v>5.3861290322580659</v>
      </c>
      <c r="M328">
        <f t="shared" si="8"/>
        <v>0.61387096774193406</v>
      </c>
      <c r="N328">
        <v>6.7326315789473679</v>
      </c>
      <c r="O328">
        <v>6.2220000000000004</v>
      </c>
      <c r="P328">
        <f t="shared" si="9"/>
        <v>0.51063157894736744</v>
      </c>
      <c r="Q328">
        <v>7.8994736842105269</v>
      </c>
      <c r="R328">
        <v>6.6944999999999997</v>
      </c>
      <c r="S328">
        <f t="shared" si="10"/>
        <v>1.2049736842105272</v>
      </c>
      <c r="T328">
        <v>20.169999999999995</v>
      </c>
      <c r="U328">
        <v>68.796029558388199</v>
      </c>
      <c r="W328">
        <v>58.480060577392578</v>
      </c>
      <c r="X328">
        <v>56.366298675537109</v>
      </c>
      <c r="Y328">
        <v>59.907318115234375</v>
      </c>
      <c r="Z328">
        <v>4.9086980521678925E-2</v>
      </c>
    </row>
    <row r="329" spans="1:26" x14ac:dyDescent="0.2">
      <c r="A329" s="1">
        <v>35521</v>
      </c>
      <c r="B329" s="1">
        <v>35550</v>
      </c>
      <c r="C329">
        <v>60.7</v>
      </c>
      <c r="D329">
        <v>0.78110000000000002</v>
      </c>
      <c r="E329">
        <v>33.609979402420301</v>
      </c>
      <c r="G329">
        <v>30.2</v>
      </c>
      <c r="H329">
        <v>35.4</v>
      </c>
      <c r="I329">
        <v>17.5</v>
      </c>
      <c r="J329">
        <v>4.07</v>
      </c>
      <c r="K329">
        <v>6</v>
      </c>
      <c r="L329">
        <v>5.5073333333333325</v>
      </c>
      <c r="M329">
        <f t="shared" si="8"/>
        <v>0.49266666666666747</v>
      </c>
      <c r="N329">
        <v>6.5385714285714283</v>
      </c>
      <c r="O329">
        <v>6.4481818181818173</v>
      </c>
      <c r="P329">
        <f t="shared" si="9"/>
        <v>9.0389610389610908E-2</v>
      </c>
      <c r="Q329">
        <v>7.9238095238095223</v>
      </c>
      <c r="R329">
        <v>6.8854545454545466</v>
      </c>
      <c r="S329">
        <f t="shared" si="10"/>
        <v>1.0383549783549757</v>
      </c>
      <c r="T329">
        <v>19.662272727272725</v>
      </c>
      <c r="U329">
        <v>73.754835930994943</v>
      </c>
      <c r="W329">
        <v>62.844486236572266</v>
      </c>
      <c r="X329">
        <v>62.376056671142578</v>
      </c>
      <c r="Y329">
        <v>61.280483245849609</v>
      </c>
      <c r="Z329">
        <v>5.3951982408761978E-2</v>
      </c>
    </row>
    <row r="330" spans="1:26" x14ac:dyDescent="0.2">
      <c r="A330" s="1">
        <v>35551</v>
      </c>
      <c r="B330" s="1">
        <v>35581</v>
      </c>
      <c r="C330">
        <v>58</v>
      </c>
      <c r="D330">
        <v>0.76129999999999998</v>
      </c>
      <c r="E330">
        <v>33.446386892410501</v>
      </c>
      <c r="G330">
        <v>30.2</v>
      </c>
      <c r="H330">
        <v>35.700000000000003</v>
      </c>
      <c r="I330">
        <v>19.100000000000001</v>
      </c>
      <c r="J330">
        <v>4.03</v>
      </c>
      <c r="K330">
        <v>5.8636363636363598</v>
      </c>
      <c r="L330">
        <v>5.5041935483870992</v>
      </c>
      <c r="M330">
        <f t="shared" si="8"/>
        <v>0.35944281524926058</v>
      </c>
      <c r="N330">
        <v>6.3</v>
      </c>
      <c r="O330">
        <v>6.2766666666666664</v>
      </c>
      <c r="P330">
        <f t="shared" si="9"/>
        <v>2.3333333333333428E-2</v>
      </c>
      <c r="Q330">
        <v>7.6745454545454548</v>
      </c>
      <c r="R330">
        <v>6.7109523809523797</v>
      </c>
      <c r="S330">
        <f t="shared" si="10"/>
        <v>0.96359307359307511</v>
      </c>
      <c r="T330">
        <v>19.924761904761905</v>
      </c>
      <c r="U330">
        <v>77.328388898881414</v>
      </c>
      <c r="W330">
        <v>53.576015472412109</v>
      </c>
      <c r="X330">
        <v>53.544284820556641</v>
      </c>
      <c r="Y330">
        <v>49.572898864746094</v>
      </c>
      <c r="Z330">
        <v>2.286311611533165E-2</v>
      </c>
    </row>
    <row r="331" spans="1:26" x14ac:dyDescent="0.2">
      <c r="A331" s="1">
        <v>35582</v>
      </c>
      <c r="B331" s="1">
        <v>35611</v>
      </c>
      <c r="C331">
        <v>56.7</v>
      </c>
      <c r="D331">
        <v>0.74550000000000005</v>
      </c>
      <c r="E331">
        <v>32.5680483169483</v>
      </c>
      <c r="G331">
        <v>30.2</v>
      </c>
      <c r="H331">
        <v>34.5</v>
      </c>
      <c r="I331">
        <v>17.600000000000001</v>
      </c>
      <c r="J331">
        <v>4.03</v>
      </c>
      <c r="K331">
        <v>5.5</v>
      </c>
      <c r="L331">
        <v>5.5556666666666681</v>
      </c>
      <c r="M331">
        <f t="shared" ref="M331:M394" si="11">K331-L331</f>
        <v>-5.5666666666668085E-2</v>
      </c>
      <c r="N331">
        <v>5.6074999999999999</v>
      </c>
      <c r="O331">
        <v>6.0947619047619046</v>
      </c>
      <c r="P331">
        <f t="shared" si="9"/>
        <v>-0.48726190476190467</v>
      </c>
      <c r="Q331">
        <v>7.1510000000000016</v>
      </c>
      <c r="R331">
        <v>6.4938095238095253</v>
      </c>
      <c r="S331">
        <f t="shared" si="10"/>
        <v>0.65719047619047632</v>
      </c>
      <c r="T331">
        <v>20.194285714285712</v>
      </c>
      <c r="U331">
        <v>81.305996307939893</v>
      </c>
      <c r="W331">
        <v>39.045623779296875</v>
      </c>
      <c r="X331">
        <v>36.685634613037109</v>
      </c>
      <c r="Y331">
        <v>38.639480590820312</v>
      </c>
      <c r="Z331">
        <v>2.3900574073195457E-2</v>
      </c>
    </row>
    <row r="332" spans="1:26" x14ac:dyDescent="0.2">
      <c r="A332" s="1">
        <v>35612</v>
      </c>
      <c r="B332" s="1">
        <v>35642</v>
      </c>
      <c r="C332">
        <v>58.3</v>
      </c>
      <c r="D332">
        <v>0.74519999999999997</v>
      </c>
      <c r="E332">
        <v>32.299777689774999</v>
      </c>
      <c r="G332">
        <v>30.2</v>
      </c>
      <c r="H332">
        <v>35</v>
      </c>
      <c r="I332">
        <v>18.399999999999999</v>
      </c>
      <c r="J332">
        <v>3.89</v>
      </c>
      <c r="K332">
        <v>5.4565217391304301</v>
      </c>
      <c r="L332">
        <v>5.5212903225806453</v>
      </c>
      <c r="M332">
        <f t="shared" si="11"/>
        <v>-6.4768583450215189E-2</v>
      </c>
      <c r="N332">
        <v>5.4030434782608703</v>
      </c>
      <c r="O332">
        <v>5.8909090909090915</v>
      </c>
      <c r="P332">
        <f t="shared" si="9"/>
        <v>-0.48786561264822126</v>
      </c>
      <c r="Q332">
        <v>6.6426086956521742</v>
      </c>
      <c r="R332">
        <v>6.2204545454545448</v>
      </c>
      <c r="S332">
        <f t="shared" si="10"/>
        <v>0.42215415019762936</v>
      </c>
      <c r="T332">
        <v>20.529090909090908</v>
      </c>
      <c r="U332">
        <v>66.571587028970015</v>
      </c>
      <c r="W332">
        <v>47.69842529296875</v>
      </c>
      <c r="X332">
        <v>47.428409576416016</v>
      </c>
      <c r="Y332">
        <v>43.433750152587891</v>
      </c>
      <c r="Z332">
        <v>6.4566552639007568E-2</v>
      </c>
    </row>
    <row r="333" spans="1:26" x14ac:dyDescent="0.2">
      <c r="A333" s="1">
        <v>35643</v>
      </c>
      <c r="B333" s="1">
        <v>35673</v>
      </c>
      <c r="C333">
        <v>58.2</v>
      </c>
      <c r="D333">
        <v>0.73440000000000005</v>
      </c>
      <c r="E333">
        <v>33.233430217696501</v>
      </c>
      <c r="G333">
        <v>30.2</v>
      </c>
      <c r="H333">
        <v>36.9</v>
      </c>
      <c r="I333">
        <v>18.7</v>
      </c>
      <c r="J333">
        <v>3.69</v>
      </c>
      <c r="K333">
        <v>5</v>
      </c>
      <c r="L333">
        <v>5.5422580645161297</v>
      </c>
      <c r="M333">
        <f t="shared" si="11"/>
        <v>-0.54225806451612968</v>
      </c>
      <c r="N333">
        <v>5.2914285714285709</v>
      </c>
      <c r="O333">
        <v>5.9390476190476198</v>
      </c>
      <c r="P333">
        <f t="shared" si="9"/>
        <v>-0.64761904761904887</v>
      </c>
      <c r="Q333">
        <v>6.6509523809523818</v>
      </c>
      <c r="R333">
        <v>6.2985714285714263</v>
      </c>
      <c r="S333">
        <f t="shared" si="10"/>
        <v>0.35238095238095557</v>
      </c>
      <c r="T333">
        <v>23.084761904761905</v>
      </c>
      <c r="U333">
        <v>63.854660826242572</v>
      </c>
      <c r="W333">
        <v>48.582298278808594</v>
      </c>
      <c r="X333">
        <v>46.308628082275391</v>
      </c>
      <c r="Y333">
        <v>49.425003051757812</v>
      </c>
      <c r="Z333">
        <v>2.0816707983613014E-2</v>
      </c>
    </row>
    <row r="334" spans="1:26" x14ac:dyDescent="0.2">
      <c r="A334" s="1">
        <v>35674</v>
      </c>
      <c r="B334" s="1">
        <v>35703</v>
      </c>
      <c r="C334">
        <v>57.7</v>
      </c>
      <c r="D334">
        <v>0.7198</v>
      </c>
      <c r="E334">
        <v>32.724318660176102</v>
      </c>
      <c r="G334">
        <v>30.2</v>
      </c>
      <c r="H334">
        <v>37.200000000000003</v>
      </c>
      <c r="I334">
        <v>18.5</v>
      </c>
      <c r="J334">
        <v>3.69</v>
      </c>
      <c r="K334">
        <v>5</v>
      </c>
      <c r="L334">
        <v>5.5406666666666657</v>
      </c>
      <c r="M334">
        <f t="shared" si="11"/>
        <v>-0.54066666666666574</v>
      </c>
      <c r="N334">
        <v>4.9868181818181823</v>
      </c>
      <c r="O334">
        <v>5.881904761904762</v>
      </c>
      <c r="P334">
        <f t="shared" si="9"/>
        <v>-0.89508658008657971</v>
      </c>
      <c r="Q334">
        <v>6.3113636363636374</v>
      </c>
      <c r="R334">
        <v>6.2085714285714282</v>
      </c>
      <c r="S334">
        <f t="shared" si="10"/>
        <v>0.10279220779220921</v>
      </c>
      <c r="T334">
        <v>23.812380952380956</v>
      </c>
      <c r="U334">
        <v>66.048833595706952</v>
      </c>
      <c r="W334">
        <v>42.6890869140625</v>
      </c>
      <c r="X334">
        <v>41.63934326171875</v>
      </c>
      <c r="Y334">
        <v>41.087932586669922</v>
      </c>
      <c r="Z334">
        <v>1.6415508463978767E-2</v>
      </c>
    </row>
    <row r="335" spans="1:26" x14ac:dyDescent="0.2">
      <c r="A335" s="1">
        <v>35704</v>
      </c>
      <c r="B335" s="1">
        <v>35734</v>
      </c>
      <c r="C335">
        <v>57.1</v>
      </c>
      <c r="D335">
        <v>0.7036</v>
      </c>
      <c r="E335">
        <v>32.285854137200502</v>
      </c>
      <c r="G335">
        <v>30.2</v>
      </c>
      <c r="H335">
        <v>37.200000000000003</v>
      </c>
      <c r="I335">
        <v>19.899999999999999</v>
      </c>
      <c r="J335">
        <v>3.62</v>
      </c>
      <c r="K335">
        <v>5</v>
      </c>
      <c r="L335">
        <v>5.4961290322580654</v>
      </c>
      <c r="M335">
        <f t="shared" si="11"/>
        <v>-0.49612903225806537</v>
      </c>
      <c r="N335">
        <v>5.0926086956521734</v>
      </c>
      <c r="O335">
        <v>5.7718181818181824</v>
      </c>
      <c r="P335">
        <f t="shared" si="9"/>
        <v>-0.67920948616600896</v>
      </c>
      <c r="Q335">
        <v>6.1821739130434779</v>
      </c>
      <c r="R335">
        <v>6.0295454545454561</v>
      </c>
      <c r="S335">
        <f t="shared" si="10"/>
        <v>0.15262845849802176</v>
      </c>
      <c r="T335">
        <v>23.870869565217394</v>
      </c>
      <c r="U335">
        <v>80.726423935813102</v>
      </c>
      <c r="W335">
        <v>49.746307373046875</v>
      </c>
      <c r="X335">
        <v>58.689460754394531</v>
      </c>
      <c r="Y335">
        <v>34.460205078125</v>
      </c>
      <c r="Z335">
        <v>9.4397075474262238E-2</v>
      </c>
    </row>
    <row r="336" spans="1:26" x14ac:dyDescent="0.2">
      <c r="A336" s="1">
        <v>35735</v>
      </c>
      <c r="B336" s="1">
        <v>35764</v>
      </c>
      <c r="C336">
        <v>57</v>
      </c>
      <c r="D336">
        <v>0.68030000000000002</v>
      </c>
      <c r="E336">
        <v>31.844615640662301</v>
      </c>
      <c r="G336">
        <v>30.2</v>
      </c>
      <c r="H336">
        <v>33.6</v>
      </c>
      <c r="I336">
        <v>19</v>
      </c>
      <c r="J336">
        <v>3.68</v>
      </c>
      <c r="K336">
        <v>5</v>
      </c>
      <c r="L336">
        <v>5.5216666666666656</v>
      </c>
      <c r="M336">
        <f t="shared" si="11"/>
        <v>-0.52166666666666561</v>
      </c>
      <c r="N336">
        <v>5.1805000000000003</v>
      </c>
      <c r="O336">
        <v>5.7127777777777782</v>
      </c>
      <c r="P336">
        <f t="shared" si="9"/>
        <v>-0.53227777777777785</v>
      </c>
      <c r="Q336">
        <v>6.0310000000000006</v>
      </c>
      <c r="R336">
        <v>5.8749999999999991</v>
      </c>
      <c r="S336">
        <f t="shared" si="10"/>
        <v>0.15600000000000147</v>
      </c>
      <c r="T336">
        <v>32.206111111111106</v>
      </c>
      <c r="U336">
        <v>95.661676481329835</v>
      </c>
      <c r="W336">
        <v>59.693370819091797</v>
      </c>
      <c r="X336">
        <v>79.036308288574219</v>
      </c>
      <c r="Y336">
        <v>32.765533447265625</v>
      </c>
      <c r="Z336">
        <v>0.1651691347360611</v>
      </c>
    </row>
    <row r="337" spans="1:26" x14ac:dyDescent="0.2">
      <c r="A337" s="1">
        <v>35765</v>
      </c>
      <c r="B337" s="1">
        <v>35795</v>
      </c>
      <c r="C337">
        <v>58.1</v>
      </c>
      <c r="D337">
        <v>0.65269999999999995</v>
      </c>
      <c r="E337">
        <v>31.418753563380498</v>
      </c>
      <c r="G337">
        <v>30.2</v>
      </c>
      <c r="H337">
        <v>31.4</v>
      </c>
      <c r="I337">
        <v>17</v>
      </c>
      <c r="J337">
        <v>3.6</v>
      </c>
      <c r="K337">
        <v>5</v>
      </c>
      <c r="L337">
        <v>5.5048387096774185</v>
      </c>
      <c r="M337">
        <f t="shared" si="11"/>
        <v>-0.50483870967741851</v>
      </c>
      <c r="N337">
        <v>5.3714285714285719</v>
      </c>
      <c r="O337">
        <v>5.7149999999999999</v>
      </c>
      <c r="P337">
        <f t="shared" si="9"/>
        <v>-0.34357142857142797</v>
      </c>
      <c r="Q337">
        <v>6.13904761904762</v>
      </c>
      <c r="R337">
        <v>5.8086363636363645</v>
      </c>
      <c r="S337">
        <f t="shared" si="10"/>
        <v>0.33041125541125549</v>
      </c>
      <c r="T337">
        <v>26.276363636363637</v>
      </c>
      <c r="U337">
        <v>111.5289180114851</v>
      </c>
      <c r="W337">
        <v>43.998268127441406</v>
      </c>
      <c r="X337">
        <v>48.362331390380859</v>
      </c>
      <c r="Y337">
        <v>35.839134216308594</v>
      </c>
      <c r="Z337">
        <v>1.6413893550634384E-2</v>
      </c>
    </row>
    <row r="338" spans="1:26" x14ac:dyDescent="0.2">
      <c r="A338" s="1">
        <v>35796</v>
      </c>
      <c r="B338" s="1">
        <v>35826</v>
      </c>
      <c r="C338">
        <v>61.9</v>
      </c>
      <c r="D338">
        <v>0.66930000000000001</v>
      </c>
      <c r="E338">
        <v>30.7784390365115</v>
      </c>
      <c r="G338">
        <v>31</v>
      </c>
      <c r="H338">
        <v>31.4</v>
      </c>
      <c r="I338">
        <v>15.1</v>
      </c>
      <c r="J338">
        <v>3.54</v>
      </c>
      <c r="K338">
        <v>5</v>
      </c>
      <c r="L338">
        <v>5.5574193548387107</v>
      </c>
      <c r="M338">
        <f t="shared" si="11"/>
        <v>-0.55741935483871075</v>
      </c>
      <c r="N338">
        <v>5.1070000000000011</v>
      </c>
      <c r="O338">
        <v>5.3569999999999993</v>
      </c>
      <c r="P338">
        <f t="shared" si="9"/>
        <v>-0.24999999999999822</v>
      </c>
      <c r="Q338">
        <v>5.8060000000000009</v>
      </c>
      <c r="R338">
        <v>5.5445000000000011</v>
      </c>
      <c r="S338">
        <f t="shared" si="10"/>
        <v>0.26149999999999984</v>
      </c>
      <c r="T338">
        <v>23.866499999999995</v>
      </c>
      <c r="U338">
        <v>102.2184711277206</v>
      </c>
      <c r="V338">
        <v>90.123602605030143</v>
      </c>
      <c r="W338">
        <v>53.096302032470703</v>
      </c>
      <c r="X338">
        <v>59.821269989013672</v>
      </c>
      <c r="Y338">
        <v>42.487815856933594</v>
      </c>
      <c r="Z338">
        <v>9.5124118030071259E-2</v>
      </c>
    </row>
    <row r="339" spans="1:26" x14ac:dyDescent="0.2">
      <c r="A339" s="1">
        <v>35827</v>
      </c>
      <c r="B339" s="1">
        <v>35854</v>
      </c>
      <c r="C339">
        <v>60.6</v>
      </c>
      <c r="D339">
        <v>0.67449999999999999</v>
      </c>
      <c r="E339">
        <v>30.597521679830301</v>
      </c>
      <c r="G339">
        <v>31</v>
      </c>
      <c r="H339">
        <v>33.4</v>
      </c>
      <c r="I339">
        <v>14.1</v>
      </c>
      <c r="J339">
        <v>3.43</v>
      </c>
      <c r="K339">
        <v>5</v>
      </c>
      <c r="L339">
        <v>5.5057142857142853</v>
      </c>
      <c r="M339">
        <f t="shared" si="11"/>
        <v>-0.50571428571428534</v>
      </c>
      <c r="N339">
        <v>5.1064999999999996</v>
      </c>
      <c r="O339">
        <v>5.4178947368421042</v>
      </c>
      <c r="P339">
        <f t="shared" si="9"/>
        <v>-0.31139473684210461</v>
      </c>
      <c r="Q339">
        <v>5.8870000000000005</v>
      </c>
      <c r="R339">
        <v>5.5747368421052643</v>
      </c>
      <c r="S339">
        <f t="shared" si="10"/>
        <v>0.31226315789473613</v>
      </c>
      <c r="T339">
        <v>19.998947368421053</v>
      </c>
      <c r="U339">
        <v>83.611279481644118</v>
      </c>
      <c r="V339">
        <v>109.52890436204427</v>
      </c>
      <c r="W339">
        <v>77.597618103027344</v>
      </c>
      <c r="X339">
        <v>101.84082794189453</v>
      </c>
      <c r="Y339">
        <v>45.368019104003906</v>
      </c>
      <c r="Z339">
        <v>0.10287073999643326</v>
      </c>
    </row>
    <row r="340" spans="1:26" x14ac:dyDescent="0.2">
      <c r="A340" s="1">
        <v>35855</v>
      </c>
      <c r="B340" s="1">
        <v>35885</v>
      </c>
      <c r="C340">
        <v>59.6</v>
      </c>
      <c r="D340">
        <v>0.66339999999999999</v>
      </c>
      <c r="E340">
        <v>30.5123710472411</v>
      </c>
      <c r="G340">
        <v>31</v>
      </c>
      <c r="H340">
        <v>31.9</v>
      </c>
      <c r="I340">
        <v>13.1</v>
      </c>
      <c r="J340">
        <v>3.44</v>
      </c>
      <c r="K340">
        <v>5</v>
      </c>
      <c r="L340">
        <v>5.4935483870967747</v>
      </c>
      <c r="M340">
        <f t="shared" si="11"/>
        <v>-0.49354838709677473</v>
      </c>
      <c r="N340">
        <v>5.035454545454547</v>
      </c>
      <c r="O340">
        <v>5.5613636363636356</v>
      </c>
      <c r="P340">
        <f t="shared" si="9"/>
        <v>-0.52590909090908866</v>
      </c>
      <c r="Q340">
        <v>5.8650000000000002</v>
      </c>
      <c r="R340">
        <v>5.6472727272727274</v>
      </c>
      <c r="S340">
        <f t="shared" si="10"/>
        <v>0.21772727272727277</v>
      </c>
      <c r="T340">
        <v>20.158636363636365</v>
      </c>
      <c r="U340">
        <v>87.568132909416292</v>
      </c>
      <c r="V340">
        <v>62.570699136934927</v>
      </c>
      <c r="W340">
        <v>57.248062133789062</v>
      </c>
      <c r="X340">
        <v>65.501998901367188</v>
      </c>
      <c r="Y340">
        <v>44.516712188720703</v>
      </c>
      <c r="Z340">
        <v>4.0883075445890427E-2</v>
      </c>
    </row>
    <row r="341" spans="1:26" x14ac:dyDescent="0.2">
      <c r="A341" s="1">
        <v>35886</v>
      </c>
      <c r="B341" s="1">
        <v>35915</v>
      </c>
      <c r="C341">
        <v>58</v>
      </c>
      <c r="D341">
        <v>0.64990000000000003</v>
      </c>
      <c r="E341">
        <v>30.328580507542899</v>
      </c>
      <c r="G341">
        <v>31</v>
      </c>
      <c r="H341">
        <v>31.2</v>
      </c>
      <c r="I341">
        <v>13.4</v>
      </c>
      <c r="J341">
        <v>3.19</v>
      </c>
      <c r="K341">
        <v>5</v>
      </c>
      <c r="L341">
        <v>5.445333333333334</v>
      </c>
      <c r="M341">
        <f t="shared" si="11"/>
        <v>-0.44533333333333402</v>
      </c>
      <c r="N341">
        <v>4.9265000000000008</v>
      </c>
      <c r="O341">
        <v>5.5642857142857123</v>
      </c>
      <c r="P341">
        <f t="shared" si="9"/>
        <v>-0.63778571428571151</v>
      </c>
      <c r="Q341">
        <v>5.6849999999999996</v>
      </c>
      <c r="R341">
        <v>5.6376190476190482</v>
      </c>
      <c r="S341">
        <f t="shared" si="10"/>
        <v>4.7380952380951413E-2</v>
      </c>
      <c r="T341">
        <v>22.028571428571428</v>
      </c>
      <c r="U341">
        <v>80.213547314620371</v>
      </c>
      <c r="V341">
        <v>101.89013963976885</v>
      </c>
      <c r="W341">
        <v>50.99658203125</v>
      </c>
      <c r="X341">
        <v>58.767383575439453</v>
      </c>
      <c r="Y341">
        <v>38.002849578857422</v>
      </c>
      <c r="Z341">
        <v>3.1026029959321022E-2</v>
      </c>
    </row>
    <row r="342" spans="1:26" x14ac:dyDescent="0.2">
      <c r="A342" s="1">
        <v>35916</v>
      </c>
      <c r="B342" s="1">
        <v>35946</v>
      </c>
      <c r="C342">
        <v>57.5</v>
      </c>
      <c r="D342">
        <v>0.62360000000000004</v>
      </c>
      <c r="E342">
        <v>29.6415656904468</v>
      </c>
      <c r="G342">
        <v>31</v>
      </c>
      <c r="H342">
        <v>30.3</v>
      </c>
      <c r="I342">
        <v>14.4</v>
      </c>
      <c r="J342">
        <v>3</v>
      </c>
      <c r="K342">
        <v>5</v>
      </c>
      <c r="L342">
        <v>5.4887096774193536</v>
      </c>
      <c r="M342">
        <f t="shared" si="11"/>
        <v>-0.48870967741935356</v>
      </c>
      <c r="N342">
        <v>4.96</v>
      </c>
      <c r="O342">
        <v>5.5935000000000006</v>
      </c>
      <c r="P342">
        <f t="shared" si="9"/>
        <v>-0.63350000000000062</v>
      </c>
      <c r="Q342">
        <v>5.6390476190476191</v>
      </c>
      <c r="R342">
        <v>5.6525000000000016</v>
      </c>
      <c r="S342">
        <f t="shared" si="10"/>
        <v>-1.3452380952382548E-2</v>
      </c>
      <c r="T342">
        <v>20.873999999999999</v>
      </c>
      <c r="U342">
        <v>85.316798475115974</v>
      </c>
      <c r="V342">
        <v>113.75954895997251</v>
      </c>
      <c r="W342">
        <v>94.473487854003906</v>
      </c>
      <c r="X342">
        <v>129.79888916015625</v>
      </c>
      <c r="Y342">
        <v>43.802757263183594</v>
      </c>
      <c r="Z342">
        <v>0.13160105049610138</v>
      </c>
    </row>
    <row r="343" spans="1:26" x14ac:dyDescent="0.2">
      <c r="A343" s="1">
        <v>35947</v>
      </c>
      <c r="B343" s="1">
        <v>35976</v>
      </c>
      <c r="C343">
        <v>57.9</v>
      </c>
      <c r="D343">
        <v>0.61350000000000005</v>
      </c>
      <c r="E343">
        <v>28.9000879584237</v>
      </c>
      <c r="G343">
        <v>31</v>
      </c>
      <c r="H343">
        <v>30</v>
      </c>
      <c r="I343">
        <v>12.1</v>
      </c>
      <c r="J343">
        <v>3</v>
      </c>
      <c r="K343">
        <v>5</v>
      </c>
      <c r="L343">
        <v>5.5586666666666664</v>
      </c>
      <c r="M343">
        <f t="shared" si="11"/>
        <v>-0.55866666666666642</v>
      </c>
      <c r="N343">
        <v>5.2471428571428582</v>
      </c>
      <c r="O343">
        <v>5.52</v>
      </c>
      <c r="P343">
        <f t="shared" si="9"/>
        <v>-0.27285714285714135</v>
      </c>
      <c r="Q343">
        <v>5.5761904761904759</v>
      </c>
      <c r="R343">
        <v>5.4963636363636352</v>
      </c>
      <c r="S343">
        <f t="shared" si="10"/>
        <v>7.982683982684069E-2</v>
      </c>
      <c r="T343">
        <v>21.66272727272727</v>
      </c>
      <c r="U343">
        <v>84.509495812354331</v>
      </c>
      <c r="V343">
        <v>103.75142751719008</v>
      </c>
      <c r="W343">
        <v>76.309074401855469</v>
      </c>
      <c r="X343">
        <v>94.954681396484375</v>
      </c>
      <c r="Y343">
        <v>48.778854370117188</v>
      </c>
      <c r="Z343">
        <v>5.658349022269249E-2</v>
      </c>
    </row>
    <row r="344" spans="1:26" x14ac:dyDescent="0.2">
      <c r="A344" s="1">
        <v>35977</v>
      </c>
      <c r="B344" s="1">
        <v>36007</v>
      </c>
      <c r="C344">
        <v>57.3</v>
      </c>
      <c r="D344">
        <v>0.61129999999999995</v>
      </c>
      <c r="E344">
        <v>28.737263124907901</v>
      </c>
      <c r="G344">
        <v>31</v>
      </c>
      <c r="H344">
        <v>30</v>
      </c>
      <c r="I344">
        <v>12</v>
      </c>
      <c r="J344">
        <v>2.84</v>
      </c>
      <c r="K344" s="2">
        <v>4.9800000000000004</v>
      </c>
      <c r="L344">
        <v>5.5358064516129044</v>
      </c>
      <c r="M344">
        <f t="shared" si="11"/>
        <v>-0.55580645161290398</v>
      </c>
      <c r="N344">
        <v>5.1704347826086963</v>
      </c>
      <c r="O344">
        <v>5.4581818181818171</v>
      </c>
      <c r="P344">
        <f t="shared" si="9"/>
        <v>-0.28774703557312087</v>
      </c>
      <c r="Q344">
        <v>5.5213043478260877</v>
      </c>
      <c r="R344">
        <v>5.4613636363636369</v>
      </c>
      <c r="S344">
        <f t="shared" si="10"/>
        <v>5.9940711462450835E-2</v>
      </c>
      <c r="T344">
        <v>19.930000000000003</v>
      </c>
      <c r="U344">
        <v>103.20641832380289</v>
      </c>
      <c r="V344">
        <v>132.87654603745702</v>
      </c>
      <c r="W344">
        <v>54.048416137695312</v>
      </c>
      <c r="X344">
        <v>64.226280212402344</v>
      </c>
      <c r="Y344">
        <v>38.299324035644531</v>
      </c>
      <c r="Z344">
        <v>4.7944385558366776E-2</v>
      </c>
    </row>
    <row r="345" spans="1:26" x14ac:dyDescent="0.2">
      <c r="A345" s="1">
        <v>36008</v>
      </c>
      <c r="B345" s="1">
        <v>36038</v>
      </c>
      <c r="C345">
        <v>53.4</v>
      </c>
      <c r="D345">
        <v>0.56910000000000005</v>
      </c>
      <c r="E345">
        <v>28.419655744596</v>
      </c>
      <c r="G345">
        <v>31</v>
      </c>
      <c r="H345">
        <v>26.2</v>
      </c>
      <c r="I345">
        <v>11.9</v>
      </c>
      <c r="J345">
        <v>2.79</v>
      </c>
      <c r="K345" s="2">
        <v>4.97</v>
      </c>
      <c r="L345">
        <v>5.5467741935483854</v>
      </c>
      <c r="M345">
        <f t="shared" si="11"/>
        <v>-0.57677419354838566</v>
      </c>
      <c r="N345">
        <v>5.265714285714286</v>
      </c>
      <c r="O345">
        <v>5.2685714285714296</v>
      </c>
      <c r="P345">
        <f t="shared" si="9"/>
        <v>-2.8571428571435575E-3</v>
      </c>
      <c r="Q345">
        <v>5.6385714285714288</v>
      </c>
      <c r="R345">
        <v>5.3419047619047619</v>
      </c>
      <c r="S345">
        <f t="shared" si="10"/>
        <v>0.29666666666666686</v>
      </c>
      <c r="T345">
        <v>31.588095238095239</v>
      </c>
      <c r="U345">
        <v>114.6574321594405</v>
      </c>
      <c r="V345">
        <v>204.90083283754336</v>
      </c>
      <c r="W345">
        <v>97.020858764648438</v>
      </c>
      <c r="X345">
        <v>83.938552856445312</v>
      </c>
      <c r="Y345">
        <v>123.8387451171875</v>
      </c>
      <c r="Z345">
        <v>7.7642165124416351E-2</v>
      </c>
    </row>
    <row r="346" spans="1:26" x14ac:dyDescent="0.2">
      <c r="A346" s="1">
        <v>36039</v>
      </c>
      <c r="B346" s="1">
        <v>36068</v>
      </c>
      <c r="C346">
        <v>54.5</v>
      </c>
      <c r="D346">
        <v>0.59450000000000003</v>
      </c>
      <c r="E346">
        <v>27.296550022921199</v>
      </c>
      <c r="G346">
        <v>31</v>
      </c>
      <c r="H346">
        <v>27.1</v>
      </c>
      <c r="I346">
        <v>13.4</v>
      </c>
      <c r="J346">
        <v>2.74</v>
      </c>
      <c r="K346" s="2">
        <v>4.97</v>
      </c>
      <c r="L346">
        <v>5.5116666666666649</v>
      </c>
      <c r="M346">
        <f t="shared" si="11"/>
        <v>-0.54166666666666519</v>
      </c>
      <c r="N346">
        <v>4.9290909090909087</v>
      </c>
      <c r="O346">
        <v>4.6661904761904749</v>
      </c>
      <c r="P346">
        <f t="shared" si="9"/>
        <v>0.26290043290043386</v>
      </c>
      <c r="Q346">
        <v>5.3459090909090907</v>
      </c>
      <c r="R346">
        <v>4.8066666666666666</v>
      </c>
      <c r="S346">
        <f t="shared" si="10"/>
        <v>0.53924242424242408</v>
      </c>
      <c r="T346">
        <v>38.204761904761909</v>
      </c>
      <c r="U346">
        <v>150.15828186817049</v>
      </c>
      <c r="V346">
        <v>169.60922391088914</v>
      </c>
      <c r="W346">
        <v>62.513442993164062</v>
      </c>
      <c r="X346">
        <v>68.476951599121094</v>
      </c>
      <c r="Y346">
        <v>55.129615783691406</v>
      </c>
      <c r="Z346">
        <v>2.9160469770431519E-2</v>
      </c>
    </row>
    <row r="347" spans="1:26" x14ac:dyDescent="0.2">
      <c r="A347" s="1">
        <v>36069</v>
      </c>
      <c r="B347" s="1">
        <v>36099</v>
      </c>
      <c r="C347">
        <v>54.2</v>
      </c>
      <c r="D347">
        <v>0.62629999999999997</v>
      </c>
      <c r="E347">
        <v>26.6762192527971</v>
      </c>
      <c r="G347">
        <v>31</v>
      </c>
      <c r="H347">
        <v>27.1</v>
      </c>
      <c r="I347">
        <v>12.6</v>
      </c>
      <c r="J347">
        <v>2.76</v>
      </c>
      <c r="K347" s="2">
        <v>4.9690000000000003</v>
      </c>
      <c r="L347">
        <v>5.0709677419354833</v>
      </c>
      <c r="M347">
        <f t="shared" si="11"/>
        <v>-0.10196774193548297</v>
      </c>
      <c r="N347">
        <v>4.3613636363636354</v>
      </c>
      <c r="O347">
        <v>4.0919047619047619</v>
      </c>
      <c r="P347">
        <f t="shared" si="9"/>
        <v>0.26945887445887351</v>
      </c>
      <c r="Q347">
        <v>4.9659090909090917</v>
      </c>
      <c r="R347">
        <v>4.5299999999999994</v>
      </c>
      <c r="S347">
        <f t="shared" si="10"/>
        <v>0.43590909090909236</v>
      </c>
      <c r="T347">
        <v>36.608181818181819</v>
      </c>
      <c r="U347">
        <v>119.2168100014969</v>
      </c>
      <c r="V347">
        <v>101.41121010672556</v>
      </c>
      <c r="W347">
        <v>54.403648376464844</v>
      </c>
      <c r="X347">
        <v>57.895927429199219</v>
      </c>
      <c r="Y347">
        <v>48.278041839599609</v>
      </c>
      <c r="Z347">
        <v>3.3995296806097031E-2</v>
      </c>
    </row>
    <row r="348" spans="1:26" x14ac:dyDescent="0.2">
      <c r="A348" s="1">
        <v>36100</v>
      </c>
      <c r="B348" s="1">
        <v>36129</v>
      </c>
      <c r="C348">
        <v>55.6</v>
      </c>
      <c r="D348">
        <v>0.63229999999999997</v>
      </c>
      <c r="E348">
        <v>26.7380236903157</v>
      </c>
      <c r="G348">
        <v>31</v>
      </c>
      <c r="H348">
        <v>26.1</v>
      </c>
      <c r="I348">
        <v>10.9</v>
      </c>
      <c r="J348">
        <v>2.78</v>
      </c>
      <c r="K348" s="2">
        <v>4.9800000000000004</v>
      </c>
      <c r="L348">
        <v>4.8260000000000023</v>
      </c>
      <c r="M348">
        <f t="shared" si="11"/>
        <v>0.15399999999999814</v>
      </c>
      <c r="N348">
        <v>4.5999999999999996</v>
      </c>
      <c r="O348">
        <v>4.54</v>
      </c>
      <c r="P348">
        <f t="shared" si="9"/>
        <v>5.9999999999999609E-2</v>
      </c>
      <c r="Q348">
        <v>5.1309523809523805</v>
      </c>
      <c r="R348">
        <v>4.8273684210526318</v>
      </c>
      <c r="S348">
        <f t="shared" si="10"/>
        <v>0.30358395989974873</v>
      </c>
      <c r="T348">
        <v>26.222999999999995</v>
      </c>
      <c r="U348">
        <v>101.0953083484351</v>
      </c>
      <c r="V348">
        <v>90.055320926144873</v>
      </c>
      <c r="W348">
        <v>67.965927124023438</v>
      </c>
      <c r="X348">
        <v>88.071342468261719</v>
      </c>
      <c r="Y348">
        <v>38.602264404296875</v>
      </c>
      <c r="Z348">
        <v>4.7825437039136887E-2</v>
      </c>
    </row>
    <row r="349" spans="1:26" x14ac:dyDescent="0.2">
      <c r="A349" s="1">
        <v>36130</v>
      </c>
      <c r="B349" s="1">
        <v>36160</v>
      </c>
      <c r="C349">
        <v>53</v>
      </c>
      <c r="D349">
        <v>0.6139</v>
      </c>
      <c r="E349">
        <v>26.049407057637598</v>
      </c>
      <c r="G349">
        <v>31</v>
      </c>
      <c r="H349">
        <v>26.1</v>
      </c>
      <c r="I349">
        <v>9.8000000000000007</v>
      </c>
      <c r="J349">
        <v>2.72</v>
      </c>
      <c r="K349" s="2">
        <v>4.7519999999999998</v>
      </c>
      <c r="L349">
        <v>4.6835483870967733</v>
      </c>
      <c r="M349">
        <f t="shared" si="11"/>
        <v>6.8451612903226433E-2</v>
      </c>
      <c r="N349">
        <v>4.4761904761904772</v>
      </c>
      <c r="O349">
        <v>4.5063636363636368</v>
      </c>
      <c r="P349">
        <f t="shared" si="9"/>
        <v>-3.017316017315963E-2</v>
      </c>
      <c r="Q349">
        <v>4.8547619047619053</v>
      </c>
      <c r="R349">
        <v>4.6450000000000005</v>
      </c>
      <c r="S349">
        <f t="shared" si="10"/>
        <v>0.20976190476190482</v>
      </c>
      <c r="T349">
        <v>25.479090909090907</v>
      </c>
      <c r="U349">
        <v>97.157945056118052</v>
      </c>
      <c r="V349">
        <v>52.150935414257162</v>
      </c>
      <c r="W349">
        <v>75.959892272949219</v>
      </c>
      <c r="X349">
        <v>86.2803955078125</v>
      </c>
      <c r="Y349">
        <v>64.999755859375</v>
      </c>
      <c r="Z349">
        <v>0.10111862421035767</v>
      </c>
    </row>
    <row r="350" spans="1:26" x14ac:dyDescent="0.2">
      <c r="A350" s="1">
        <v>36161</v>
      </c>
      <c r="B350" s="1">
        <v>36191</v>
      </c>
      <c r="C350">
        <v>54.8</v>
      </c>
      <c r="D350">
        <v>0.62860000000000005</v>
      </c>
      <c r="E350">
        <v>26.160276805412199</v>
      </c>
      <c r="G350">
        <v>27.6</v>
      </c>
      <c r="H350">
        <v>26.1</v>
      </c>
      <c r="I350">
        <v>11.1</v>
      </c>
      <c r="J350">
        <v>2.77</v>
      </c>
      <c r="K350" s="2">
        <v>4.7169999999999996</v>
      </c>
      <c r="L350">
        <v>4.6325806451612905</v>
      </c>
      <c r="M350">
        <f t="shared" si="11"/>
        <v>8.4419354838709104E-2</v>
      </c>
      <c r="N350">
        <v>4.7715789473684218</v>
      </c>
      <c r="O350">
        <v>4.615263157894737</v>
      </c>
      <c r="P350">
        <f t="shared" si="9"/>
        <v>0.15631578947368485</v>
      </c>
      <c r="Q350">
        <v>5.1278947368421059</v>
      </c>
      <c r="R350">
        <v>4.7221052631578955</v>
      </c>
      <c r="S350">
        <f t="shared" si="10"/>
        <v>0.40578947368421048</v>
      </c>
      <c r="T350">
        <v>28.03526315789474</v>
      </c>
      <c r="U350">
        <v>100.1541483862684</v>
      </c>
      <c r="V350">
        <v>46.968052572715528</v>
      </c>
      <c r="W350">
        <v>63.987224578857422</v>
      </c>
      <c r="X350">
        <v>69.461212158203125</v>
      </c>
      <c r="Y350">
        <v>53.772720336914062</v>
      </c>
      <c r="Z350">
        <v>8.1992104649543762E-2</v>
      </c>
    </row>
    <row r="351" spans="1:26" x14ac:dyDescent="0.2">
      <c r="A351" s="1">
        <v>36192</v>
      </c>
      <c r="B351" s="1">
        <v>36219</v>
      </c>
      <c r="C351">
        <v>55.4</v>
      </c>
      <c r="D351">
        <v>0.62250000000000005</v>
      </c>
      <c r="E351">
        <v>26.348847788638899</v>
      </c>
      <c r="G351">
        <v>27.6</v>
      </c>
      <c r="H351">
        <v>26.1</v>
      </c>
      <c r="I351">
        <v>10.199999999999999</v>
      </c>
      <c r="J351">
        <v>2.78</v>
      </c>
      <c r="K351" s="2">
        <v>4.72</v>
      </c>
      <c r="L351">
        <v>4.7646428571428583</v>
      </c>
      <c r="M351">
        <f t="shared" si="11"/>
        <v>-4.4642857142858539E-2</v>
      </c>
      <c r="N351">
        <v>4.891</v>
      </c>
      <c r="O351">
        <v>4.8763157894736837</v>
      </c>
      <c r="P351">
        <f t="shared" si="9"/>
        <v>1.4684210526316299E-2</v>
      </c>
      <c r="Q351">
        <v>5.3</v>
      </c>
      <c r="R351">
        <v>4.998947368421053</v>
      </c>
      <c r="S351">
        <f t="shared" si="10"/>
        <v>0.30105263157894679</v>
      </c>
      <c r="T351">
        <v>28.822631578947369</v>
      </c>
      <c r="U351">
        <v>79.662385023713455</v>
      </c>
      <c r="V351">
        <v>65.4346025503813</v>
      </c>
      <c r="W351">
        <v>58.316383361816406</v>
      </c>
      <c r="X351">
        <v>67.28399658203125</v>
      </c>
      <c r="Y351">
        <v>44.1739501953125</v>
      </c>
      <c r="Z351">
        <v>3.0626829713582993E-2</v>
      </c>
    </row>
    <row r="352" spans="1:26" x14ac:dyDescent="0.2">
      <c r="A352" s="1">
        <v>36220</v>
      </c>
      <c r="B352" s="1">
        <v>36250</v>
      </c>
      <c r="C352">
        <v>56.1</v>
      </c>
      <c r="D352">
        <v>0.62929999999999997</v>
      </c>
      <c r="E352">
        <v>26.784373961187299</v>
      </c>
      <c r="G352">
        <v>27.6</v>
      </c>
      <c r="H352">
        <v>26.1</v>
      </c>
      <c r="I352">
        <v>12.5</v>
      </c>
      <c r="J352">
        <v>2.78</v>
      </c>
      <c r="K352" s="2">
        <v>4.74</v>
      </c>
      <c r="L352">
        <v>4.8093548387096785</v>
      </c>
      <c r="M352">
        <f t="shared" si="11"/>
        <v>-6.935483870967829E-2</v>
      </c>
      <c r="N352">
        <v>4.9982608695652173</v>
      </c>
      <c r="O352">
        <v>5.0530434782608689</v>
      </c>
      <c r="P352">
        <f t="shared" si="9"/>
        <v>-5.4782608695651547E-2</v>
      </c>
      <c r="Q352">
        <v>5.5265217391304349</v>
      </c>
      <c r="R352">
        <v>5.2326086956521731</v>
      </c>
      <c r="S352">
        <f t="shared" si="10"/>
        <v>0.29391304347826175</v>
      </c>
      <c r="T352">
        <v>25.309565217391299</v>
      </c>
      <c r="U352">
        <v>63.499256494085117</v>
      </c>
      <c r="V352">
        <v>44.956536948918071</v>
      </c>
      <c r="W352">
        <v>83.39727783203125</v>
      </c>
      <c r="X352">
        <v>89.738357543945312</v>
      </c>
      <c r="Y352">
        <v>75.188079833984375</v>
      </c>
      <c r="Z352">
        <v>5.617811530828476E-2</v>
      </c>
    </row>
    <row r="353" spans="1:26" x14ac:dyDescent="0.2">
      <c r="A353" s="1">
        <v>36251</v>
      </c>
      <c r="B353" s="1">
        <v>36280</v>
      </c>
      <c r="C353">
        <v>58.3</v>
      </c>
      <c r="D353">
        <v>0.65980000000000005</v>
      </c>
      <c r="E353">
        <v>26.555861164301799</v>
      </c>
      <c r="G353">
        <v>27.6</v>
      </c>
      <c r="H353">
        <v>26.1</v>
      </c>
      <c r="I353">
        <v>15.3</v>
      </c>
      <c r="J353">
        <v>2.76</v>
      </c>
      <c r="K353" s="2">
        <v>4.74</v>
      </c>
      <c r="L353">
        <v>4.7363333333333326</v>
      </c>
      <c r="M353">
        <f t="shared" si="11"/>
        <v>3.6666666666675951E-3</v>
      </c>
      <c r="N353">
        <v>4.774</v>
      </c>
      <c r="O353">
        <v>4.9768181818181825</v>
      </c>
      <c r="P353">
        <f t="shared" si="9"/>
        <v>-0.20281818181818245</v>
      </c>
      <c r="Q353">
        <v>5.3574999999999999</v>
      </c>
      <c r="R353">
        <v>5.1845454545454537</v>
      </c>
      <c r="S353">
        <f t="shared" si="10"/>
        <v>0.17295454545454625</v>
      </c>
      <c r="T353">
        <v>23.478571428571428</v>
      </c>
      <c r="U353">
        <v>67.255668931740146</v>
      </c>
      <c r="V353">
        <v>49.889335684250611</v>
      </c>
      <c r="W353">
        <v>106.19801330566406</v>
      </c>
      <c r="X353">
        <v>112.34139251708984</v>
      </c>
      <c r="Y353">
        <v>103.23337554931641</v>
      </c>
      <c r="Z353">
        <v>6.2030892819166183E-2</v>
      </c>
    </row>
    <row r="354" spans="1:26" x14ac:dyDescent="0.2">
      <c r="A354" s="1">
        <v>36281</v>
      </c>
      <c r="B354" s="1">
        <v>36311</v>
      </c>
      <c r="C354">
        <v>58</v>
      </c>
      <c r="D354">
        <v>0.64910000000000001</v>
      </c>
      <c r="E354">
        <v>26.6118951317988</v>
      </c>
      <c r="G354">
        <v>27.6</v>
      </c>
      <c r="H354">
        <v>26.1</v>
      </c>
      <c r="I354">
        <v>15.1</v>
      </c>
      <c r="J354">
        <v>2.88</v>
      </c>
      <c r="K354" s="2">
        <v>4.75</v>
      </c>
      <c r="L354">
        <v>4.7422580645161316</v>
      </c>
      <c r="M354">
        <f t="shared" si="11"/>
        <v>7.7419354838683674E-3</v>
      </c>
      <c r="N354">
        <v>5.1947619047619034</v>
      </c>
      <c r="O354">
        <v>5.2544999999999993</v>
      </c>
      <c r="P354">
        <f t="shared" si="9"/>
        <v>-5.9738095238095923E-2</v>
      </c>
      <c r="Q354">
        <v>5.8757142857142854</v>
      </c>
      <c r="R354">
        <v>5.5394999999999994</v>
      </c>
      <c r="S354">
        <f t="shared" si="10"/>
        <v>0.33621428571428602</v>
      </c>
      <c r="T354">
        <v>26.204499999999996</v>
      </c>
      <c r="U354">
        <v>69.244119394498341</v>
      </c>
      <c r="V354">
        <v>104.09025280480127</v>
      </c>
      <c r="W354">
        <v>85.441131591796875</v>
      </c>
      <c r="X354">
        <v>89.3775634765625</v>
      </c>
      <c r="Y354">
        <v>80.671417236328125</v>
      </c>
      <c r="Z354">
        <v>3.6264732480049133E-2</v>
      </c>
    </row>
    <row r="355" spans="1:26" x14ac:dyDescent="0.2">
      <c r="A355" s="1">
        <v>36312</v>
      </c>
      <c r="B355" s="1">
        <v>36341</v>
      </c>
      <c r="C355">
        <v>58.4</v>
      </c>
      <c r="D355">
        <v>0.65959999999999996</v>
      </c>
      <c r="E355">
        <v>26.857288457851499</v>
      </c>
      <c r="G355">
        <v>27.6</v>
      </c>
      <c r="H355">
        <v>26.1</v>
      </c>
      <c r="I355">
        <v>15.8</v>
      </c>
      <c r="J355">
        <v>2.93</v>
      </c>
      <c r="K355" s="2">
        <v>4.76</v>
      </c>
      <c r="L355">
        <v>4.7646666666666659</v>
      </c>
      <c r="M355">
        <f t="shared" si="11"/>
        <v>-4.6666666666661527E-3</v>
      </c>
      <c r="N355">
        <v>5.2961904761904766</v>
      </c>
      <c r="O355">
        <v>5.6186363636363641</v>
      </c>
      <c r="P355">
        <f t="shared" si="9"/>
        <v>-0.32244588744588754</v>
      </c>
      <c r="Q355">
        <v>6.206666666666667</v>
      </c>
      <c r="R355">
        <v>5.8995454545454544</v>
      </c>
      <c r="S355">
        <f t="shared" si="10"/>
        <v>0.30712121212121257</v>
      </c>
      <c r="T355">
        <v>23.626363636363635</v>
      </c>
      <c r="U355">
        <v>71.186254006605409</v>
      </c>
      <c r="V355">
        <v>57.530256198987587</v>
      </c>
      <c r="W355">
        <v>79.410545349121094</v>
      </c>
      <c r="X355">
        <v>75.961349487304688</v>
      </c>
      <c r="Y355">
        <v>83.761520385742188</v>
      </c>
      <c r="Z355">
        <v>3.9799168705940247E-2</v>
      </c>
    </row>
    <row r="356" spans="1:26" x14ac:dyDescent="0.2">
      <c r="A356" s="1">
        <v>36342</v>
      </c>
      <c r="B356" s="1">
        <v>36372</v>
      </c>
      <c r="C356">
        <v>57.1</v>
      </c>
      <c r="D356">
        <v>0.65200000000000002</v>
      </c>
      <c r="E356">
        <v>27.080113746602098</v>
      </c>
      <c r="G356">
        <v>27.6</v>
      </c>
      <c r="H356">
        <v>26.1</v>
      </c>
      <c r="I356">
        <v>19</v>
      </c>
      <c r="J356">
        <v>2.99</v>
      </c>
      <c r="K356" s="2">
        <v>4.74</v>
      </c>
      <c r="L356">
        <v>4.9941935483870958</v>
      </c>
      <c r="M356">
        <f t="shared" si="11"/>
        <v>-0.25419354838709562</v>
      </c>
      <c r="N356">
        <v>5.1940909090909093</v>
      </c>
      <c r="O356">
        <v>5.5547619047619046</v>
      </c>
      <c r="P356">
        <f t="shared" si="9"/>
        <v>-0.36067099567099525</v>
      </c>
      <c r="Q356">
        <v>6.1359090909090916</v>
      </c>
      <c r="R356">
        <v>5.7919047619047621</v>
      </c>
      <c r="S356">
        <f t="shared" si="10"/>
        <v>0.34400432900432953</v>
      </c>
      <c r="T356">
        <v>21.04904761904762</v>
      </c>
      <c r="U356">
        <v>72.739287859965359</v>
      </c>
      <c r="V356">
        <v>45.385427212600497</v>
      </c>
      <c r="W356">
        <v>62.142871856689453</v>
      </c>
      <c r="X356">
        <v>66.837287902832031</v>
      </c>
      <c r="Y356">
        <v>54.257926940917969</v>
      </c>
      <c r="Z356">
        <v>3.1591583043336868E-2</v>
      </c>
    </row>
    <row r="357" spans="1:26" x14ac:dyDescent="0.2">
      <c r="A357" s="1">
        <v>36373</v>
      </c>
      <c r="B357" s="1">
        <v>36403</v>
      </c>
      <c r="C357">
        <v>56</v>
      </c>
      <c r="D357">
        <v>0.63790000000000002</v>
      </c>
      <c r="E357">
        <v>27.2567094660374</v>
      </c>
      <c r="G357">
        <v>27.6</v>
      </c>
      <c r="H357">
        <v>26.1</v>
      </c>
      <c r="I357">
        <v>20.2</v>
      </c>
      <c r="J357">
        <v>3.17</v>
      </c>
      <c r="K357" s="2">
        <v>4.7300000000000004</v>
      </c>
      <c r="L357">
        <v>5.0722580645161299</v>
      </c>
      <c r="M357">
        <f t="shared" si="11"/>
        <v>-0.3422580645161295</v>
      </c>
      <c r="N357">
        <v>5.3218181818181813</v>
      </c>
      <c r="O357">
        <v>5.6781818181818187</v>
      </c>
      <c r="P357">
        <f t="shared" si="9"/>
        <v>-0.35636363636363733</v>
      </c>
      <c r="Q357">
        <v>6.34</v>
      </c>
      <c r="R357">
        <v>5.9390909090909085</v>
      </c>
      <c r="S357">
        <f t="shared" si="10"/>
        <v>0.40090909090909133</v>
      </c>
      <c r="T357">
        <v>24.323636363636357</v>
      </c>
      <c r="U357">
        <v>67.286640876741799</v>
      </c>
      <c r="V357">
        <v>39.492881111189746</v>
      </c>
      <c r="W357">
        <v>62.858642578125</v>
      </c>
      <c r="X357">
        <v>65.262107849121094</v>
      </c>
      <c r="Y357">
        <v>57.959991455078125</v>
      </c>
      <c r="Z357">
        <v>6.2191091477870941E-2</v>
      </c>
    </row>
    <row r="358" spans="1:26" x14ac:dyDescent="0.2">
      <c r="A358" s="1">
        <v>36404</v>
      </c>
      <c r="B358" s="1">
        <v>36433</v>
      </c>
      <c r="C358">
        <v>57</v>
      </c>
      <c r="D358">
        <v>0.65359999999999996</v>
      </c>
      <c r="E358">
        <v>27.287180388120198</v>
      </c>
      <c r="G358">
        <v>27.6</v>
      </c>
      <c r="H358">
        <v>26.1</v>
      </c>
      <c r="I358">
        <v>22.4</v>
      </c>
      <c r="J358">
        <v>3.35</v>
      </c>
      <c r="K358" s="2">
        <v>4.75</v>
      </c>
      <c r="L358">
        <v>5.2243333333333331</v>
      </c>
      <c r="M358">
        <f t="shared" si="11"/>
        <v>-0.47433333333333305</v>
      </c>
      <c r="N358">
        <v>5.4263636363636358</v>
      </c>
      <c r="O358">
        <v>5.6619047619047622</v>
      </c>
      <c r="P358">
        <f t="shared" si="9"/>
        <v>-0.23554112554112638</v>
      </c>
      <c r="Q358">
        <v>6.3413636363636376</v>
      </c>
      <c r="R358">
        <v>5.9152380952380961</v>
      </c>
      <c r="S358">
        <f t="shared" si="10"/>
        <v>0.42612554112554157</v>
      </c>
      <c r="T358">
        <v>24.541428571428572</v>
      </c>
      <c r="U358">
        <v>69.660690349988101</v>
      </c>
      <c r="V358">
        <v>74.780855752175214</v>
      </c>
      <c r="W358">
        <v>69.581512451171875</v>
      </c>
      <c r="X358">
        <v>75.54266357421875</v>
      </c>
      <c r="Y358">
        <v>62.214027404785156</v>
      </c>
      <c r="Z358">
        <v>0.37572619318962097</v>
      </c>
    </row>
    <row r="359" spans="1:26" x14ac:dyDescent="0.2">
      <c r="A359" s="1">
        <v>36434</v>
      </c>
      <c r="B359" s="1">
        <v>36464</v>
      </c>
      <c r="C359">
        <v>55.7</v>
      </c>
      <c r="D359">
        <v>0.64459999999999995</v>
      </c>
      <c r="E359">
        <v>27.540987270365601</v>
      </c>
      <c r="G359">
        <v>27.6</v>
      </c>
      <c r="H359">
        <v>25.6</v>
      </c>
      <c r="I359">
        <v>22</v>
      </c>
      <c r="J359">
        <v>3.57</v>
      </c>
      <c r="K359" s="2">
        <v>4.75</v>
      </c>
      <c r="L359">
        <v>5.2000000000000011</v>
      </c>
      <c r="M359">
        <f t="shared" si="11"/>
        <v>-0.45000000000000107</v>
      </c>
      <c r="N359">
        <v>5.838571428571429</v>
      </c>
      <c r="O359">
        <v>5.8624999999999998</v>
      </c>
      <c r="P359">
        <f t="shared" si="9"/>
        <v>-2.3928571428570855E-2</v>
      </c>
      <c r="Q359">
        <v>6.6066666666666674</v>
      </c>
      <c r="R359">
        <v>6.1119999999999992</v>
      </c>
      <c r="S359">
        <f t="shared" si="10"/>
        <v>0.49466666666666814</v>
      </c>
      <c r="T359">
        <v>24.021428571428569</v>
      </c>
      <c r="U359">
        <v>67.003147346758539</v>
      </c>
      <c r="V359">
        <v>64.874512454937374</v>
      </c>
      <c r="W359">
        <v>72.353485107421875</v>
      </c>
      <c r="X359">
        <v>79.384109497070312</v>
      </c>
      <c r="Y359">
        <v>60.161952972412109</v>
      </c>
      <c r="Z359">
        <v>0.11800598353147507</v>
      </c>
    </row>
    <row r="360" spans="1:26" x14ac:dyDescent="0.2">
      <c r="A360" s="1">
        <v>36465</v>
      </c>
      <c r="B360" s="1">
        <v>36494</v>
      </c>
      <c r="C360">
        <v>55.3</v>
      </c>
      <c r="D360">
        <v>0.63759999999999994</v>
      </c>
      <c r="E360">
        <v>27.5068690124358</v>
      </c>
      <c r="G360">
        <v>27.6</v>
      </c>
      <c r="H360">
        <v>25.1</v>
      </c>
      <c r="I360">
        <v>24.6</v>
      </c>
      <c r="J360">
        <v>3.73</v>
      </c>
      <c r="K360" s="2">
        <v>4.9800000000000004</v>
      </c>
      <c r="L360">
        <v>5.4200000000000008</v>
      </c>
      <c r="M360">
        <f t="shared" si="11"/>
        <v>-0.44000000000000039</v>
      </c>
      <c r="N360">
        <v>5.9354545454545464</v>
      </c>
      <c r="O360">
        <v>5.862000000000001</v>
      </c>
      <c r="P360">
        <f t="shared" si="9"/>
        <v>7.3454545454545439E-2</v>
      </c>
      <c r="Q360">
        <v>6.5563636363636366</v>
      </c>
      <c r="R360">
        <v>6.0340000000000007</v>
      </c>
      <c r="S360">
        <f t="shared" si="10"/>
        <v>0.52236363636363592</v>
      </c>
      <c r="T360">
        <v>21.818095238095236</v>
      </c>
      <c r="U360">
        <v>69.666091785938391</v>
      </c>
      <c r="V360">
        <v>54.523921114087116</v>
      </c>
      <c r="W360">
        <v>57.9638671875</v>
      </c>
      <c r="X360">
        <v>60.386981964111328</v>
      </c>
      <c r="Y360">
        <v>52.497966766357422</v>
      </c>
      <c r="Z360">
        <v>4.7795437276363373E-2</v>
      </c>
    </row>
    <row r="361" spans="1:26" x14ac:dyDescent="0.2">
      <c r="A361" s="1">
        <v>36495</v>
      </c>
      <c r="B361" s="1">
        <v>36525</v>
      </c>
      <c r="C361">
        <v>56.4</v>
      </c>
      <c r="D361">
        <v>0.65380000000000005</v>
      </c>
      <c r="E361">
        <v>27.488113602087399</v>
      </c>
      <c r="G361">
        <v>27.6</v>
      </c>
      <c r="H361">
        <v>25.1</v>
      </c>
      <c r="I361">
        <v>25.6</v>
      </c>
      <c r="J361">
        <v>3.94</v>
      </c>
      <c r="K361" s="2">
        <v>4.97</v>
      </c>
      <c r="L361">
        <v>5.2958064516129069</v>
      </c>
      <c r="M361">
        <f t="shared" si="11"/>
        <v>-0.32580645161290711</v>
      </c>
      <c r="N361">
        <v>6.057619047619049</v>
      </c>
      <c r="O361">
        <v>6.1045454545454536</v>
      </c>
      <c r="P361">
        <f t="shared" si="9"/>
        <v>-4.6926406926404596E-2</v>
      </c>
      <c r="Q361">
        <v>6.7371428571428584</v>
      </c>
      <c r="R361">
        <v>6.2754545454545445</v>
      </c>
      <c r="S361">
        <f t="shared" si="10"/>
        <v>0.46168831168831392</v>
      </c>
      <c r="T361">
        <v>22.04095238095238</v>
      </c>
      <c r="U361">
        <v>62.740453441447457</v>
      </c>
      <c r="V361">
        <v>36.857501962065712</v>
      </c>
      <c r="W361">
        <v>86.084938049316406</v>
      </c>
      <c r="X361">
        <v>95.510826110839844</v>
      </c>
      <c r="Y361">
        <v>86.469734191894531</v>
      </c>
      <c r="Z361">
        <v>7.939784973859787E-2</v>
      </c>
    </row>
    <row r="362" spans="1:26" x14ac:dyDescent="0.2">
      <c r="A362" s="1">
        <v>36526</v>
      </c>
      <c r="B362" s="1">
        <v>36556</v>
      </c>
      <c r="C362">
        <v>56</v>
      </c>
      <c r="D362">
        <v>0.63819999999999999</v>
      </c>
      <c r="E362">
        <v>28.1963109292269</v>
      </c>
      <c r="G362">
        <v>28.8</v>
      </c>
      <c r="H362">
        <v>25.1</v>
      </c>
      <c r="I362">
        <v>25.4</v>
      </c>
      <c r="J362">
        <v>4.1500000000000004</v>
      </c>
      <c r="K362" s="2">
        <v>4.9800000000000004</v>
      </c>
      <c r="L362">
        <v>5.4483870967741952</v>
      </c>
      <c r="M362">
        <f t="shared" si="11"/>
        <v>-0.46838709677419477</v>
      </c>
      <c r="N362">
        <v>6.5605263157894722</v>
      </c>
      <c r="O362">
        <v>6.4399999999999995</v>
      </c>
      <c r="P362">
        <f t="shared" si="9"/>
        <v>0.1205263157894727</v>
      </c>
      <c r="Q362">
        <v>7.1778947368421049</v>
      </c>
      <c r="R362">
        <v>6.6610000000000014</v>
      </c>
      <c r="S362">
        <f t="shared" si="10"/>
        <v>0.51689473684210352</v>
      </c>
      <c r="T362">
        <v>23.201999999999998</v>
      </c>
      <c r="U362">
        <v>67.118366873678156</v>
      </c>
      <c r="V362">
        <v>69.788649352314863</v>
      </c>
      <c r="W362">
        <v>64.457809448242188</v>
      </c>
      <c r="X362">
        <v>65.573600769042969</v>
      </c>
      <c r="Y362">
        <v>64.250411987304688</v>
      </c>
      <c r="Z362">
        <v>3.5969067364931107E-2</v>
      </c>
    </row>
    <row r="363" spans="1:26" x14ac:dyDescent="0.2">
      <c r="A363" s="1">
        <v>36557</v>
      </c>
      <c r="B363" s="1">
        <v>36585</v>
      </c>
      <c r="C363">
        <v>54.5</v>
      </c>
      <c r="D363">
        <v>0.61429999999999996</v>
      </c>
      <c r="E363">
        <v>29.197176997979099</v>
      </c>
      <c r="G363">
        <v>28.8</v>
      </c>
      <c r="H363">
        <v>25.1</v>
      </c>
      <c r="I363">
        <v>27.7</v>
      </c>
      <c r="J363">
        <v>4.21</v>
      </c>
      <c r="K363" s="2">
        <v>5.46</v>
      </c>
      <c r="L363">
        <v>5.7348275862068956</v>
      </c>
      <c r="M363">
        <f t="shared" si="11"/>
        <v>-0.27482758620689562</v>
      </c>
      <c r="N363">
        <v>6.5614285714285723</v>
      </c>
      <c r="O363">
        <v>6.6104999999999974</v>
      </c>
      <c r="P363">
        <f t="shared" si="9"/>
        <v>-4.9071428571425102E-2</v>
      </c>
      <c r="Q363">
        <v>6.9576190476190485</v>
      </c>
      <c r="R363">
        <v>6.519499999999999</v>
      </c>
      <c r="S363">
        <f t="shared" si="10"/>
        <v>0.43811904761904952</v>
      </c>
      <c r="T363">
        <v>23.595500000000001</v>
      </c>
      <c r="U363">
        <v>62.255125471848139</v>
      </c>
      <c r="V363">
        <v>63.003318366891378</v>
      </c>
      <c r="W363">
        <v>63.541721343994141</v>
      </c>
      <c r="X363">
        <v>57.651359558105469</v>
      </c>
      <c r="Y363">
        <v>68.082168579101562</v>
      </c>
      <c r="Z363">
        <v>3.3382900059223175E-2</v>
      </c>
    </row>
    <row r="364" spans="1:26" x14ac:dyDescent="0.2">
      <c r="A364" s="1">
        <v>36586</v>
      </c>
      <c r="B364" s="1">
        <v>36616</v>
      </c>
      <c r="C364">
        <v>53.1</v>
      </c>
      <c r="D364">
        <v>0.60550000000000004</v>
      </c>
      <c r="E364">
        <v>28.955694735200598</v>
      </c>
      <c r="G364">
        <v>28.8</v>
      </c>
      <c r="H364">
        <v>25.1</v>
      </c>
      <c r="I364">
        <v>27.5</v>
      </c>
      <c r="J364">
        <v>4.46</v>
      </c>
      <c r="K364" s="2">
        <v>5.49</v>
      </c>
      <c r="L364">
        <v>5.8535483870967733</v>
      </c>
      <c r="M364">
        <f t="shared" si="11"/>
        <v>-0.36354838709677306</v>
      </c>
      <c r="N364">
        <v>6.3034782608695652</v>
      </c>
      <c r="O364">
        <v>6.5282608695652176</v>
      </c>
      <c r="P364">
        <f t="shared" si="9"/>
        <v>-0.22478260869565236</v>
      </c>
      <c r="Q364">
        <v>6.5704347826086957</v>
      </c>
      <c r="R364">
        <v>6.2565217391304353</v>
      </c>
      <c r="S364">
        <f t="shared" si="10"/>
        <v>0.31391304347826043</v>
      </c>
      <c r="T364">
        <v>22.718260869565221</v>
      </c>
      <c r="U364">
        <v>62.945459017675688</v>
      </c>
      <c r="V364">
        <v>52.30041159991822</v>
      </c>
      <c r="W364">
        <v>50.101985931396484</v>
      </c>
      <c r="X364">
        <v>55.030735015869141</v>
      </c>
      <c r="Y364">
        <v>40.81640625</v>
      </c>
      <c r="Z364">
        <v>3.284701332449913E-2</v>
      </c>
    </row>
    <row r="365" spans="1:26" x14ac:dyDescent="0.2">
      <c r="A365" s="1">
        <v>36617</v>
      </c>
      <c r="B365" s="1">
        <v>36646</v>
      </c>
      <c r="C365">
        <v>52.5</v>
      </c>
      <c r="D365">
        <v>0.59089999999999998</v>
      </c>
      <c r="E365">
        <v>28.8264683192915</v>
      </c>
      <c r="G365">
        <v>28.8</v>
      </c>
      <c r="H365">
        <v>25.1</v>
      </c>
      <c r="I365">
        <v>22.5</v>
      </c>
      <c r="J365">
        <v>4.6399999999999997</v>
      </c>
      <c r="K365" s="2">
        <v>5.72</v>
      </c>
      <c r="L365">
        <v>6.0196666666666676</v>
      </c>
      <c r="M365">
        <f t="shared" si="11"/>
        <v>-0.29966666666666786</v>
      </c>
      <c r="N365">
        <v>6.1711764705882359</v>
      </c>
      <c r="O365">
        <v>6.4036842105263148</v>
      </c>
      <c r="P365">
        <f t="shared" si="9"/>
        <v>-0.23250773993807883</v>
      </c>
      <c r="Q365">
        <v>6.2647058823529411</v>
      </c>
      <c r="R365">
        <v>5.9905263157894737</v>
      </c>
      <c r="S365">
        <f t="shared" si="10"/>
        <v>0.27417956656346743</v>
      </c>
      <c r="T365">
        <v>27.164210526315788</v>
      </c>
      <c r="U365">
        <v>65.188678785932993</v>
      </c>
      <c r="V365">
        <v>73.939972903910444</v>
      </c>
      <c r="W365">
        <v>48.6827392578125</v>
      </c>
      <c r="X365">
        <v>53.304904937744141</v>
      </c>
      <c r="Y365">
        <v>40.917026519775391</v>
      </c>
      <c r="Z365">
        <v>3.2981529831886292E-2</v>
      </c>
    </row>
    <row r="366" spans="1:26" x14ac:dyDescent="0.2">
      <c r="A366" s="1">
        <v>36647</v>
      </c>
      <c r="B366" s="1">
        <v>36677</v>
      </c>
      <c r="C366">
        <v>51.4</v>
      </c>
      <c r="D366">
        <v>0.57350000000000001</v>
      </c>
      <c r="E366">
        <v>29.8205799571586</v>
      </c>
      <c r="G366">
        <v>28.8</v>
      </c>
      <c r="H366">
        <v>25.6</v>
      </c>
      <c r="I366">
        <v>27.3</v>
      </c>
      <c r="J366">
        <v>4.53</v>
      </c>
      <c r="K366" s="2">
        <v>5.98</v>
      </c>
      <c r="L366">
        <v>6.2680645161290345</v>
      </c>
      <c r="M366">
        <f t="shared" si="11"/>
        <v>-0.28806451612903405</v>
      </c>
      <c r="N366">
        <v>6.2995652173913053</v>
      </c>
      <c r="O366">
        <v>6.8095454545454546</v>
      </c>
      <c r="P366">
        <f t="shared" si="9"/>
        <v>-0.50998023715414931</v>
      </c>
      <c r="Q366">
        <v>6.4656521739130435</v>
      </c>
      <c r="R366">
        <v>6.4404545454545454</v>
      </c>
      <c r="S366">
        <f t="shared" si="10"/>
        <v>2.5197628458498045E-2</v>
      </c>
      <c r="T366">
        <v>26.373181818181816</v>
      </c>
      <c r="U366">
        <v>87.872623583748748</v>
      </c>
      <c r="V366">
        <v>104.06249661603104</v>
      </c>
      <c r="W366">
        <v>79.482879638671875</v>
      </c>
      <c r="X366">
        <v>77.269699096679688</v>
      </c>
      <c r="Y366">
        <v>83.227813720703125</v>
      </c>
      <c r="Z366">
        <v>6.819538027048111E-2</v>
      </c>
    </row>
    <row r="367" spans="1:26" x14ac:dyDescent="0.2">
      <c r="A367" s="1">
        <v>36678</v>
      </c>
      <c r="B367" s="1">
        <v>36707</v>
      </c>
      <c r="C367">
        <v>53.3</v>
      </c>
      <c r="D367">
        <v>0.59860000000000002</v>
      </c>
      <c r="E367">
        <v>29.935378789931502</v>
      </c>
      <c r="G367">
        <v>28.8</v>
      </c>
      <c r="H367">
        <v>25.6</v>
      </c>
      <c r="I367">
        <v>29.7</v>
      </c>
      <c r="J367">
        <v>4.74</v>
      </c>
      <c r="K367" s="2">
        <v>6</v>
      </c>
      <c r="L367">
        <v>6.5283333333333333</v>
      </c>
      <c r="M367">
        <f t="shared" si="11"/>
        <v>-0.52833333333333332</v>
      </c>
      <c r="N367">
        <v>5.9538095238095243</v>
      </c>
      <c r="O367">
        <v>6.4818181818181815</v>
      </c>
      <c r="P367">
        <f t="shared" ref="P367:P430" si="12">N367-O367</f>
        <v>-0.52800865800865715</v>
      </c>
      <c r="Q367">
        <v>6.1723809523809523</v>
      </c>
      <c r="R367">
        <v>6.0972727272727267</v>
      </c>
      <c r="S367">
        <f t="shared" si="10"/>
        <v>7.5108225108225568E-2</v>
      </c>
      <c r="T367">
        <v>21.54</v>
      </c>
      <c r="U367">
        <v>90.534327978323859</v>
      </c>
      <c r="V367">
        <v>99.220753195038441</v>
      </c>
      <c r="W367">
        <v>64.717819213867188</v>
      </c>
      <c r="X367">
        <v>73.574668884277344</v>
      </c>
      <c r="Y367">
        <v>53.174400329589844</v>
      </c>
      <c r="Z367">
        <v>0.10593220591545105</v>
      </c>
    </row>
    <row r="368" spans="1:26" x14ac:dyDescent="0.2">
      <c r="A368" s="1">
        <v>36708</v>
      </c>
      <c r="B368" s="1">
        <v>36738</v>
      </c>
      <c r="C368">
        <v>52.7</v>
      </c>
      <c r="D368">
        <v>0.58220000000000005</v>
      </c>
      <c r="E368">
        <v>30.22860173366</v>
      </c>
      <c r="G368">
        <v>28.8</v>
      </c>
      <c r="H368">
        <v>25.6</v>
      </c>
      <c r="I368">
        <v>28.5</v>
      </c>
      <c r="J368">
        <v>4.8600000000000003</v>
      </c>
      <c r="K368" s="2">
        <v>5.99</v>
      </c>
      <c r="L368">
        <v>6.5445161290322575</v>
      </c>
      <c r="M368">
        <f t="shared" si="11"/>
        <v>-0.55451612903225733</v>
      </c>
      <c r="N368">
        <v>5.9342857142857151</v>
      </c>
      <c r="O368">
        <v>6.3389999999999986</v>
      </c>
      <c r="P368">
        <f t="shared" si="12"/>
        <v>-0.40471428571428358</v>
      </c>
      <c r="Q368">
        <v>6.1619047619047631</v>
      </c>
      <c r="R368">
        <v>6.0540000000000012</v>
      </c>
      <c r="S368">
        <f t="shared" si="10"/>
        <v>0.10790476190476195</v>
      </c>
      <c r="T368">
        <v>19.893000000000001</v>
      </c>
      <c r="U368">
        <v>68.550072041946592</v>
      </c>
      <c r="V368">
        <v>70.960827234792049</v>
      </c>
      <c r="W368">
        <v>51.904022216796875</v>
      </c>
      <c r="X368">
        <v>57.316974639892578</v>
      </c>
      <c r="Y368">
        <v>41.059078216552734</v>
      </c>
      <c r="Z368">
        <v>8.8960058987140656E-2</v>
      </c>
    </row>
    <row r="369" spans="1:26" x14ac:dyDescent="0.2">
      <c r="A369" s="1">
        <v>36739</v>
      </c>
      <c r="B369" s="1">
        <v>36769</v>
      </c>
      <c r="C369">
        <v>52.2</v>
      </c>
      <c r="D369">
        <v>0.57479999999999998</v>
      </c>
      <c r="E369">
        <v>30.597278854353998</v>
      </c>
      <c r="G369">
        <v>28.8</v>
      </c>
      <c r="H369">
        <v>25.6</v>
      </c>
      <c r="I369">
        <v>29.4</v>
      </c>
      <c r="J369">
        <v>4.84</v>
      </c>
      <c r="K369" s="2">
        <v>6.24</v>
      </c>
      <c r="L369">
        <v>6.4967741935483847</v>
      </c>
      <c r="M369">
        <f t="shared" si="11"/>
        <v>-0.25677419354838449</v>
      </c>
      <c r="N369">
        <v>6.3297826086956528</v>
      </c>
      <c r="O369">
        <v>6.2286956521739123</v>
      </c>
      <c r="P369">
        <f t="shared" si="12"/>
        <v>0.10108695652174049</v>
      </c>
      <c r="Q369">
        <v>6.227391304347826</v>
      </c>
      <c r="R369">
        <v>5.8260869565217392</v>
      </c>
      <c r="S369">
        <f t="shared" si="10"/>
        <v>0.4013043478260867</v>
      </c>
      <c r="T369">
        <v>18.088695652173914</v>
      </c>
      <c r="U369">
        <v>55.440610164723338</v>
      </c>
      <c r="V369">
        <v>62.675007699597863</v>
      </c>
      <c r="W369">
        <v>46.492256164550781</v>
      </c>
      <c r="X369">
        <v>49.192291259765625</v>
      </c>
      <c r="Y369">
        <v>41.585922241210938</v>
      </c>
      <c r="Z369">
        <v>4.7370914369821548E-2</v>
      </c>
    </row>
    <row r="370" spans="1:26" x14ac:dyDescent="0.2">
      <c r="A370" s="1">
        <v>36770</v>
      </c>
      <c r="B370" s="1">
        <v>36799</v>
      </c>
      <c r="C370">
        <v>49.9</v>
      </c>
      <c r="D370">
        <v>0.54330000000000001</v>
      </c>
      <c r="E370">
        <v>31.179288243233401</v>
      </c>
      <c r="G370">
        <v>28.8</v>
      </c>
      <c r="H370">
        <v>27.2</v>
      </c>
      <c r="I370">
        <v>32.6</v>
      </c>
      <c r="J370">
        <v>4.9000000000000004</v>
      </c>
      <c r="K370" s="2">
        <v>6.24</v>
      </c>
      <c r="L370">
        <v>6.5169999999999977</v>
      </c>
      <c r="M370">
        <f t="shared" si="11"/>
        <v>-0.27699999999999747</v>
      </c>
      <c r="N370">
        <v>6.2666666666666666</v>
      </c>
      <c r="O370">
        <v>6.0815000000000001</v>
      </c>
      <c r="P370">
        <f t="shared" si="12"/>
        <v>0.18516666666666648</v>
      </c>
      <c r="Q370">
        <v>6.1361904761904755</v>
      </c>
      <c r="R370">
        <v>5.7990000000000004</v>
      </c>
      <c r="S370">
        <f t="shared" si="10"/>
        <v>0.33719047619047515</v>
      </c>
      <c r="T370">
        <v>19.687500000000004</v>
      </c>
      <c r="U370">
        <v>60.611901200737599</v>
      </c>
      <c r="V370">
        <v>45.120364230893649</v>
      </c>
      <c r="W370">
        <v>52.689998626708984</v>
      </c>
      <c r="X370">
        <v>64.444992065429688</v>
      </c>
      <c r="Y370">
        <v>35.192142486572266</v>
      </c>
      <c r="Z370">
        <v>2.2376995533704758E-2</v>
      </c>
    </row>
    <row r="371" spans="1:26" x14ac:dyDescent="0.2">
      <c r="A371" s="1">
        <v>36800</v>
      </c>
      <c r="B371" s="1">
        <v>36830</v>
      </c>
      <c r="C371">
        <v>48.2</v>
      </c>
      <c r="D371">
        <v>0.51480000000000004</v>
      </c>
      <c r="E371">
        <v>31.086699012510199</v>
      </c>
      <c r="G371">
        <v>28.8</v>
      </c>
      <c r="H371">
        <v>27.2</v>
      </c>
      <c r="I371">
        <v>30.9</v>
      </c>
      <c r="J371">
        <v>5.04</v>
      </c>
      <c r="K371" s="2">
        <v>6.23</v>
      </c>
      <c r="L371">
        <v>6.5093548387096769</v>
      </c>
      <c r="M371">
        <f t="shared" si="11"/>
        <v>-0.27935483870967648</v>
      </c>
      <c r="N371">
        <v>6.04</v>
      </c>
      <c r="O371">
        <v>5.9123809523809525</v>
      </c>
      <c r="P371">
        <f t="shared" si="12"/>
        <v>0.12761904761904752</v>
      </c>
      <c r="Q371">
        <v>6.1079545454545459</v>
      </c>
      <c r="R371">
        <v>5.7385714285714284</v>
      </c>
      <c r="S371">
        <f t="shared" si="10"/>
        <v>0.36938311688311742</v>
      </c>
      <c r="T371">
        <v>25.2</v>
      </c>
      <c r="U371">
        <v>70.205191955949843</v>
      </c>
      <c r="V371">
        <v>50.568191523699269</v>
      </c>
      <c r="W371">
        <v>76.456527709960938</v>
      </c>
      <c r="X371">
        <v>82.387603759765625</v>
      </c>
      <c r="Y371">
        <v>77.610145568847656</v>
      </c>
      <c r="Z371">
        <v>2.74967011064291E-2</v>
      </c>
    </row>
    <row r="372" spans="1:26" x14ac:dyDescent="0.2">
      <c r="A372" s="1">
        <v>36831</v>
      </c>
      <c r="B372" s="1">
        <v>36860</v>
      </c>
      <c r="C372">
        <v>49.2</v>
      </c>
      <c r="D372">
        <v>0.52270000000000005</v>
      </c>
      <c r="E372">
        <v>30.8174473315153</v>
      </c>
      <c r="G372">
        <v>28.8</v>
      </c>
      <c r="H372">
        <v>27.2</v>
      </c>
      <c r="I372">
        <v>32.5</v>
      </c>
      <c r="J372">
        <v>5.13</v>
      </c>
      <c r="K372" s="2">
        <v>6.22</v>
      </c>
      <c r="L372">
        <v>6.5143333333333366</v>
      </c>
      <c r="M372">
        <f t="shared" si="11"/>
        <v>-0.29433333333333689</v>
      </c>
      <c r="N372">
        <v>5.9004545454545454</v>
      </c>
      <c r="O372">
        <v>5.875238095238096</v>
      </c>
      <c r="P372">
        <f t="shared" si="12"/>
        <v>2.521645021644936E-2</v>
      </c>
      <c r="Q372">
        <v>5.9895454545454534</v>
      </c>
      <c r="R372">
        <v>5.7171428571428571</v>
      </c>
      <c r="S372">
        <f t="shared" si="10"/>
        <v>0.27240259740259631</v>
      </c>
      <c r="T372">
        <v>26.382857142857141</v>
      </c>
      <c r="U372">
        <v>107.1972369114437</v>
      </c>
      <c r="V372">
        <v>101.78375543324485</v>
      </c>
      <c r="W372">
        <v>45.060562133789062</v>
      </c>
      <c r="X372">
        <v>44.357688903808594</v>
      </c>
      <c r="Y372">
        <v>47.206809997558594</v>
      </c>
      <c r="Z372">
        <v>2.5028504431247711E-2</v>
      </c>
    </row>
    <row r="373" spans="1:26" x14ac:dyDescent="0.2">
      <c r="A373" s="1">
        <v>36861</v>
      </c>
      <c r="B373" s="1">
        <v>36891</v>
      </c>
      <c r="C373">
        <v>51.6</v>
      </c>
      <c r="D373">
        <v>0.55400000000000005</v>
      </c>
      <c r="E373">
        <v>30.594516147122899</v>
      </c>
      <c r="G373">
        <v>28.8</v>
      </c>
      <c r="H373">
        <v>30.8</v>
      </c>
      <c r="I373">
        <v>25.1</v>
      </c>
      <c r="J373">
        <v>5.05</v>
      </c>
      <c r="K373" s="2">
        <v>6.23</v>
      </c>
      <c r="L373">
        <v>6.4022580645161291</v>
      </c>
      <c r="M373">
        <f t="shared" si="11"/>
        <v>-0.17225806451612868</v>
      </c>
      <c r="N373">
        <v>5.39</v>
      </c>
      <c r="O373">
        <v>5.3519999999999985</v>
      </c>
      <c r="P373">
        <f t="shared" si="12"/>
        <v>3.8000000000001144E-2</v>
      </c>
      <c r="Q373">
        <v>5.5431578947368418</v>
      </c>
      <c r="R373">
        <v>5.2404999999999999</v>
      </c>
      <c r="S373">
        <f t="shared" si="10"/>
        <v>0.3026578947368419</v>
      </c>
      <c r="T373">
        <v>26.5305</v>
      </c>
      <c r="U373">
        <v>101.1736935026024</v>
      </c>
      <c r="V373">
        <v>73.783413050200622</v>
      </c>
      <c r="W373">
        <v>45.395099639892578</v>
      </c>
      <c r="X373">
        <v>46.168979644775391</v>
      </c>
      <c r="Y373">
        <v>43.983352661132812</v>
      </c>
      <c r="Z373">
        <v>2.1612275391817093E-2</v>
      </c>
    </row>
    <row r="374" spans="1:26" x14ac:dyDescent="0.2">
      <c r="A374" s="1">
        <v>36892</v>
      </c>
      <c r="B374" s="1">
        <v>36922</v>
      </c>
      <c r="C374">
        <v>51.1</v>
      </c>
      <c r="D374">
        <v>0.54659999999999997</v>
      </c>
      <c r="E374">
        <v>30.5825833903363</v>
      </c>
      <c r="G374">
        <v>30</v>
      </c>
      <c r="H374">
        <v>32.1</v>
      </c>
      <c r="I374">
        <v>25.6</v>
      </c>
      <c r="J374">
        <v>4.88</v>
      </c>
      <c r="K374" s="2">
        <v>6.24</v>
      </c>
      <c r="L374">
        <v>5.9758064516129039</v>
      </c>
      <c r="M374">
        <f t="shared" si="11"/>
        <v>0.2641935483870963</v>
      </c>
      <c r="N374">
        <v>4.9811904761904753</v>
      </c>
      <c r="O374">
        <v>4.7600000000000007</v>
      </c>
      <c r="P374">
        <f t="shared" si="12"/>
        <v>0.22119047619047461</v>
      </c>
      <c r="Q374">
        <v>5.4054761904761905</v>
      </c>
      <c r="R374">
        <v>5.1609523809523816</v>
      </c>
      <c r="S374">
        <f t="shared" si="10"/>
        <v>0.24452380952380892</v>
      </c>
      <c r="T374">
        <v>24.918571428571425</v>
      </c>
      <c r="U374">
        <v>101.4506132575975</v>
      </c>
      <c r="V374">
        <v>98.797366356540948</v>
      </c>
      <c r="W374">
        <v>46.899555206298828</v>
      </c>
      <c r="X374">
        <v>53.702358245849609</v>
      </c>
      <c r="Y374">
        <v>38.343318939208984</v>
      </c>
      <c r="Z374">
        <v>2.0261079072952271E-2</v>
      </c>
    </row>
    <row r="375" spans="1:26" x14ac:dyDescent="0.2">
      <c r="A375" s="1">
        <v>36923</v>
      </c>
      <c r="B375" s="1">
        <v>36950</v>
      </c>
      <c r="C375">
        <v>49.3</v>
      </c>
      <c r="D375">
        <v>0.52500000000000002</v>
      </c>
      <c r="E375">
        <v>30.9032910736044</v>
      </c>
      <c r="G375">
        <v>30</v>
      </c>
      <c r="H375">
        <v>32.1</v>
      </c>
      <c r="I375">
        <v>27.4</v>
      </c>
      <c r="J375">
        <v>4.8</v>
      </c>
      <c r="K375" s="2">
        <v>5.84</v>
      </c>
      <c r="L375">
        <v>5.4942857142857138</v>
      </c>
      <c r="M375">
        <f t="shared" si="11"/>
        <v>0.34571428571428608</v>
      </c>
      <c r="N375">
        <v>4.8867500000000001</v>
      </c>
      <c r="O375">
        <v>4.6568421052631566</v>
      </c>
      <c r="P375">
        <f t="shared" si="12"/>
        <v>0.22990789473684359</v>
      </c>
      <c r="Q375">
        <v>5.32125</v>
      </c>
      <c r="R375">
        <v>5.0989473684210527</v>
      </c>
      <c r="S375">
        <f t="shared" si="10"/>
        <v>0.22230263157894736</v>
      </c>
      <c r="T375">
        <v>23.411578947368422</v>
      </c>
      <c r="U375">
        <v>98.346539770743917</v>
      </c>
      <c r="V375">
        <v>127.34338997907592</v>
      </c>
      <c r="W375">
        <v>55.087711334228516</v>
      </c>
      <c r="X375">
        <v>63.689891815185547</v>
      </c>
      <c r="Y375">
        <v>45.426673889160156</v>
      </c>
      <c r="Z375">
        <v>1.2637033127248287E-2</v>
      </c>
    </row>
    <row r="376" spans="1:26" x14ac:dyDescent="0.2">
      <c r="A376" s="1">
        <v>36951</v>
      </c>
      <c r="B376" s="1">
        <v>36981</v>
      </c>
      <c r="C376">
        <v>47.4</v>
      </c>
      <c r="D376">
        <v>0.48899999999999999</v>
      </c>
      <c r="E376">
        <v>30.6154906377724</v>
      </c>
      <c r="G376">
        <v>30</v>
      </c>
      <c r="H376">
        <v>32.6</v>
      </c>
      <c r="I376">
        <v>24.4</v>
      </c>
      <c r="J376">
        <v>4.87</v>
      </c>
      <c r="K376" s="2">
        <v>5.54</v>
      </c>
      <c r="L376">
        <v>5.3109677419354844</v>
      </c>
      <c r="M376">
        <f t="shared" si="11"/>
        <v>0.22903225806451566</v>
      </c>
      <c r="N376">
        <v>4.6136363636363624</v>
      </c>
      <c r="O376">
        <v>4.342272727272726</v>
      </c>
      <c r="P376">
        <f t="shared" si="12"/>
        <v>0.27136363636363647</v>
      </c>
      <c r="Q376">
        <v>5.1306818181818192</v>
      </c>
      <c r="R376">
        <v>4.8854545454545448</v>
      </c>
      <c r="S376">
        <f t="shared" si="10"/>
        <v>0.2452272727272744</v>
      </c>
      <c r="T376">
        <v>28.496818181818181</v>
      </c>
      <c r="U376">
        <v>110.0027148357177</v>
      </c>
      <c r="V376">
        <v>110.61242562815477</v>
      </c>
      <c r="W376">
        <v>61.708953857421875</v>
      </c>
      <c r="X376">
        <v>66.722183227539062</v>
      </c>
      <c r="Y376">
        <v>56.866989135742188</v>
      </c>
      <c r="Z376">
        <v>4.1070010513067245E-2</v>
      </c>
    </row>
    <row r="377" spans="1:26" x14ac:dyDescent="0.2">
      <c r="A377" s="1">
        <v>36982</v>
      </c>
      <c r="B377" s="1">
        <v>37011</v>
      </c>
      <c r="C377">
        <v>49.2</v>
      </c>
      <c r="D377">
        <v>0.50880000000000003</v>
      </c>
      <c r="E377">
        <v>31.328567180653199</v>
      </c>
      <c r="G377">
        <v>30</v>
      </c>
      <c r="H377">
        <v>33.5</v>
      </c>
      <c r="I377">
        <v>25.6</v>
      </c>
      <c r="J377">
        <v>4.7300000000000004</v>
      </c>
      <c r="K377" s="2">
        <v>5.05</v>
      </c>
      <c r="L377">
        <v>4.8019999999999987</v>
      </c>
      <c r="M377">
        <f t="shared" si="11"/>
        <v>0.24800000000000111</v>
      </c>
      <c r="N377">
        <v>4.7988888888888885</v>
      </c>
      <c r="O377">
        <v>4.234</v>
      </c>
      <c r="P377">
        <f t="shared" si="12"/>
        <v>0.56488888888888855</v>
      </c>
      <c r="Q377">
        <v>5.5772222222222227</v>
      </c>
      <c r="R377">
        <v>5.141</v>
      </c>
      <c r="S377">
        <f t="shared" si="10"/>
        <v>0.43622222222222273</v>
      </c>
      <c r="T377">
        <v>28.134000000000004</v>
      </c>
      <c r="U377">
        <v>106.34652500762731</v>
      </c>
      <c r="V377">
        <v>74.368107365508735</v>
      </c>
      <c r="W377">
        <v>50.568737030029297</v>
      </c>
      <c r="X377">
        <v>52.773670196533203</v>
      </c>
      <c r="Y377">
        <v>47.172199249267578</v>
      </c>
      <c r="Z377">
        <v>2.1107861772179604E-2</v>
      </c>
    </row>
    <row r="378" spans="1:26" x14ac:dyDescent="0.2">
      <c r="A378" s="1">
        <v>37012</v>
      </c>
      <c r="B378" s="1">
        <v>37042</v>
      </c>
      <c r="C378">
        <v>49.3</v>
      </c>
      <c r="D378">
        <v>0.51</v>
      </c>
      <c r="E378">
        <v>32.309829278888401</v>
      </c>
      <c r="G378">
        <v>30</v>
      </c>
      <c r="H378">
        <v>33.799999999999997</v>
      </c>
      <c r="I378">
        <v>28.5</v>
      </c>
      <c r="J378">
        <v>4.66</v>
      </c>
      <c r="K378" s="2">
        <v>4.99</v>
      </c>
      <c r="L378">
        <v>4.2122580645161296</v>
      </c>
      <c r="M378">
        <f t="shared" si="11"/>
        <v>0.77774193548387061</v>
      </c>
      <c r="N378">
        <v>5.0258695652173904</v>
      </c>
      <c r="O378">
        <v>4.2600000000000007</v>
      </c>
      <c r="P378">
        <f t="shared" si="12"/>
        <v>0.76586956521738969</v>
      </c>
      <c r="Q378">
        <v>5.9434782608695658</v>
      </c>
      <c r="R378">
        <v>5.3913636363636357</v>
      </c>
      <c r="S378">
        <f t="shared" si="10"/>
        <v>0.55211462450593007</v>
      </c>
      <c r="T378">
        <v>22.944090909090907</v>
      </c>
      <c r="U378">
        <v>84.738343144102444</v>
      </c>
      <c r="V378">
        <v>96.988806745282346</v>
      </c>
      <c r="W378">
        <v>60.376861572265625</v>
      </c>
      <c r="X378">
        <v>61.344993591308594</v>
      </c>
      <c r="Y378">
        <v>56.864189147949219</v>
      </c>
      <c r="Z378">
        <v>3.7015944719314575E-2</v>
      </c>
    </row>
    <row r="379" spans="1:26" x14ac:dyDescent="0.2">
      <c r="A379" s="1">
        <v>37043</v>
      </c>
      <c r="B379" s="1">
        <v>37072</v>
      </c>
      <c r="C379">
        <v>49.7</v>
      </c>
      <c r="D379">
        <v>0.50749999999999995</v>
      </c>
      <c r="E379">
        <v>32.358639487830303</v>
      </c>
      <c r="G379">
        <v>30</v>
      </c>
      <c r="H379">
        <v>33.9</v>
      </c>
      <c r="I379">
        <v>27.7</v>
      </c>
      <c r="J379">
        <v>4.6900000000000004</v>
      </c>
      <c r="K379" s="2">
        <v>5</v>
      </c>
      <c r="L379">
        <v>3.9696666666666669</v>
      </c>
      <c r="M379">
        <f t="shared" si="11"/>
        <v>1.0303333333333331</v>
      </c>
      <c r="N379">
        <v>5.1449999999999996</v>
      </c>
      <c r="O379">
        <v>4.08</v>
      </c>
      <c r="P379">
        <f t="shared" si="12"/>
        <v>1.0649999999999995</v>
      </c>
      <c r="Q379">
        <v>5.8967499999999999</v>
      </c>
      <c r="R379">
        <v>5.2842857142857138</v>
      </c>
      <c r="S379">
        <f t="shared" si="10"/>
        <v>0.61246428571428613</v>
      </c>
      <c r="T379">
        <v>20.940476190476186</v>
      </c>
      <c r="U379">
        <v>73.955880695925444</v>
      </c>
      <c r="V379">
        <v>61.672489849603686</v>
      </c>
      <c r="W379">
        <v>72.064338684082031</v>
      </c>
      <c r="X379">
        <v>79.313102722167969</v>
      </c>
      <c r="Y379">
        <v>64.2144775390625</v>
      </c>
      <c r="Z379">
        <v>3.8704298436641693E-2</v>
      </c>
    </row>
    <row r="380" spans="1:26" x14ac:dyDescent="0.2">
      <c r="A380" s="1">
        <v>37073</v>
      </c>
      <c r="B380" s="1">
        <v>37103</v>
      </c>
      <c r="C380">
        <v>48.8</v>
      </c>
      <c r="D380">
        <v>0.50409999999999999</v>
      </c>
      <c r="E380">
        <v>32.019394237050101</v>
      </c>
      <c r="G380">
        <v>30</v>
      </c>
      <c r="H380">
        <v>34</v>
      </c>
      <c r="I380">
        <v>24.5</v>
      </c>
      <c r="J380">
        <v>4.66</v>
      </c>
      <c r="K380" s="2">
        <v>5</v>
      </c>
      <c r="L380">
        <v>3.7690322580645157</v>
      </c>
      <c r="M380">
        <f t="shared" si="11"/>
        <v>1.2309677419354843</v>
      </c>
      <c r="N380">
        <v>5.4018181818181823</v>
      </c>
      <c r="O380">
        <v>4.0385714285714283</v>
      </c>
      <c r="P380">
        <f t="shared" si="12"/>
        <v>1.363246753246754</v>
      </c>
      <c r="Q380">
        <v>6.0863636363636351</v>
      </c>
      <c r="R380">
        <v>5.2361904761904752</v>
      </c>
      <c r="S380">
        <f t="shared" si="10"/>
        <v>0.85017316017315991</v>
      </c>
      <c r="T380">
        <v>22.316190476190474</v>
      </c>
      <c r="U380">
        <v>96.775509644872386</v>
      </c>
      <c r="V380">
        <v>58.316782110714968</v>
      </c>
      <c r="W380">
        <v>61.072940826416016</v>
      </c>
      <c r="X380">
        <v>65.492782592773438</v>
      </c>
      <c r="Y380">
        <v>52.618770599365234</v>
      </c>
      <c r="Z380">
        <v>7.5279943645000458E-2</v>
      </c>
    </row>
    <row r="381" spans="1:26" x14ac:dyDescent="0.2">
      <c r="A381" s="1">
        <v>37104</v>
      </c>
      <c r="B381" s="1">
        <v>37134</v>
      </c>
      <c r="C381">
        <v>50.4</v>
      </c>
      <c r="D381">
        <v>0.53420000000000001</v>
      </c>
      <c r="E381">
        <v>31.633874364285699</v>
      </c>
      <c r="G381">
        <v>30</v>
      </c>
      <c r="H381">
        <v>33.799999999999997</v>
      </c>
      <c r="I381">
        <v>25.7</v>
      </c>
      <c r="J381">
        <v>4.54</v>
      </c>
      <c r="K381" s="2">
        <v>4.99</v>
      </c>
      <c r="L381">
        <v>3.652580645161291</v>
      </c>
      <c r="M381">
        <f t="shared" si="11"/>
        <v>1.3374193548387092</v>
      </c>
      <c r="N381">
        <v>5.0852173913043472</v>
      </c>
      <c r="O381">
        <v>3.7573913043478262</v>
      </c>
      <c r="P381">
        <f t="shared" si="12"/>
        <v>1.327826086956521</v>
      </c>
      <c r="Q381">
        <v>5.7615217391304352</v>
      </c>
      <c r="R381">
        <v>4.9713043478260861</v>
      </c>
      <c r="S381">
        <f t="shared" si="10"/>
        <v>0.79021739130434909</v>
      </c>
      <c r="T381">
        <v>21.861739130434785</v>
      </c>
      <c r="U381">
        <v>82.627260566007891</v>
      </c>
      <c r="V381">
        <v>85.85343111338355</v>
      </c>
      <c r="W381">
        <v>64.107734680175781</v>
      </c>
      <c r="X381">
        <v>55.232074737548828</v>
      </c>
      <c r="Y381">
        <v>74.892204284667969</v>
      </c>
      <c r="Z381">
        <v>4.9862876534461975E-2</v>
      </c>
    </row>
    <row r="382" spans="1:26" x14ac:dyDescent="0.2">
      <c r="A382" s="1">
        <v>37135</v>
      </c>
      <c r="B382" s="1">
        <v>37164</v>
      </c>
      <c r="C382">
        <v>47</v>
      </c>
      <c r="D382">
        <v>0.49230000000000002</v>
      </c>
      <c r="E382">
        <v>31.463781800573301</v>
      </c>
      <c r="G382">
        <v>30</v>
      </c>
      <c r="H382">
        <v>32.799999999999997</v>
      </c>
      <c r="I382">
        <v>25.5</v>
      </c>
      <c r="J382">
        <v>4.54</v>
      </c>
      <c r="K382" s="2">
        <v>4.75</v>
      </c>
      <c r="L382">
        <v>3.0690000000000004</v>
      </c>
      <c r="M382">
        <f t="shared" si="11"/>
        <v>1.6809999999999996</v>
      </c>
      <c r="N382">
        <v>4.5047500000000005</v>
      </c>
      <c r="O382">
        <v>3.1188235294117646</v>
      </c>
      <c r="P382">
        <f t="shared" si="12"/>
        <v>1.3859264705882359</v>
      </c>
      <c r="Q382">
        <v>5.5782500000000006</v>
      </c>
      <c r="R382">
        <v>4.7317647058823527</v>
      </c>
      <c r="S382">
        <f t="shared" si="10"/>
        <v>0.84648529411764795</v>
      </c>
      <c r="T382">
        <v>35.065333333333335</v>
      </c>
      <c r="U382">
        <v>180.41631536709539</v>
      </c>
      <c r="V382">
        <v>216.1671059666208</v>
      </c>
      <c r="W382">
        <v>498.64788818359375</v>
      </c>
      <c r="X382">
        <v>260.16961669921875</v>
      </c>
      <c r="Y382">
        <v>841.177490234375</v>
      </c>
      <c r="Z382">
        <v>0.33704483509063721</v>
      </c>
    </row>
    <row r="383" spans="1:26" x14ac:dyDescent="0.2">
      <c r="A383" s="1">
        <v>37165</v>
      </c>
      <c r="B383" s="1">
        <v>37195</v>
      </c>
      <c r="C383">
        <v>48.7</v>
      </c>
      <c r="D383">
        <v>0.50529999999999997</v>
      </c>
      <c r="E383">
        <v>30.2349763733788</v>
      </c>
      <c r="G383">
        <v>30</v>
      </c>
      <c r="H383">
        <v>32.4</v>
      </c>
      <c r="I383">
        <v>20.5</v>
      </c>
      <c r="J383">
        <v>4.59</v>
      </c>
      <c r="K383" s="2">
        <v>4.51</v>
      </c>
      <c r="L383">
        <v>2.4851612903225808</v>
      </c>
      <c r="M383">
        <f t="shared" si="11"/>
        <v>2.024838709677419</v>
      </c>
      <c r="N383">
        <v>4.2215217391304352</v>
      </c>
      <c r="O383">
        <v>2.7259090909090911</v>
      </c>
      <c r="P383">
        <f t="shared" si="12"/>
        <v>1.4956126482213441</v>
      </c>
      <c r="Q383">
        <v>5.4076086956521738</v>
      </c>
      <c r="R383">
        <v>4.5668181818181814</v>
      </c>
      <c r="S383">
        <f t="shared" si="10"/>
        <v>0.84079051383399239</v>
      </c>
      <c r="T383">
        <v>32.721304347826084</v>
      </c>
      <c r="U383">
        <v>169.76301569487629</v>
      </c>
      <c r="V383">
        <v>271.17577191321851</v>
      </c>
      <c r="W383">
        <v>512.52972412109375</v>
      </c>
      <c r="X383">
        <v>261.347412109375</v>
      </c>
      <c r="Y383">
        <v>854.074951171875</v>
      </c>
      <c r="Z383">
        <v>0.40265864133834839</v>
      </c>
    </row>
    <row r="384" spans="1:26" x14ac:dyDescent="0.2">
      <c r="A384" s="1">
        <v>37196</v>
      </c>
      <c r="B384" s="1">
        <v>37225</v>
      </c>
      <c r="C384">
        <v>50.4</v>
      </c>
      <c r="D384">
        <v>0.52</v>
      </c>
      <c r="E384">
        <v>30.5874607978844</v>
      </c>
      <c r="G384">
        <v>30</v>
      </c>
      <c r="H384">
        <v>29.4</v>
      </c>
      <c r="I384">
        <v>18.899999999999999</v>
      </c>
      <c r="J384">
        <v>4.38</v>
      </c>
      <c r="K384" s="2">
        <v>4.49</v>
      </c>
      <c r="L384">
        <v>2.0870000000000002</v>
      </c>
      <c r="M384">
        <f t="shared" si="11"/>
        <v>2.403</v>
      </c>
      <c r="N384">
        <v>4.3272727272727272</v>
      </c>
      <c r="O384">
        <v>2.7824999999999998</v>
      </c>
      <c r="P384">
        <f t="shared" si="12"/>
        <v>1.5447727272727274</v>
      </c>
      <c r="Q384">
        <v>5.457727272727273</v>
      </c>
      <c r="R384">
        <v>4.6515000000000004</v>
      </c>
      <c r="S384">
        <f t="shared" si="10"/>
        <v>0.80622727272727257</v>
      </c>
      <c r="T384">
        <v>26.63095238095238</v>
      </c>
      <c r="U384">
        <v>126.3887688315771</v>
      </c>
      <c r="V384">
        <v>145.55359272181283</v>
      </c>
      <c r="W384">
        <v>306.785888671875</v>
      </c>
      <c r="X384">
        <v>149.79522705078125</v>
      </c>
      <c r="Y384">
        <v>509.74612426757812</v>
      </c>
      <c r="Z384">
        <v>0.18321943283081055</v>
      </c>
    </row>
    <row r="385" spans="1:26" x14ac:dyDescent="0.2">
      <c r="A385" s="1">
        <v>37226</v>
      </c>
      <c r="B385" s="1">
        <v>37256</v>
      </c>
      <c r="C385">
        <v>50.2</v>
      </c>
      <c r="D385">
        <v>0.51060000000000005</v>
      </c>
      <c r="E385">
        <v>30.660481615472701</v>
      </c>
      <c r="G385">
        <v>30</v>
      </c>
      <c r="H385">
        <v>27.4</v>
      </c>
      <c r="I385">
        <v>18.600000000000001</v>
      </c>
      <c r="J385">
        <v>4.2699999999999996</v>
      </c>
      <c r="K385" s="2">
        <v>4.2699999999999996</v>
      </c>
      <c r="L385">
        <v>1.8177419354838711</v>
      </c>
      <c r="M385">
        <f t="shared" si="11"/>
        <v>2.4522580645161285</v>
      </c>
      <c r="N385">
        <v>4.6307894736842101</v>
      </c>
      <c r="O385">
        <v>3.1069999999999998</v>
      </c>
      <c r="P385">
        <f t="shared" si="12"/>
        <v>1.5237894736842104</v>
      </c>
      <c r="Q385">
        <v>5.8168421052631567</v>
      </c>
      <c r="R385">
        <v>5.0875000000000004</v>
      </c>
      <c r="S385">
        <f t="shared" si="10"/>
        <v>0.72934210526315635</v>
      </c>
      <c r="T385">
        <v>23.72</v>
      </c>
      <c r="U385">
        <v>110.1042737090399</v>
      </c>
      <c r="V385">
        <v>104.72542341300239</v>
      </c>
      <c r="W385">
        <v>236.09974670410156</v>
      </c>
      <c r="X385">
        <v>126.19801330566406</v>
      </c>
      <c r="Y385">
        <v>381.97250366210938</v>
      </c>
      <c r="Z385">
        <v>0.13722674548625946</v>
      </c>
    </row>
    <row r="386" spans="1:26" x14ac:dyDescent="0.2">
      <c r="A386" s="1">
        <v>37257</v>
      </c>
      <c r="B386" s="1">
        <v>37287</v>
      </c>
      <c r="C386">
        <v>50.2</v>
      </c>
      <c r="D386">
        <v>0.50780000000000003</v>
      </c>
      <c r="E386">
        <v>31.208098773846601</v>
      </c>
      <c r="G386">
        <v>29.3</v>
      </c>
      <c r="H386">
        <v>27.4</v>
      </c>
      <c r="I386">
        <v>19.5</v>
      </c>
      <c r="J386">
        <v>4.21</v>
      </c>
      <c r="K386" s="2">
        <v>4.24</v>
      </c>
      <c r="L386">
        <v>1.729677419354839</v>
      </c>
      <c r="M386">
        <f t="shared" si="11"/>
        <v>2.5103225806451612</v>
      </c>
      <c r="N386">
        <v>4.71</v>
      </c>
      <c r="O386">
        <v>3.0280952380952382</v>
      </c>
      <c r="P386">
        <f t="shared" si="12"/>
        <v>1.6819047619047618</v>
      </c>
      <c r="Q386">
        <v>5.8583333333333325</v>
      </c>
      <c r="R386">
        <v>5.0357142857142847</v>
      </c>
      <c r="S386">
        <f t="shared" si="10"/>
        <v>0.82261904761904781</v>
      </c>
      <c r="T386">
        <v>22.252857142857138</v>
      </c>
      <c r="U386">
        <v>107.3703308207344</v>
      </c>
      <c r="V386">
        <v>41.12508727492029</v>
      </c>
      <c r="W386">
        <v>172.47720336914062</v>
      </c>
      <c r="X386">
        <v>106.91623687744141</v>
      </c>
      <c r="Y386">
        <v>262.28701782226562</v>
      </c>
      <c r="Z386">
        <v>0.11266061663627625</v>
      </c>
    </row>
    <row r="387" spans="1:26" x14ac:dyDescent="0.2">
      <c r="A387" s="1">
        <v>37288</v>
      </c>
      <c r="B387" s="1">
        <v>37315</v>
      </c>
      <c r="C387">
        <v>51.1</v>
      </c>
      <c r="D387">
        <v>0.51639999999999997</v>
      </c>
      <c r="E387">
        <v>31.310550045610299</v>
      </c>
      <c r="G387">
        <v>29.3</v>
      </c>
      <c r="H387">
        <v>28.1</v>
      </c>
      <c r="I387">
        <v>20.3</v>
      </c>
      <c r="J387">
        <v>4.12</v>
      </c>
      <c r="K387" s="2">
        <v>4.24</v>
      </c>
      <c r="L387">
        <v>1.7396428571428573</v>
      </c>
      <c r="M387">
        <f t="shared" si="11"/>
        <v>2.5003571428571432</v>
      </c>
      <c r="N387">
        <v>5.0227500000000003</v>
      </c>
      <c r="O387">
        <v>3.0152631578947364</v>
      </c>
      <c r="P387">
        <f t="shared" si="12"/>
        <v>2.0074868421052638</v>
      </c>
      <c r="Q387">
        <v>5.9457500000000012</v>
      </c>
      <c r="R387">
        <v>4.9115789473684206</v>
      </c>
      <c r="S387">
        <f t="shared" ref="S387:S450" si="13">Q387-R387</f>
        <v>1.0341710526315806</v>
      </c>
      <c r="T387">
        <v>22.875789473684211</v>
      </c>
      <c r="U387">
        <v>86.002120985003529</v>
      </c>
      <c r="V387">
        <v>69.984686770824638</v>
      </c>
      <c r="W387">
        <v>146.18571472167969</v>
      </c>
      <c r="X387">
        <v>95.780311584472656</v>
      </c>
      <c r="Y387">
        <v>212.90550231933594</v>
      </c>
      <c r="Z387">
        <v>8.788173645734787E-2</v>
      </c>
    </row>
    <row r="388" spans="1:26" x14ac:dyDescent="0.2">
      <c r="A388" s="1">
        <v>37316</v>
      </c>
      <c r="B388" s="1">
        <v>37346</v>
      </c>
      <c r="C388">
        <v>52.2</v>
      </c>
      <c r="D388">
        <v>0.53159999999999996</v>
      </c>
      <c r="E388">
        <v>31.978085896381799</v>
      </c>
      <c r="G388">
        <v>29.3</v>
      </c>
      <c r="H388">
        <v>27.8</v>
      </c>
      <c r="I388">
        <v>23.7</v>
      </c>
      <c r="J388">
        <v>3.99</v>
      </c>
      <c r="K388" s="2">
        <v>4.2300000000000004</v>
      </c>
      <c r="L388">
        <v>1.7300000000000002</v>
      </c>
      <c r="M388">
        <f t="shared" si="11"/>
        <v>2.5</v>
      </c>
      <c r="N388">
        <v>5.4314999999999998</v>
      </c>
      <c r="O388">
        <v>3.5575000000000001</v>
      </c>
      <c r="P388">
        <f t="shared" si="12"/>
        <v>1.8739999999999997</v>
      </c>
      <c r="Q388">
        <v>6.3089999999999993</v>
      </c>
      <c r="R388">
        <v>5.2839999999999998</v>
      </c>
      <c r="S388">
        <f t="shared" si="13"/>
        <v>1.0249999999999995</v>
      </c>
      <c r="T388">
        <v>18.984999999999996</v>
      </c>
      <c r="U388">
        <v>77.601324168354552</v>
      </c>
      <c r="V388">
        <v>60.022618138438041</v>
      </c>
      <c r="W388">
        <v>151.97636413574219</v>
      </c>
      <c r="X388">
        <v>99.123344421386719</v>
      </c>
      <c r="Y388">
        <v>219.96884155273438</v>
      </c>
      <c r="Z388">
        <v>0.15638574957847595</v>
      </c>
    </row>
    <row r="389" spans="1:26" x14ac:dyDescent="0.2">
      <c r="A389" s="1">
        <v>37347</v>
      </c>
      <c r="B389" s="1">
        <v>37376</v>
      </c>
      <c r="C389">
        <v>52.1</v>
      </c>
      <c r="D389">
        <v>0.53969999999999996</v>
      </c>
      <c r="E389">
        <v>31.975862993368899</v>
      </c>
      <c r="G389">
        <v>29.3</v>
      </c>
      <c r="H389">
        <v>27.1</v>
      </c>
      <c r="I389">
        <v>25.7</v>
      </c>
      <c r="J389">
        <v>3.96</v>
      </c>
      <c r="K389" s="2">
        <v>4.24</v>
      </c>
      <c r="L389">
        <v>1.7529999999999999</v>
      </c>
      <c r="M389">
        <f t="shared" si="11"/>
        <v>2.4870000000000001</v>
      </c>
      <c r="N389">
        <v>5.4792499999999986</v>
      </c>
      <c r="O389">
        <v>3.4227272727272724</v>
      </c>
      <c r="P389">
        <f t="shared" si="12"/>
        <v>2.0565227272727262</v>
      </c>
      <c r="Q389">
        <v>6.2939999999999996</v>
      </c>
      <c r="R389">
        <v>5.21090909090909</v>
      </c>
      <c r="S389">
        <f t="shared" si="13"/>
        <v>1.0830909090909095</v>
      </c>
      <c r="T389">
        <v>19.900454545454547</v>
      </c>
      <c r="U389">
        <v>82.780273234112514</v>
      </c>
      <c r="V389">
        <v>53.528661658704046</v>
      </c>
      <c r="W389">
        <v>157.49655151367188</v>
      </c>
      <c r="X389">
        <v>100.74444580078125</v>
      </c>
      <c r="Y389">
        <v>225.64035034179688</v>
      </c>
      <c r="Z389">
        <v>7.9754598438739777E-2</v>
      </c>
    </row>
    <row r="390" spans="1:26" x14ac:dyDescent="0.2">
      <c r="A390" s="1">
        <v>37377</v>
      </c>
      <c r="B390" s="1">
        <v>37407</v>
      </c>
      <c r="C390">
        <v>53.5</v>
      </c>
      <c r="D390">
        <v>0.56740000000000002</v>
      </c>
      <c r="E390">
        <v>31.343688756550002</v>
      </c>
      <c r="G390">
        <v>29.3</v>
      </c>
      <c r="H390">
        <v>26.9</v>
      </c>
      <c r="I390">
        <v>25.4</v>
      </c>
      <c r="J390">
        <v>4.01</v>
      </c>
      <c r="K390" s="2">
        <v>4.4400000000000004</v>
      </c>
      <c r="L390">
        <v>1.7512903225806449</v>
      </c>
      <c r="M390">
        <f t="shared" si="11"/>
        <v>2.6887096774193555</v>
      </c>
      <c r="N390">
        <v>5.545217391304349</v>
      </c>
      <c r="O390">
        <v>3.2640909090909092</v>
      </c>
      <c r="P390">
        <f t="shared" si="12"/>
        <v>2.2811264822134398</v>
      </c>
      <c r="Q390">
        <v>6.2152173913043489</v>
      </c>
      <c r="R390">
        <v>5.1645454545454532</v>
      </c>
      <c r="S390">
        <f t="shared" si="13"/>
        <v>1.0506719367588957</v>
      </c>
      <c r="T390">
        <v>20.087727272727275</v>
      </c>
      <c r="U390">
        <v>80.873064246909394</v>
      </c>
      <c r="V390">
        <v>55.374962588804912</v>
      </c>
      <c r="W390">
        <v>163.32231140136719</v>
      </c>
      <c r="X390">
        <v>142.246826171875</v>
      </c>
      <c r="Y390">
        <v>209.40878295898438</v>
      </c>
      <c r="Z390">
        <v>0.13094848394393921</v>
      </c>
    </row>
    <row r="391" spans="1:26" x14ac:dyDescent="0.2">
      <c r="A391" s="1">
        <v>37408</v>
      </c>
      <c r="B391" s="1">
        <v>37437</v>
      </c>
      <c r="C391">
        <v>52.3</v>
      </c>
      <c r="D391">
        <v>0.56479999999999997</v>
      </c>
      <c r="E391">
        <v>31.021460266998901</v>
      </c>
      <c r="G391">
        <v>29.3</v>
      </c>
      <c r="H391">
        <v>24.9</v>
      </c>
      <c r="I391">
        <v>24.1</v>
      </c>
      <c r="J391">
        <v>4.0599999999999996</v>
      </c>
      <c r="K391" s="2">
        <v>4.72</v>
      </c>
      <c r="L391">
        <v>1.7503333333333335</v>
      </c>
      <c r="M391">
        <f t="shared" si="11"/>
        <v>2.969666666666666</v>
      </c>
      <c r="N391">
        <v>5.5486842105263152</v>
      </c>
      <c r="O391">
        <v>2.9930000000000003</v>
      </c>
      <c r="P391">
        <f t="shared" si="12"/>
        <v>2.5556842105263149</v>
      </c>
      <c r="Q391">
        <v>6.0076315789473691</v>
      </c>
      <c r="R391">
        <v>4.9264999999999999</v>
      </c>
      <c r="S391">
        <f t="shared" si="13"/>
        <v>1.0811315789473692</v>
      </c>
      <c r="T391">
        <v>25.271000000000004</v>
      </c>
      <c r="U391">
        <v>92.142236246603545</v>
      </c>
      <c r="V391">
        <v>71.873140974356673</v>
      </c>
      <c r="W391">
        <v>149.33042907714844</v>
      </c>
      <c r="X391">
        <v>127.79074859619141</v>
      </c>
      <c r="Y391">
        <v>189.12348937988281</v>
      </c>
      <c r="Z391">
        <v>0.10796470940113068</v>
      </c>
    </row>
    <row r="392" spans="1:26" x14ac:dyDescent="0.2">
      <c r="A392" s="1">
        <v>37438</v>
      </c>
      <c r="B392" s="1">
        <v>37468</v>
      </c>
      <c r="C392">
        <v>50.9</v>
      </c>
      <c r="D392">
        <v>0.54779999999999995</v>
      </c>
      <c r="E392">
        <v>30.5974121343082</v>
      </c>
      <c r="G392">
        <v>29.3</v>
      </c>
      <c r="H392">
        <v>23.2</v>
      </c>
      <c r="I392">
        <v>25.8</v>
      </c>
      <c r="J392">
        <v>4.5599999999999996</v>
      </c>
      <c r="K392" s="2">
        <v>4.75</v>
      </c>
      <c r="L392">
        <v>1.7290322580645159</v>
      </c>
      <c r="M392">
        <f t="shared" si="11"/>
        <v>3.0209677419354843</v>
      </c>
      <c r="N392">
        <v>5.2289130434782596</v>
      </c>
      <c r="O392">
        <v>2.5568181818181817</v>
      </c>
      <c r="P392">
        <f t="shared" si="12"/>
        <v>2.6720948616600779</v>
      </c>
      <c r="Q392">
        <v>5.8597826086956539</v>
      </c>
      <c r="R392">
        <v>4.6531818181818192</v>
      </c>
      <c r="S392">
        <f t="shared" si="13"/>
        <v>1.2066007905138347</v>
      </c>
      <c r="T392">
        <v>34.049545454545452</v>
      </c>
      <c r="U392">
        <v>102.61022152415229</v>
      </c>
      <c r="V392">
        <v>98.970042269657782</v>
      </c>
      <c r="W392">
        <v>122.77834320068359</v>
      </c>
      <c r="X392">
        <v>94.349678039550781</v>
      </c>
      <c r="Y392">
        <v>168.41973876953125</v>
      </c>
      <c r="Z392">
        <v>6.3329219818115234E-2</v>
      </c>
    </row>
    <row r="393" spans="1:26" x14ac:dyDescent="0.2">
      <c r="A393" s="1">
        <v>37469</v>
      </c>
      <c r="B393" s="1">
        <v>37499</v>
      </c>
      <c r="C393">
        <v>51.3</v>
      </c>
      <c r="D393">
        <v>0.55320000000000003</v>
      </c>
      <c r="E393">
        <v>30.8994949542878</v>
      </c>
      <c r="G393">
        <v>29.3</v>
      </c>
      <c r="H393">
        <v>22.3</v>
      </c>
      <c r="I393">
        <v>26.6</v>
      </c>
      <c r="J393">
        <v>4.3499999999999996</v>
      </c>
      <c r="K393" s="2">
        <v>4.75</v>
      </c>
      <c r="L393">
        <v>1.7432258064516128</v>
      </c>
      <c r="M393">
        <f t="shared" si="11"/>
        <v>3.0067741935483872</v>
      </c>
      <c r="N393">
        <v>5.0306818181818178</v>
      </c>
      <c r="O393">
        <v>2.1336363636363633</v>
      </c>
      <c r="P393">
        <f t="shared" si="12"/>
        <v>2.8970454545454545</v>
      </c>
      <c r="Q393">
        <v>5.6484090909090909</v>
      </c>
      <c r="R393">
        <v>4.2572727272727269</v>
      </c>
      <c r="S393">
        <f t="shared" si="13"/>
        <v>1.3911363636363641</v>
      </c>
      <c r="T393">
        <v>33.742727272727272</v>
      </c>
      <c r="U393">
        <v>107.0345594454289</v>
      </c>
      <c r="V393">
        <v>105.57748721657288</v>
      </c>
      <c r="W393">
        <v>127.06451416015625</v>
      </c>
      <c r="X393">
        <v>101.69573974609375</v>
      </c>
      <c r="Y393">
        <v>157.46444702148438</v>
      </c>
      <c r="Z393">
        <v>6.7768171429634094E-2</v>
      </c>
    </row>
    <row r="394" spans="1:26" x14ac:dyDescent="0.2">
      <c r="A394" s="1">
        <v>37500</v>
      </c>
      <c r="B394" s="1">
        <v>37529</v>
      </c>
      <c r="C394">
        <v>50.9</v>
      </c>
      <c r="D394">
        <v>0.54349999999999998</v>
      </c>
      <c r="E394">
        <v>31.5919369489853</v>
      </c>
      <c r="G394">
        <v>29.3</v>
      </c>
      <c r="H394">
        <v>22.7</v>
      </c>
      <c r="I394">
        <v>28.3</v>
      </c>
      <c r="J394">
        <v>4.46</v>
      </c>
      <c r="K394" s="2">
        <v>4.75</v>
      </c>
      <c r="L394">
        <v>1.7506666666666668</v>
      </c>
      <c r="M394">
        <f t="shared" si="11"/>
        <v>2.9993333333333334</v>
      </c>
      <c r="N394">
        <v>4.9540476190476195</v>
      </c>
      <c r="O394">
        <v>2.0044999999999997</v>
      </c>
      <c r="P394">
        <f t="shared" si="12"/>
        <v>2.9495476190476198</v>
      </c>
      <c r="Q394">
        <v>5.4357142857142851</v>
      </c>
      <c r="R394">
        <v>3.8699999999999997</v>
      </c>
      <c r="S394">
        <f t="shared" si="13"/>
        <v>1.5657142857142854</v>
      </c>
      <c r="T394">
        <v>37.647500000000001</v>
      </c>
      <c r="U394">
        <v>122.1184807499351</v>
      </c>
      <c r="V394">
        <v>120.23759328491658</v>
      </c>
      <c r="W394">
        <v>174.90333557128906</v>
      </c>
      <c r="X394">
        <v>174.53144836425781</v>
      </c>
      <c r="Y394">
        <v>188.71919250488281</v>
      </c>
      <c r="Z394">
        <v>9.5214694738388062E-2</v>
      </c>
    </row>
    <row r="395" spans="1:26" x14ac:dyDescent="0.2">
      <c r="A395" s="1">
        <v>37530</v>
      </c>
      <c r="B395" s="1">
        <v>37560</v>
      </c>
      <c r="C395">
        <v>51.8</v>
      </c>
      <c r="D395">
        <v>0.5534</v>
      </c>
      <c r="E395">
        <v>32.153491753232103</v>
      </c>
      <c r="G395">
        <v>29.3</v>
      </c>
      <c r="H395">
        <v>24.5</v>
      </c>
      <c r="I395">
        <v>27.5</v>
      </c>
      <c r="J395">
        <v>4.54</v>
      </c>
      <c r="K395" s="2">
        <v>4.75</v>
      </c>
      <c r="L395">
        <v>1.7548387096774192</v>
      </c>
      <c r="M395">
        <f t="shared" ref="M395:M458" si="14">K395-L395</f>
        <v>2.9951612903225806</v>
      </c>
      <c r="N395">
        <v>4.9665217391304344</v>
      </c>
      <c r="O395">
        <v>1.9118181818181819</v>
      </c>
      <c r="P395">
        <f t="shared" si="12"/>
        <v>3.0547035573122523</v>
      </c>
      <c r="Q395">
        <v>5.6591304347826075</v>
      </c>
      <c r="R395">
        <v>3.9409090909090909</v>
      </c>
      <c r="S395">
        <f t="shared" si="13"/>
        <v>1.7182213438735165</v>
      </c>
      <c r="T395">
        <v>35.243043478260873</v>
      </c>
      <c r="U395">
        <v>116.9025187213367</v>
      </c>
      <c r="V395">
        <v>100.88172699625318</v>
      </c>
      <c r="W395">
        <v>172.03192138671875</v>
      </c>
      <c r="X395">
        <v>167.02581787109375</v>
      </c>
      <c r="Y395">
        <v>197.39906311035156</v>
      </c>
      <c r="Z395">
        <v>0.27467137575149536</v>
      </c>
    </row>
    <row r="396" spans="1:26" x14ac:dyDescent="0.2">
      <c r="A396" s="1">
        <v>37561</v>
      </c>
      <c r="B396" s="1">
        <v>37590</v>
      </c>
      <c r="C396">
        <v>52.2</v>
      </c>
      <c r="D396">
        <v>0.56079999999999997</v>
      </c>
      <c r="E396">
        <v>32.174872725534598</v>
      </c>
      <c r="G396">
        <v>29.3</v>
      </c>
      <c r="H396">
        <v>24.5</v>
      </c>
      <c r="I396">
        <v>24.2</v>
      </c>
      <c r="J396">
        <v>4.5599999999999996</v>
      </c>
      <c r="K396" s="2">
        <v>4.75</v>
      </c>
      <c r="L396">
        <v>1.3359999999999999</v>
      </c>
      <c r="M396">
        <f t="shared" si="14"/>
        <v>3.4140000000000001</v>
      </c>
      <c r="N396">
        <v>4.7766666666666664</v>
      </c>
      <c r="O396">
        <v>1.923157894736842</v>
      </c>
      <c r="P396">
        <f t="shared" si="12"/>
        <v>2.8535087719298247</v>
      </c>
      <c r="Q396">
        <v>5.4995238095238097</v>
      </c>
      <c r="R396">
        <v>4.0484210526315794</v>
      </c>
      <c r="S396">
        <f t="shared" si="13"/>
        <v>1.4511027568922303</v>
      </c>
      <c r="T396">
        <v>28.175000000000004</v>
      </c>
      <c r="U396">
        <v>123.3289728372812</v>
      </c>
      <c r="V396">
        <v>129.51395177943959</v>
      </c>
      <c r="W396">
        <v>159.12759399414062</v>
      </c>
      <c r="X396">
        <v>155.01374816894531</v>
      </c>
      <c r="Y396">
        <v>179.06283569335938</v>
      </c>
      <c r="Z396">
        <v>0.23864239454269409</v>
      </c>
    </row>
    <row r="397" spans="1:26" x14ac:dyDescent="0.2">
      <c r="A397" s="1">
        <v>37591</v>
      </c>
      <c r="B397" s="1">
        <v>37621</v>
      </c>
      <c r="C397">
        <v>51.7</v>
      </c>
      <c r="D397">
        <v>0.56620000000000004</v>
      </c>
      <c r="E397">
        <v>32.2693078297713</v>
      </c>
      <c r="G397">
        <v>29.3</v>
      </c>
      <c r="H397">
        <v>24.5</v>
      </c>
      <c r="I397">
        <v>28.5</v>
      </c>
      <c r="J397">
        <v>4.5599999999999996</v>
      </c>
      <c r="K397" s="2">
        <v>4.75</v>
      </c>
      <c r="L397">
        <v>1.2383870967741939</v>
      </c>
      <c r="M397">
        <f t="shared" si="14"/>
        <v>3.5116129032258061</v>
      </c>
      <c r="N397">
        <v>4.6727499999999997</v>
      </c>
      <c r="O397">
        <v>1.8361904761904764</v>
      </c>
      <c r="P397">
        <f t="shared" si="12"/>
        <v>2.8365595238095231</v>
      </c>
      <c r="Q397">
        <v>5.3949999999999996</v>
      </c>
      <c r="R397">
        <v>4.0323809523809517</v>
      </c>
      <c r="S397">
        <f t="shared" si="13"/>
        <v>1.3626190476190478</v>
      </c>
      <c r="T397">
        <v>28.210476190476189</v>
      </c>
      <c r="U397">
        <v>121.7348995028827</v>
      </c>
      <c r="V397">
        <v>103.22027036745651</v>
      </c>
      <c r="W397">
        <v>175.81172180175781</v>
      </c>
      <c r="X397">
        <v>182.99955749511719</v>
      </c>
      <c r="Y397">
        <v>175.19842529296875</v>
      </c>
      <c r="Z397">
        <v>0.20811320841312408</v>
      </c>
    </row>
    <row r="398" spans="1:26" x14ac:dyDescent="0.2">
      <c r="A398" s="1">
        <v>37622</v>
      </c>
      <c r="B398" s="1">
        <v>37652</v>
      </c>
      <c r="C398">
        <v>53.2</v>
      </c>
      <c r="D398">
        <v>0.58840000000000003</v>
      </c>
      <c r="E398">
        <v>32.0929760625759</v>
      </c>
      <c r="G398">
        <v>32</v>
      </c>
      <c r="H398">
        <v>24.9</v>
      </c>
      <c r="I398">
        <v>31.2</v>
      </c>
      <c r="J398">
        <v>4.6900000000000004</v>
      </c>
      <c r="K398" s="2">
        <v>4.75</v>
      </c>
      <c r="L398">
        <v>1.2351612903225804</v>
      </c>
      <c r="M398">
        <f t="shared" si="14"/>
        <v>3.5148387096774196</v>
      </c>
      <c r="N398">
        <v>4.656190476190476</v>
      </c>
      <c r="O398">
        <v>1.7433333333333334</v>
      </c>
      <c r="P398">
        <f t="shared" si="12"/>
        <v>2.9128571428571428</v>
      </c>
      <c r="Q398">
        <v>5.2750000000000004</v>
      </c>
      <c r="R398">
        <v>4.0485714285714289</v>
      </c>
      <c r="S398">
        <f t="shared" si="13"/>
        <v>1.2264285714285714</v>
      </c>
      <c r="T398">
        <v>27.424285714285713</v>
      </c>
      <c r="U398">
        <v>131.7151842446151</v>
      </c>
      <c r="V398">
        <v>123.80208722675563</v>
      </c>
      <c r="W398">
        <v>206.43460083007812</v>
      </c>
      <c r="X398">
        <v>245.81755065917969</v>
      </c>
      <c r="Y398">
        <v>176.95985412597656</v>
      </c>
      <c r="Z398">
        <v>0.18456226587295532</v>
      </c>
    </row>
    <row r="399" spans="1:26" x14ac:dyDescent="0.2">
      <c r="A399" s="1">
        <v>37653</v>
      </c>
      <c r="B399" s="1">
        <v>37680</v>
      </c>
      <c r="C399">
        <v>54.7</v>
      </c>
      <c r="D399">
        <v>0.60540000000000005</v>
      </c>
      <c r="E399">
        <v>32.576707079445598</v>
      </c>
      <c r="G399">
        <v>32</v>
      </c>
      <c r="H399">
        <v>25.2</v>
      </c>
      <c r="I399">
        <v>32.6</v>
      </c>
      <c r="J399">
        <v>4.8</v>
      </c>
      <c r="K399" s="2">
        <v>4.75</v>
      </c>
      <c r="L399">
        <v>1.2621428571428575</v>
      </c>
      <c r="M399">
        <f t="shared" si="14"/>
        <v>3.4878571428571425</v>
      </c>
      <c r="N399">
        <v>4.4644999999999992</v>
      </c>
      <c r="O399">
        <v>1.6278947368421053</v>
      </c>
      <c r="P399">
        <f t="shared" si="12"/>
        <v>2.8366052631578942</v>
      </c>
      <c r="Q399">
        <v>5.1677500000000007</v>
      </c>
      <c r="R399">
        <v>3.9026315789473678</v>
      </c>
      <c r="S399">
        <f t="shared" si="13"/>
        <v>1.2651184210526329</v>
      </c>
      <c r="T399">
        <v>32.218421052631584</v>
      </c>
      <c r="U399">
        <v>140.46512351343929</v>
      </c>
      <c r="V399">
        <v>226.2244347461932</v>
      </c>
      <c r="W399">
        <v>239.61093139648438</v>
      </c>
      <c r="X399">
        <v>296.75979614257812</v>
      </c>
      <c r="Y399">
        <v>213.080322265625</v>
      </c>
      <c r="Z399">
        <v>0.29041007161140442</v>
      </c>
    </row>
    <row r="400" spans="1:26" x14ac:dyDescent="0.2">
      <c r="A400" s="1">
        <v>37681</v>
      </c>
      <c r="B400" s="1">
        <v>37711</v>
      </c>
      <c r="C400">
        <v>54.8</v>
      </c>
      <c r="D400">
        <v>0.60360000000000003</v>
      </c>
      <c r="E400">
        <v>31.916765790593999</v>
      </c>
      <c r="G400">
        <v>32</v>
      </c>
      <c r="H400">
        <v>24.4</v>
      </c>
      <c r="I400">
        <v>30.3</v>
      </c>
      <c r="J400">
        <v>4.78</v>
      </c>
      <c r="K400" s="2">
        <v>4.75</v>
      </c>
      <c r="L400">
        <v>1.2529032258064512</v>
      </c>
      <c r="M400">
        <f t="shared" si="14"/>
        <v>3.4970967741935488</v>
      </c>
      <c r="N400">
        <v>4.496428571428571</v>
      </c>
      <c r="O400">
        <v>1.5738095238095238</v>
      </c>
      <c r="P400">
        <f t="shared" si="12"/>
        <v>2.9226190476190474</v>
      </c>
      <c r="Q400">
        <v>5.2716666666666656</v>
      </c>
      <c r="R400">
        <v>3.8071428571428574</v>
      </c>
      <c r="S400">
        <f t="shared" si="13"/>
        <v>1.4645238095238082</v>
      </c>
      <c r="T400">
        <v>30.634285714285717</v>
      </c>
      <c r="U400">
        <v>174.0910199631908</v>
      </c>
      <c r="V400">
        <v>230.92506816881965</v>
      </c>
      <c r="W400">
        <v>358.711181640625</v>
      </c>
      <c r="X400">
        <v>362.41107177734375</v>
      </c>
      <c r="Y400">
        <v>429.14419555664062</v>
      </c>
      <c r="Z400">
        <v>0.40187355875968933</v>
      </c>
    </row>
    <row r="401" spans="1:26" x14ac:dyDescent="0.2">
      <c r="A401" s="1">
        <v>37712</v>
      </c>
      <c r="B401" s="1">
        <v>37741</v>
      </c>
      <c r="C401">
        <v>56.1</v>
      </c>
      <c r="D401">
        <v>0.623</v>
      </c>
      <c r="E401">
        <v>31.112959368560698</v>
      </c>
      <c r="G401">
        <v>32</v>
      </c>
      <c r="H401">
        <v>23.5</v>
      </c>
      <c r="I401">
        <v>25</v>
      </c>
      <c r="J401">
        <v>4.78</v>
      </c>
      <c r="K401" s="2">
        <v>4.75</v>
      </c>
      <c r="L401">
        <v>1.258</v>
      </c>
      <c r="M401">
        <f t="shared" si="14"/>
        <v>3.492</v>
      </c>
      <c r="N401">
        <v>4.5913157894736853</v>
      </c>
      <c r="O401">
        <v>1.6223809523809525</v>
      </c>
      <c r="P401">
        <f t="shared" si="12"/>
        <v>2.9689348370927329</v>
      </c>
      <c r="Q401">
        <v>5.3460526315789467</v>
      </c>
      <c r="R401">
        <v>3.9585714285714282</v>
      </c>
      <c r="S401">
        <f t="shared" si="13"/>
        <v>1.3874812030075185</v>
      </c>
      <c r="T401">
        <v>23.991904761904756</v>
      </c>
      <c r="U401">
        <v>138.44530465718941</v>
      </c>
      <c r="V401">
        <v>202.9883142496781</v>
      </c>
      <c r="W401">
        <v>255.77517700195312</v>
      </c>
      <c r="X401">
        <v>212.60545349121094</v>
      </c>
      <c r="Y401">
        <v>331.60324096679688</v>
      </c>
      <c r="Z401">
        <v>0.23609653115272522</v>
      </c>
    </row>
    <row r="402" spans="1:26" x14ac:dyDescent="0.2">
      <c r="A402" s="1">
        <v>37742</v>
      </c>
      <c r="B402" s="1">
        <v>37772</v>
      </c>
      <c r="C402">
        <v>57.7</v>
      </c>
      <c r="D402">
        <v>0.6522</v>
      </c>
      <c r="E402">
        <v>30.311586233194799</v>
      </c>
      <c r="G402">
        <v>32</v>
      </c>
      <c r="H402">
        <v>23.3</v>
      </c>
      <c r="I402">
        <v>25.8</v>
      </c>
      <c r="J402">
        <v>4.74</v>
      </c>
      <c r="K402" s="2">
        <v>4.75</v>
      </c>
      <c r="L402">
        <v>1.2590322580645164</v>
      </c>
      <c r="M402">
        <f t="shared" si="14"/>
        <v>3.4909677419354836</v>
      </c>
      <c r="N402">
        <v>4.5029545454545463</v>
      </c>
      <c r="O402">
        <v>1.4152380952380952</v>
      </c>
      <c r="P402">
        <f t="shared" si="12"/>
        <v>3.0877164502164511</v>
      </c>
      <c r="Q402">
        <v>5.0281818181818183</v>
      </c>
      <c r="R402">
        <v>3.5690476190476197</v>
      </c>
      <c r="S402">
        <f t="shared" si="13"/>
        <v>1.4591341991341986</v>
      </c>
      <c r="T402">
        <v>20.239523809523813</v>
      </c>
      <c r="U402">
        <v>106.189611184274</v>
      </c>
      <c r="V402">
        <v>140.88017144412495</v>
      </c>
      <c r="W402">
        <v>162.12187194824219</v>
      </c>
      <c r="X402">
        <v>153.39628601074219</v>
      </c>
      <c r="Y402">
        <v>186.84635925292969</v>
      </c>
      <c r="Z402">
        <v>0.21129575371742249</v>
      </c>
    </row>
    <row r="403" spans="1:26" x14ac:dyDescent="0.2">
      <c r="A403" s="1">
        <v>37773</v>
      </c>
      <c r="B403" s="1">
        <v>37802</v>
      </c>
      <c r="C403">
        <v>59.4</v>
      </c>
      <c r="D403">
        <v>0.66739999999999999</v>
      </c>
      <c r="E403">
        <v>30.367648260898498</v>
      </c>
      <c r="G403">
        <v>32</v>
      </c>
      <c r="H403">
        <v>24.1</v>
      </c>
      <c r="I403">
        <v>27.5</v>
      </c>
      <c r="J403">
        <v>4.7699999999999996</v>
      </c>
      <c r="K403" s="2">
        <v>4.75</v>
      </c>
      <c r="L403">
        <v>1.2226666666666663</v>
      </c>
      <c r="M403">
        <f t="shared" si="14"/>
        <v>3.5273333333333339</v>
      </c>
      <c r="N403">
        <v>4.2235000000000005</v>
      </c>
      <c r="O403">
        <v>1.2271428571428571</v>
      </c>
      <c r="P403">
        <f t="shared" si="12"/>
        <v>2.9963571428571436</v>
      </c>
      <c r="Q403">
        <v>4.8027499999999987</v>
      </c>
      <c r="R403">
        <v>3.334285714285715</v>
      </c>
      <c r="S403">
        <f t="shared" si="13"/>
        <v>1.4684642857142838</v>
      </c>
      <c r="T403">
        <v>20.362380952380949</v>
      </c>
      <c r="U403">
        <v>88.49081741238092</v>
      </c>
      <c r="V403">
        <v>65.230323672068891</v>
      </c>
      <c r="W403">
        <v>145.76972961425781</v>
      </c>
      <c r="X403">
        <v>127.83353424072266</v>
      </c>
      <c r="Y403">
        <v>176.91827392578125</v>
      </c>
      <c r="Z403">
        <v>0.14463494718074799</v>
      </c>
    </row>
    <row r="404" spans="1:26" x14ac:dyDescent="0.2">
      <c r="A404" s="1">
        <v>37803</v>
      </c>
      <c r="B404" s="1">
        <v>37833</v>
      </c>
      <c r="C404">
        <v>58.3</v>
      </c>
      <c r="D404">
        <v>0.65290000000000004</v>
      </c>
      <c r="E404">
        <v>30.899191341612699</v>
      </c>
      <c r="G404">
        <v>32</v>
      </c>
      <c r="H404">
        <v>24.4</v>
      </c>
      <c r="I404">
        <v>28.4</v>
      </c>
      <c r="J404">
        <v>4.75</v>
      </c>
      <c r="K404" s="2">
        <v>4.75</v>
      </c>
      <c r="L404">
        <v>1.0112903225806451</v>
      </c>
      <c r="M404">
        <f t="shared" si="14"/>
        <v>3.7387096774193549</v>
      </c>
      <c r="N404">
        <v>4.5386956521739128</v>
      </c>
      <c r="O404">
        <v>1.4740909090909087</v>
      </c>
      <c r="P404">
        <f t="shared" si="12"/>
        <v>3.0646047430830041</v>
      </c>
      <c r="Q404">
        <v>5.2328260869565222</v>
      </c>
      <c r="R404">
        <v>3.9754545454545451</v>
      </c>
      <c r="S404">
        <f t="shared" si="13"/>
        <v>1.2573715415019771</v>
      </c>
      <c r="T404">
        <v>19.161363636363639</v>
      </c>
      <c r="U404">
        <v>81.421043697946487</v>
      </c>
      <c r="V404">
        <v>60.743092401889797</v>
      </c>
      <c r="W404">
        <v>134.89891052246094</v>
      </c>
      <c r="X404">
        <v>108.39279937744141</v>
      </c>
      <c r="Y404">
        <v>167.44865417480469</v>
      </c>
      <c r="Z404">
        <v>7.9757049679756165E-2</v>
      </c>
    </row>
    <row r="405" spans="1:26" x14ac:dyDescent="0.2">
      <c r="A405" s="1">
        <v>37834</v>
      </c>
      <c r="B405" s="1">
        <v>37864</v>
      </c>
      <c r="C405">
        <v>57.3</v>
      </c>
      <c r="D405">
        <v>0.64</v>
      </c>
      <c r="E405">
        <v>31.789472402337498</v>
      </c>
      <c r="G405">
        <v>32</v>
      </c>
      <c r="H405">
        <v>25.3</v>
      </c>
      <c r="I405">
        <v>29.8</v>
      </c>
      <c r="J405">
        <v>4.67</v>
      </c>
      <c r="K405" s="2">
        <v>4.75</v>
      </c>
      <c r="L405">
        <v>1.0290322580645161</v>
      </c>
      <c r="M405">
        <f t="shared" si="14"/>
        <v>3.7209677419354836</v>
      </c>
      <c r="N405">
        <v>4.8688095238095244</v>
      </c>
      <c r="O405">
        <v>1.8642857142857143</v>
      </c>
      <c r="P405">
        <f t="shared" si="12"/>
        <v>3.00452380952381</v>
      </c>
      <c r="Q405">
        <v>5.5240476190476189</v>
      </c>
      <c r="R405">
        <v>4.4452380952380954</v>
      </c>
      <c r="S405">
        <f t="shared" si="13"/>
        <v>1.0788095238095234</v>
      </c>
      <c r="T405">
        <v>19.274285714285714</v>
      </c>
      <c r="U405">
        <v>70.774221004768776</v>
      </c>
      <c r="V405">
        <v>39.289841141742613</v>
      </c>
      <c r="W405">
        <v>138.23092651367188</v>
      </c>
      <c r="X405">
        <v>109.64905548095703</v>
      </c>
      <c r="Y405">
        <v>180.0001220703125</v>
      </c>
      <c r="Z405">
        <v>0.15540015697479248</v>
      </c>
    </row>
    <row r="406" spans="1:26" x14ac:dyDescent="0.2">
      <c r="A406" s="1">
        <v>37865</v>
      </c>
      <c r="B406" s="1">
        <v>37894</v>
      </c>
      <c r="C406">
        <v>59.1</v>
      </c>
      <c r="D406">
        <v>0.68010000000000004</v>
      </c>
      <c r="E406">
        <v>31.959995296992101</v>
      </c>
      <c r="G406">
        <v>32</v>
      </c>
      <c r="H406">
        <v>26.7</v>
      </c>
      <c r="I406">
        <v>27.1</v>
      </c>
      <c r="J406">
        <v>4.7</v>
      </c>
      <c r="K406" s="2">
        <v>4.75</v>
      </c>
      <c r="L406">
        <v>1.01</v>
      </c>
      <c r="M406">
        <f t="shared" si="14"/>
        <v>3.74</v>
      </c>
      <c r="N406">
        <v>5.0370454545454555</v>
      </c>
      <c r="O406">
        <v>1.706190476190476</v>
      </c>
      <c r="P406">
        <f t="shared" si="12"/>
        <v>3.3308549783549797</v>
      </c>
      <c r="Q406">
        <v>5.5129545454545452</v>
      </c>
      <c r="R406">
        <v>4.2742857142857149</v>
      </c>
      <c r="S406">
        <f t="shared" si="13"/>
        <v>1.2386688311688303</v>
      </c>
      <c r="T406">
        <v>19.532380952380954</v>
      </c>
      <c r="U406">
        <v>80.435038916809191</v>
      </c>
      <c r="V406">
        <v>49.092069869663099</v>
      </c>
      <c r="W406">
        <v>118.19628143310547</v>
      </c>
      <c r="X406">
        <v>99.720466613769531</v>
      </c>
      <c r="Y406">
        <v>143.55717468261719</v>
      </c>
      <c r="Z406">
        <v>0.13827596604824066</v>
      </c>
    </row>
    <row r="407" spans="1:26" x14ac:dyDescent="0.2">
      <c r="A407" s="1">
        <v>37895</v>
      </c>
      <c r="B407" s="1">
        <v>37925</v>
      </c>
      <c r="C407">
        <v>61</v>
      </c>
      <c r="D407">
        <v>0.7046</v>
      </c>
      <c r="E407">
        <v>32.091648565702002</v>
      </c>
      <c r="G407">
        <v>32</v>
      </c>
      <c r="H407">
        <v>27.5</v>
      </c>
      <c r="I407">
        <v>29.6</v>
      </c>
      <c r="J407">
        <v>4.62</v>
      </c>
      <c r="K407" s="2">
        <v>4.75</v>
      </c>
      <c r="L407">
        <v>1.01</v>
      </c>
      <c r="M407">
        <f t="shared" si="14"/>
        <v>3.74</v>
      </c>
      <c r="N407">
        <v>5.2076086956521745</v>
      </c>
      <c r="O407">
        <v>1.7477272727272728</v>
      </c>
      <c r="P407">
        <f t="shared" si="12"/>
        <v>3.4598814229249015</v>
      </c>
      <c r="Q407">
        <v>5.6086956521739131</v>
      </c>
      <c r="R407">
        <v>4.2904545454545451</v>
      </c>
      <c r="S407">
        <f t="shared" si="13"/>
        <v>1.318241106719368</v>
      </c>
      <c r="T407">
        <v>18.023478260869567</v>
      </c>
      <c r="U407">
        <v>76.6052834383175</v>
      </c>
      <c r="V407">
        <v>37.679534553381572</v>
      </c>
      <c r="W407">
        <v>108.3173828125</v>
      </c>
      <c r="X407">
        <v>93.028327941894531</v>
      </c>
      <c r="Y407">
        <v>129.94328308105469</v>
      </c>
      <c r="Z407">
        <v>0.12402264773845673</v>
      </c>
    </row>
    <row r="408" spans="1:26" x14ac:dyDescent="0.2">
      <c r="A408" s="1">
        <v>37926</v>
      </c>
      <c r="B408" s="1">
        <v>37955</v>
      </c>
      <c r="C408">
        <v>62.1</v>
      </c>
      <c r="D408">
        <v>0.72060000000000002</v>
      </c>
      <c r="E408">
        <v>32.720156628149503</v>
      </c>
      <c r="G408">
        <v>32</v>
      </c>
      <c r="H408">
        <v>29.9</v>
      </c>
      <c r="I408">
        <v>28.8</v>
      </c>
      <c r="J408">
        <v>4.72</v>
      </c>
      <c r="K408" s="2">
        <v>4.9800000000000004</v>
      </c>
      <c r="L408">
        <v>0.99600000000000044</v>
      </c>
      <c r="M408">
        <f t="shared" si="14"/>
        <v>3.984</v>
      </c>
      <c r="N408">
        <v>5.6215000000000002</v>
      </c>
      <c r="O408">
        <v>1.9266666666666667</v>
      </c>
      <c r="P408">
        <f t="shared" si="12"/>
        <v>3.6948333333333334</v>
      </c>
      <c r="Q408">
        <v>5.8739999999999997</v>
      </c>
      <c r="R408">
        <v>4.3000000000000007</v>
      </c>
      <c r="S408">
        <f t="shared" si="13"/>
        <v>1.573999999999999</v>
      </c>
      <c r="T408">
        <v>17.401052631578946</v>
      </c>
      <c r="U408">
        <v>75.218324859144445</v>
      </c>
      <c r="V408">
        <v>58.201036346538146</v>
      </c>
      <c r="W408">
        <v>118.08669281005859</v>
      </c>
      <c r="X408">
        <v>93.331588745117188</v>
      </c>
      <c r="Y408">
        <v>153.246337890625</v>
      </c>
      <c r="Z408">
        <v>0.16550810635089874</v>
      </c>
    </row>
    <row r="409" spans="1:26" x14ac:dyDescent="0.2">
      <c r="A409" s="1">
        <v>37956</v>
      </c>
      <c r="B409" s="1">
        <v>37986</v>
      </c>
      <c r="C409">
        <v>63.5</v>
      </c>
      <c r="D409">
        <v>0.75</v>
      </c>
      <c r="E409">
        <v>32.6706371497012</v>
      </c>
      <c r="G409">
        <v>32</v>
      </c>
      <c r="H409">
        <v>34</v>
      </c>
      <c r="I409">
        <v>29.9</v>
      </c>
      <c r="J409">
        <v>4.75</v>
      </c>
      <c r="K409" s="2">
        <v>5.23</v>
      </c>
      <c r="L409">
        <v>0.98419354838709683</v>
      </c>
      <c r="M409">
        <f t="shared" si="14"/>
        <v>4.2458064516129035</v>
      </c>
      <c r="N409">
        <v>5.4804761904761916</v>
      </c>
      <c r="O409">
        <v>1.907272727272727</v>
      </c>
      <c r="P409">
        <f t="shared" si="12"/>
        <v>3.5732034632034644</v>
      </c>
      <c r="Q409">
        <v>5.7573809523809523</v>
      </c>
      <c r="R409">
        <v>4.2677272727272726</v>
      </c>
      <c r="S409">
        <f t="shared" si="13"/>
        <v>1.4896536796536797</v>
      </c>
      <c r="T409">
        <v>16.826363636363638</v>
      </c>
      <c r="U409">
        <v>73.53560099517712</v>
      </c>
      <c r="V409">
        <v>55.359517520137182</v>
      </c>
      <c r="W409">
        <v>129.46507263183594</v>
      </c>
      <c r="X409">
        <v>107.44403839111328</v>
      </c>
      <c r="Y409">
        <v>164.98052978515625</v>
      </c>
      <c r="Z409">
        <v>9.8751276731491089E-2</v>
      </c>
    </row>
    <row r="410" spans="1:26" x14ac:dyDescent="0.2">
      <c r="A410" s="1">
        <v>37987</v>
      </c>
      <c r="B410" s="1">
        <v>38017</v>
      </c>
      <c r="C410">
        <v>64.5</v>
      </c>
      <c r="D410">
        <v>0.76439999999999997</v>
      </c>
      <c r="E410">
        <v>33.4948624777902</v>
      </c>
      <c r="G410">
        <v>37.9</v>
      </c>
      <c r="H410">
        <v>37.799999999999997</v>
      </c>
      <c r="I410">
        <v>31.2</v>
      </c>
      <c r="J410">
        <v>4.75</v>
      </c>
      <c r="K410" s="2">
        <v>5.25</v>
      </c>
      <c r="L410">
        <v>0.99709677419354847</v>
      </c>
      <c r="M410">
        <f t="shared" si="14"/>
        <v>4.2529032258064516</v>
      </c>
      <c r="N410">
        <v>5.3877499999999996</v>
      </c>
      <c r="O410">
        <v>1.7610000000000003</v>
      </c>
      <c r="P410">
        <f t="shared" si="12"/>
        <v>3.6267499999999995</v>
      </c>
      <c r="Q410">
        <v>5.7004999999999999</v>
      </c>
      <c r="R410">
        <v>4.1504999999999992</v>
      </c>
      <c r="S410">
        <f t="shared" si="13"/>
        <v>1.5500000000000007</v>
      </c>
      <c r="T410">
        <v>16.100999999999999</v>
      </c>
      <c r="U410">
        <v>73.422071004362678</v>
      </c>
      <c r="V410">
        <v>54.249251031460787</v>
      </c>
      <c r="W410">
        <v>113.46759033203125</v>
      </c>
      <c r="X410">
        <v>106.71729278564453</v>
      </c>
      <c r="Y410">
        <v>126.08518981933594</v>
      </c>
      <c r="Z410">
        <v>6.8603470921516418E-2</v>
      </c>
    </row>
    <row r="411" spans="1:26" x14ac:dyDescent="0.2">
      <c r="A411" s="1">
        <v>38018</v>
      </c>
      <c r="B411" s="1">
        <v>38046</v>
      </c>
      <c r="C411">
        <v>65.2</v>
      </c>
      <c r="D411">
        <v>0.77080000000000004</v>
      </c>
      <c r="E411">
        <v>33.665744806200699</v>
      </c>
      <c r="G411">
        <v>37.9</v>
      </c>
      <c r="H411">
        <v>41.8</v>
      </c>
      <c r="I411">
        <v>30.9</v>
      </c>
      <c r="J411">
        <v>4.8099999999999996</v>
      </c>
      <c r="K411" s="2">
        <v>5.25</v>
      </c>
      <c r="L411">
        <v>1.0072413793103445</v>
      </c>
      <c r="M411">
        <f t="shared" si="14"/>
        <v>4.2427586206896555</v>
      </c>
      <c r="N411">
        <v>5.3307500000000001</v>
      </c>
      <c r="O411">
        <v>1.7400000000000002</v>
      </c>
      <c r="P411">
        <f t="shared" si="12"/>
        <v>3.5907499999999999</v>
      </c>
      <c r="Q411">
        <v>5.6205000000000007</v>
      </c>
      <c r="R411">
        <v>4.0842105263157888</v>
      </c>
      <c r="S411">
        <f t="shared" si="13"/>
        <v>1.5362894736842119</v>
      </c>
      <c r="T411">
        <v>15.99842105263158</v>
      </c>
      <c r="U411">
        <v>73.076820006577648</v>
      </c>
      <c r="V411">
        <v>62.653280703891333</v>
      </c>
      <c r="W411">
        <v>115.07597351074219</v>
      </c>
      <c r="X411">
        <v>104.11482238769531</v>
      </c>
      <c r="Y411">
        <v>129.24427795410156</v>
      </c>
      <c r="Z411">
        <v>8.3207495510578156E-2</v>
      </c>
    </row>
    <row r="412" spans="1:26" x14ac:dyDescent="0.2">
      <c r="A412" s="1">
        <v>38047</v>
      </c>
      <c r="B412" s="1">
        <v>38077</v>
      </c>
      <c r="C412">
        <v>63.8</v>
      </c>
      <c r="D412">
        <v>0.75890000000000002</v>
      </c>
      <c r="E412">
        <v>34.840323781767097</v>
      </c>
      <c r="G412">
        <v>37.9</v>
      </c>
      <c r="H412">
        <v>48.9</v>
      </c>
      <c r="I412">
        <v>33.799999999999997</v>
      </c>
      <c r="J412">
        <v>4.88</v>
      </c>
      <c r="K412" s="2">
        <v>5.25</v>
      </c>
      <c r="L412">
        <v>1.0016129032258063</v>
      </c>
      <c r="M412">
        <f t="shared" si="14"/>
        <v>4.2483870967741932</v>
      </c>
      <c r="N412">
        <v>5.1002173913043478</v>
      </c>
      <c r="O412">
        <v>1.5778260869565219</v>
      </c>
      <c r="P412">
        <f t="shared" si="12"/>
        <v>3.5223913043478259</v>
      </c>
      <c r="Q412">
        <v>5.4154347826086964</v>
      </c>
      <c r="R412">
        <v>3.8265217391304351</v>
      </c>
      <c r="S412">
        <f t="shared" si="13"/>
        <v>1.5889130434782612</v>
      </c>
      <c r="T412">
        <v>17.687391304347823</v>
      </c>
      <c r="U412">
        <v>78.15160500676032</v>
      </c>
      <c r="V412">
        <v>45.459094902309303</v>
      </c>
      <c r="W412">
        <v>138.53207397460938</v>
      </c>
      <c r="X412">
        <v>109.12393951416016</v>
      </c>
      <c r="Y412">
        <v>183.70297241210938</v>
      </c>
      <c r="Z412">
        <v>0.1372644305229187</v>
      </c>
    </row>
    <row r="413" spans="1:26" x14ac:dyDescent="0.2">
      <c r="A413" s="1">
        <v>38078</v>
      </c>
      <c r="B413" s="1">
        <v>38107</v>
      </c>
      <c r="C413">
        <v>62.1</v>
      </c>
      <c r="D413">
        <v>0.72199999999999998</v>
      </c>
      <c r="E413">
        <v>35.7840648429558</v>
      </c>
      <c r="G413">
        <v>37.9</v>
      </c>
      <c r="H413">
        <v>53.3</v>
      </c>
      <c r="I413">
        <v>33.4</v>
      </c>
      <c r="J413">
        <v>4.91</v>
      </c>
      <c r="K413" s="2">
        <v>5.25</v>
      </c>
      <c r="L413">
        <v>1.0039999999999998</v>
      </c>
      <c r="M413">
        <f t="shared" si="14"/>
        <v>4.2460000000000004</v>
      </c>
      <c r="N413">
        <v>5.3192500000000003</v>
      </c>
      <c r="O413">
        <v>2.0709523809523813</v>
      </c>
      <c r="P413">
        <f t="shared" si="12"/>
        <v>3.2482976190476189</v>
      </c>
      <c r="Q413">
        <v>5.802999999999999</v>
      </c>
      <c r="R413">
        <v>4.3476190476190473</v>
      </c>
      <c r="S413">
        <f t="shared" si="13"/>
        <v>1.4553809523809518</v>
      </c>
      <c r="T413">
        <v>15.69857142857143</v>
      </c>
      <c r="U413">
        <v>77.629955193081386</v>
      </c>
      <c r="V413">
        <v>42.78044597849545</v>
      </c>
      <c r="W413">
        <v>149.63139343261719</v>
      </c>
      <c r="X413">
        <v>121.14622497558594</v>
      </c>
      <c r="Y413">
        <v>205.3251953125</v>
      </c>
      <c r="Z413">
        <v>0.17582549154758453</v>
      </c>
    </row>
    <row r="414" spans="1:26" x14ac:dyDescent="0.2">
      <c r="A414" s="1">
        <v>38108</v>
      </c>
      <c r="B414" s="1">
        <v>38138</v>
      </c>
      <c r="C414">
        <v>61.1</v>
      </c>
      <c r="D414">
        <v>0.71430000000000005</v>
      </c>
      <c r="E414">
        <v>36.906041688505901</v>
      </c>
      <c r="G414">
        <v>37.9</v>
      </c>
      <c r="H414">
        <v>56.4</v>
      </c>
      <c r="I414">
        <v>37.9</v>
      </c>
      <c r="J414">
        <v>4.91</v>
      </c>
      <c r="K414" s="2">
        <v>5.25</v>
      </c>
      <c r="L414">
        <v>1.004516129032258</v>
      </c>
      <c r="M414">
        <f t="shared" si="14"/>
        <v>4.2454838709677425</v>
      </c>
      <c r="N414">
        <v>5.3921428571428569</v>
      </c>
      <c r="O414">
        <v>2.5334999999999996</v>
      </c>
      <c r="P414">
        <f t="shared" si="12"/>
        <v>2.8586428571428573</v>
      </c>
      <c r="Q414">
        <v>5.9580952380952379</v>
      </c>
      <c r="R414">
        <v>4.7155000000000005</v>
      </c>
      <c r="S414">
        <f t="shared" si="13"/>
        <v>1.2425952380952374</v>
      </c>
      <c r="T414">
        <v>17.704999999999998</v>
      </c>
      <c r="U414">
        <v>90.605110564629399</v>
      </c>
      <c r="V414">
        <v>89.220112101703492</v>
      </c>
      <c r="W414">
        <v>121.0911865234375</v>
      </c>
      <c r="X414">
        <v>91.96539306640625</v>
      </c>
      <c r="Y414">
        <v>159.94842529296875</v>
      </c>
      <c r="Z414">
        <v>6.1608873307704926E-2</v>
      </c>
    </row>
    <row r="415" spans="1:26" x14ac:dyDescent="0.2">
      <c r="A415" s="1">
        <v>38139</v>
      </c>
      <c r="B415" s="1">
        <v>38168</v>
      </c>
      <c r="C415">
        <v>59.1</v>
      </c>
      <c r="D415">
        <v>0.68889999999999996</v>
      </c>
      <c r="E415">
        <v>36.420377035147503</v>
      </c>
      <c r="G415">
        <v>37.9</v>
      </c>
      <c r="H415">
        <v>59.6</v>
      </c>
      <c r="I415">
        <v>35.200000000000003</v>
      </c>
      <c r="J415">
        <v>5.04</v>
      </c>
      <c r="K415" s="2">
        <v>5.25</v>
      </c>
      <c r="L415">
        <v>1.0256666666666667</v>
      </c>
      <c r="M415">
        <f t="shared" si="14"/>
        <v>4.2243333333333331</v>
      </c>
      <c r="N415">
        <v>5.2242857142857133</v>
      </c>
      <c r="O415">
        <v>2.7633333333333332</v>
      </c>
      <c r="P415">
        <f t="shared" si="12"/>
        <v>2.4609523809523801</v>
      </c>
      <c r="Q415">
        <v>5.8454761904761892</v>
      </c>
      <c r="R415">
        <v>4.7338095238095246</v>
      </c>
      <c r="S415">
        <f t="shared" si="13"/>
        <v>1.1116666666666646</v>
      </c>
      <c r="T415">
        <v>15.342727272727274</v>
      </c>
      <c r="U415">
        <v>76.813299063975464</v>
      </c>
      <c r="V415">
        <v>46.381748531586439</v>
      </c>
      <c r="W415">
        <v>137.23391723632812</v>
      </c>
      <c r="X415">
        <v>106.79373931884766</v>
      </c>
      <c r="Y415">
        <v>178.03662109375</v>
      </c>
      <c r="Z415">
        <v>8.3577096462249756E-2</v>
      </c>
    </row>
    <row r="416" spans="1:26" x14ac:dyDescent="0.2">
      <c r="A416" s="1">
        <v>38169</v>
      </c>
      <c r="B416" s="1">
        <v>38199</v>
      </c>
      <c r="C416">
        <v>60.2</v>
      </c>
      <c r="D416">
        <v>0.6986</v>
      </c>
      <c r="E416">
        <v>36.963728536154797</v>
      </c>
      <c r="G416">
        <v>37.9</v>
      </c>
      <c r="H416">
        <v>61.4</v>
      </c>
      <c r="I416">
        <v>38.4</v>
      </c>
      <c r="J416">
        <v>5.07</v>
      </c>
      <c r="K416" s="2">
        <v>5.25</v>
      </c>
      <c r="L416">
        <v>1.2635483870967741</v>
      </c>
      <c r="M416">
        <f t="shared" si="14"/>
        <v>3.9864516129032257</v>
      </c>
      <c r="N416">
        <v>5.271590909090909</v>
      </c>
      <c r="O416">
        <v>2.6385714285714288</v>
      </c>
      <c r="P416">
        <f t="shared" si="12"/>
        <v>2.6330194805194802</v>
      </c>
      <c r="Q416">
        <v>5.7177272727272728</v>
      </c>
      <c r="R416">
        <v>4.4980952380952388</v>
      </c>
      <c r="S416">
        <f t="shared" si="13"/>
        <v>1.219632034632034</v>
      </c>
      <c r="T416">
        <v>15.50238095238095</v>
      </c>
      <c r="U416">
        <v>75.066266257006617</v>
      </c>
      <c r="V416">
        <v>41.22739399824134</v>
      </c>
      <c r="W416">
        <v>131.01985168457031</v>
      </c>
      <c r="X416">
        <v>121.26777648925781</v>
      </c>
      <c r="Y416">
        <v>159.81219482421875</v>
      </c>
      <c r="Z416">
        <v>0.11159031093120575</v>
      </c>
    </row>
    <row r="417" spans="1:26" x14ac:dyDescent="0.2">
      <c r="A417" s="1">
        <v>38200</v>
      </c>
      <c r="B417" s="1">
        <v>38230</v>
      </c>
      <c r="C417">
        <v>60.1</v>
      </c>
      <c r="D417">
        <v>0.70109999999999995</v>
      </c>
      <c r="E417">
        <v>37.971303510950001</v>
      </c>
      <c r="G417">
        <v>37.9</v>
      </c>
      <c r="H417">
        <v>59.3</v>
      </c>
      <c r="I417">
        <v>43</v>
      </c>
      <c r="J417">
        <v>5.16</v>
      </c>
      <c r="K417" s="2">
        <v>5.25</v>
      </c>
      <c r="L417">
        <v>1.4293548387096775</v>
      </c>
      <c r="M417">
        <f t="shared" si="14"/>
        <v>3.8206451612903223</v>
      </c>
      <c r="N417">
        <v>5.2238636363636353</v>
      </c>
      <c r="O417">
        <v>2.5081818181818178</v>
      </c>
      <c r="P417">
        <f t="shared" si="12"/>
        <v>2.7156818181818174</v>
      </c>
      <c r="Q417">
        <v>5.5831818181818171</v>
      </c>
      <c r="R417">
        <v>4.2813636363636363</v>
      </c>
      <c r="S417">
        <f t="shared" si="13"/>
        <v>1.3018181818181809</v>
      </c>
      <c r="T417">
        <v>16.684090909090909</v>
      </c>
      <c r="U417">
        <v>68.874624245028343</v>
      </c>
      <c r="V417">
        <v>70.742988101572294</v>
      </c>
      <c r="W417">
        <v>140.36582946777344</v>
      </c>
      <c r="X417">
        <v>127.44524383544922</v>
      </c>
      <c r="Y417">
        <v>176.45431518554688</v>
      </c>
      <c r="Z417">
        <v>7.9034559428691864E-2</v>
      </c>
    </row>
    <row r="418" spans="1:26" x14ac:dyDescent="0.2">
      <c r="A418" s="1">
        <v>38231</v>
      </c>
      <c r="B418" s="1">
        <v>38260</v>
      </c>
      <c r="C418">
        <v>61</v>
      </c>
      <c r="D418">
        <v>0.7147</v>
      </c>
      <c r="E418">
        <v>38.317124273175402</v>
      </c>
      <c r="G418">
        <v>37.9</v>
      </c>
      <c r="H418">
        <v>55.4</v>
      </c>
      <c r="I418">
        <v>43.4</v>
      </c>
      <c r="J418">
        <v>5.43</v>
      </c>
      <c r="K418" s="2">
        <v>5.25</v>
      </c>
      <c r="L418">
        <v>1.6049999999999995</v>
      </c>
      <c r="M418">
        <f t="shared" si="14"/>
        <v>3.6450000000000005</v>
      </c>
      <c r="N418">
        <v>5.1070454545454558</v>
      </c>
      <c r="O418">
        <v>2.5252380952380951</v>
      </c>
      <c r="P418">
        <f t="shared" si="12"/>
        <v>2.5818073593073607</v>
      </c>
      <c r="Q418">
        <v>5.4120454545454555</v>
      </c>
      <c r="R418">
        <v>4.1257142857142854</v>
      </c>
      <c r="S418">
        <f t="shared" si="13"/>
        <v>1.28633116883117</v>
      </c>
      <c r="T418">
        <v>14.080952380952381</v>
      </c>
      <c r="U418">
        <v>76.774068863169646</v>
      </c>
      <c r="V418">
        <v>61.053219710204054</v>
      </c>
      <c r="W418">
        <v>153.87161254882812</v>
      </c>
      <c r="X418">
        <v>130.20606994628906</v>
      </c>
      <c r="Y418">
        <v>189.355224609375</v>
      </c>
      <c r="Z418">
        <v>0.15254388749599457</v>
      </c>
    </row>
    <row r="419" spans="1:26" x14ac:dyDescent="0.2">
      <c r="A419" s="1">
        <v>38261</v>
      </c>
      <c r="B419" s="1">
        <v>38291</v>
      </c>
      <c r="C419">
        <v>62.5</v>
      </c>
      <c r="D419">
        <v>0.74609999999999999</v>
      </c>
      <c r="E419">
        <v>39.153733451116103</v>
      </c>
      <c r="G419">
        <v>37.9</v>
      </c>
      <c r="H419">
        <v>56.6</v>
      </c>
      <c r="I419">
        <v>49.8</v>
      </c>
      <c r="J419">
        <v>5.55</v>
      </c>
      <c r="K419" s="2">
        <v>5.25</v>
      </c>
      <c r="L419">
        <v>1.7609677419354837</v>
      </c>
      <c r="M419">
        <f t="shared" si="14"/>
        <v>3.4890322580645163</v>
      </c>
      <c r="N419">
        <v>5.0652380952380964</v>
      </c>
      <c r="O419">
        <v>2.5844999999999998</v>
      </c>
      <c r="P419">
        <f t="shared" si="12"/>
        <v>2.4807380952380966</v>
      </c>
      <c r="Q419">
        <v>5.4014285714285712</v>
      </c>
      <c r="R419">
        <v>4.0969999999999995</v>
      </c>
      <c r="S419">
        <f t="shared" si="13"/>
        <v>1.3044285714285717</v>
      </c>
      <c r="T419">
        <v>14.973809523809523</v>
      </c>
      <c r="U419">
        <v>89.085890030595863</v>
      </c>
      <c r="V419">
        <v>88.764658268102096</v>
      </c>
      <c r="W419">
        <v>119.86279296875</v>
      </c>
      <c r="X419">
        <v>100.50788116455078</v>
      </c>
      <c r="Y419">
        <v>148.24447631835938</v>
      </c>
      <c r="Z419">
        <v>0.14598122239112854</v>
      </c>
    </row>
    <row r="420" spans="1:26" x14ac:dyDescent="0.2">
      <c r="A420" s="1">
        <v>38292</v>
      </c>
      <c r="B420" s="1">
        <v>38321</v>
      </c>
      <c r="C420">
        <v>63.6</v>
      </c>
      <c r="D420">
        <v>0.77749999999999997</v>
      </c>
      <c r="E420">
        <v>38.423679252680699</v>
      </c>
      <c r="G420">
        <v>37.9</v>
      </c>
      <c r="H420">
        <v>52.8</v>
      </c>
      <c r="I420">
        <v>43.1</v>
      </c>
      <c r="J420">
        <v>5.45</v>
      </c>
      <c r="K420" s="2">
        <v>5.25</v>
      </c>
      <c r="L420">
        <v>1.9320000000000002</v>
      </c>
      <c r="M420">
        <f t="shared" si="14"/>
        <v>3.3179999999999996</v>
      </c>
      <c r="N420">
        <v>5.088181818181817</v>
      </c>
      <c r="O420">
        <v>2.8520000000000003</v>
      </c>
      <c r="P420">
        <f t="shared" si="12"/>
        <v>2.2361818181818167</v>
      </c>
      <c r="Q420">
        <v>5.4</v>
      </c>
      <c r="R420">
        <v>4.1940000000000008</v>
      </c>
      <c r="S420">
        <f t="shared" si="13"/>
        <v>1.2059999999999995</v>
      </c>
      <c r="T420">
        <v>13.577619047619047</v>
      </c>
      <c r="U420">
        <v>84.49029853146061</v>
      </c>
      <c r="V420">
        <v>43.547964738619967</v>
      </c>
      <c r="W420">
        <v>122.70738983154297</v>
      </c>
      <c r="X420">
        <v>98.926651000976562</v>
      </c>
      <c r="Y420">
        <v>151.67926025390625</v>
      </c>
      <c r="Z420">
        <v>8.7058328092098236E-2</v>
      </c>
    </row>
    <row r="421" spans="1:26" x14ac:dyDescent="0.2">
      <c r="A421" s="1">
        <v>38322</v>
      </c>
      <c r="B421" s="1">
        <v>38352</v>
      </c>
      <c r="C421">
        <v>63.2</v>
      </c>
      <c r="D421">
        <v>0.77900000000000003</v>
      </c>
      <c r="E421">
        <v>37.3092979353099</v>
      </c>
      <c r="G421">
        <v>37.9</v>
      </c>
      <c r="H421">
        <v>52.3</v>
      </c>
      <c r="I421">
        <v>39.6</v>
      </c>
      <c r="J421">
        <v>5.57</v>
      </c>
      <c r="K421" s="2">
        <v>5.25</v>
      </c>
      <c r="L421">
        <v>2.1561290322580642</v>
      </c>
      <c r="M421">
        <f t="shared" si="14"/>
        <v>3.0938709677419358</v>
      </c>
      <c r="N421">
        <v>4.9361904761904771</v>
      </c>
      <c r="O421">
        <v>3.0118181818181822</v>
      </c>
      <c r="P421">
        <f t="shared" si="12"/>
        <v>1.924372294372295</v>
      </c>
      <c r="Q421">
        <v>5.2319047619047616</v>
      </c>
      <c r="R421">
        <v>4.2309090909090905</v>
      </c>
      <c r="S421">
        <f t="shared" si="13"/>
        <v>1.0009956709956711</v>
      </c>
      <c r="T421">
        <v>12.459545454545456</v>
      </c>
      <c r="U421">
        <v>66.343776819083075</v>
      </c>
      <c r="V421">
        <v>43.847222358995964</v>
      </c>
      <c r="W421">
        <v>109.89522552490234</v>
      </c>
      <c r="X421">
        <v>81.604774475097656</v>
      </c>
      <c r="Y421">
        <v>145.225341796875</v>
      </c>
      <c r="Z421">
        <v>0.10479184240102768</v>
      </c>
    </row>
    <row r="422" spans="1:26" x14ac:dyDescent="0.2">
      <c r="A422" s="1">
        <v>38353</v>
      </c>
      <c r="B422" s="1">
        <v>38383</v>
      </c>
      <c r="C422">
        <v>63.5</v>
      </c>
      <c r="D422">
        <v>0.77439999999999998</v>
      </c>
      <c r="E422">
        <v>38.537966807683802</v>
      </c>
      <c r="G422">
        <v>65</v>
      </c>
      <c r="H422">
        <v>53</v>
      </c>
      <c r="I422">
        <v>44.3</v>
      </c>
      <c r="J422">
        <v>5.42</v>
      </c>
      <c r="K422" s="2">
        <v>5.25</v>
      </c>
      <c r="L422">
        <v>2.2793548387096769</v>
      </c>
      <c r="M422">
        <f t="shared" si="14"/>
        <v>2.9706451612903231</v>
      </c>
      <c r="N422">
        <v>5.1102631578947353</v>
      </c>
      <c r="O422">
        <v>3.222500000000001</v>
      </c>
      <c r="P422">
        <f t="shared" si="12"/>
        <v>1.8877631578947343</v>
      </c>
      <c r="Q422">
        <v>5.3518421052631568</v>
      </c>
      <c r="R422">
        <v>4.2215000000000007</v>
      </c>
      <c r="S422">
        <f t="shared" si="13"/>
        <v>1.1303421052631561</v>
      </c>
      <c r="T422">
        <v>13.438000000000002</v>
      </c>
      <c r="U422">
        <v>58.922686922983679</v>
      </c>
      <c r="V422">
        <v>34.65775294449174</v>
      </c>
      <c r="W422">
        <v>100.88758850097656</v>
      </c>
      <c r="X422">
        <v>78.198562622070312</v>
      </c>
      <c r="Y422">
        <v>128.53486633300781</v>
      </c>
      <c r="Z422">
        <v>0.1568816751241684</v>
      </c>
    </row>
    <row r="423" spans="1:26" x14ac:dyDescent="0.2">
      <c r="A423" s="1">
        <v>38384</v>
      </c>
      <c r="B423" s="1">
        <v>38411</v>
      </c>
      <c r="C423">
        <v>64.400000000000006</v>
      </c>
      <c r="D423">
        <v>0.79049999999999998</v>
      </c>
      <c r="E423">
        <v>39.409933559025703</v>
      </c>
      <c r="G423">
        <v>65</v>
      </c>
      <c r="H423">
        <v>49.9</v>
      </c>
      <c r="I423">
        <v>45.6</v>
      </c>
      <c r="J423">
        <v>5.58</v>
      </c>
      <c r="K423" s="2">
        <v>5.25</v>
      </c>
      <c r="L423">
        <v>2.5017857142857141</v>
      </c>
      <c r="M423">
        <f t="shared" si="14"/>
        <v>2.7482142857142859</v>
      </c>
      <c r="N423">
        <v>5.4044999999999996</v>
      </c>
      <c r="O423">
        <v>3.3847368421052635</v>
      </c>
      <c r="P423">
        <f t="shared" si="12"/>
        <v>2.0197631578947361</v>
      </c>
      <c r="Q423">
        <v>5.3977500000000003</v>
      </c>
      <c r="R423">
        <v>4.1652631578947368</v>
      </c>
      <c r="S423">
        <f t="shared" si="13"/>
        <v>1.2324868421052635</v>
      </c>
      <c r="T423">
        <v>11.708947368421052</v>
      </c>
      <c r="U423">
        <v>55.161418977772463</v>
      </c>
      <c r="V423">
        <v>32.410521991497227</v>
      </c>
      <c r="W423">
        <v>108.97796630859375</v>
      </c>
      <c r="X423">
        <v>104.77036285400391</v>
      </c>
      <c r="Y423">
        <v>108.79598236083984</v>
      </c>
      <c r="Z423">
        <v>7.0778235793113708E-2</v>
      </c>
    </row>
    <row r="424" spans="1:26" x14ac:dyDescent="0.2">
      <c r="A424" s="1">
        <v>38412</v>
      </c>
      <c r="B424" s="1">
        <v>38442</v>
      </c>
      <c r="C424">
        <v>63.8</v>
      </c>
      <c r="D424">
        <v>0.77190000000000003</v>
      </c>
      <c r="E424">
        <v>40.623202958343903</v>
      </c>
      <c r="G424">
        <v>65</v>
      </c>
      <c r="H424">
        <v>50.9</v>
      </c>
      <c r="I424">
        <v>53.1</v>
      </c>
      <c r="J424">
        <v>5.59</v>
      </c>
      <c r="K424" s="2">
        <v>5.49</v>
      </c>
      <c r="L424">
        <v>2.6290322580645156</v>
      </c>
      <c r="M424">
        <f t="shared" si="14"/>
        <v>2.8609677419354846</v>
      </c>
      <c r="N424">
        <v>5.5802380952380952</v>
      </c>
      <c r="O424">
        <v>3.7268181818181816</v>
      </c>
      <c r="P424">
        <f t="shared" si="12"/>
        <v>1.8534199134199136</v>
      </c>
      <c r="Q424">
        <v>5.6526190476190479</v>
      </c>
      <c r="R424">
        <v>4.4977272727272712</v>
      </c>
      <c r="S424">
        <f t="shared" si="13"/>
        <v>1.1548917748917766</v>
      </c>
      <c r="T424">
        <v>13.126363636363635</v>
      </c>
      <c r="U424">
        <v>53.325877423114846</v>
      </c>
      <c r="V424">
        <v>34.387120955356089</v>
      </c>
      <c r="W424">
        <v>90.410484313964844</v>
      </c>
      <c r="X424">
        <v>87.226333618164062</v>
      </c>
      <c r="Y424">
        <v>87.876739501953125</v>
      </c>
      <c r="Z424">
        <v>6.2997534871101379E-2</v>
      </c>
    </row>
    <row r="425" spans="1:26" x14ac:dyDescent="0.2">
      <c r="A425" s="1">
        <v>38443</v>
      </c>
      <c r="B425" s="1">
        <v>38472</v>
      </c>
      <c r="C425">
        <v>64.099999999999994</v>
      </c>
      <c r="D425">
        <v>0.78110000000000002</v>
      </c>
      <c r="E425">
        <v>44.943732612049203</v>
      </c>
      <c r="G425">
        <v>65</v>
      </c>
      <c r="H425">
        <v>51.3</v>
      </c>
      <c r="I425">
        <v>51.9</v>
      </c>
      <c r="J425">
        <v>5.67</v>
      </c>
      <c r="K425" s="2">
        <v>5.5</v>
      </c>
      <c r="L425">
        <v>2.7849999999999997</v>
      </c>
      <c r="M425">
        <f t="shared" si="14"/>
        <v>2.7150000000000003</v>
      </c>
      <c r="N425">
        <v>5.3665000000000003</v>
      </c>
      <c r="O425">
        <v>3.6538095238095232</v>
      </c>
      <c r="P425">
        <f t="shared" si="12"/>
        <v>1.7126904761904771</v>
      </c>
      <c r="Q425">
        <v>5.4719999999999995</v>
      </c>
      <c r="R425">
        <v>4.3409523809523805</v>
      </c>
      <c r="S425">
        <f t="shared" si="13"/>
        <v>1.1310476190476191</v>
      </c>
      <c r="T425">
        <v>14.45904761904762</v>
      </c>
      <c r="U425">
        <v>72.589847901993878</v>
      </c>
      <c r="V425">
        <v>69.645060414840046</v>
      </c>
      <c r="W425">
        <v>87.032402038574219</v>
      </c>
      <c r="X425">
        <v>72.532630920410156</v>
      </c>
      <c r="Y425">
        <v>102.85391235351562</v>
      </c>
      <c r="Z425">
        <v>8.2403838634490967E-2</v>
      </c>
    </row>
    <row r="426" spans="1:26" x14ac:dyDescent="0.2">
      <c r="A426" s="1">
        <v>38473</v>
      </c>
      <c r="B426" s="1">
        <v>38503</v>
      </c>
      <c r="C426">
        <v>63.2</v>
      </c>
      <c r="D426">
        <v>0.75570000000000004</v>
      </c>
      <c r="E426">
        <v>44.716889781998397</v>
      </c>
      <c r="G426">
        <v>65</v>
      </c>
      <c r="H426">
        <v>51.3</v>
      </c>
      <c r="I426">
        <v>48.7</v>
      </c>
      <c r="J426">
        <v>5.74</v>
      </c>
      <c r="K426" s="2">
        <v>5.5</v>
      </c>
      <c r="L426">
        <v>3.0025806451612915</v>
      </c>
      <c r="M426">
        <f t="shared" si="14"/>
        <v>2.4974193548387085</v>
      </c>
      <c r="N426">
        <v>5.2168181818181809</v>
      </c>
      <c r="O426">
        <v>3.6438095238095238</v>
      </c>
      <c r="P426">
        <f t="shared" si="12"/>
        <v>1.5730086580086571</v>
      </c>
      <c r="Q426">
        <v>5.2877272727272731</v>
      </c>
      <c r="R426">
        <v>4.1442857142857141</v>
      </c>
      <c r="S426">
        <f t="shared" si="13"/>
        <v>1.1434415584415589</v>
      </c>
      <c r="T426">
        <v>13.967619047619044</v>
      </c>
      <c r="U426">
        <v>67.863938624568931</v>
      </c>
      <c r="V426">
        <v>54.803351953140421</v>
      </c>
      <c r="W426">
        <v>98.205963134765625</v>
      </c>
      <c r="X426">
        <v>89.932693481445312</v>
      </c>
      <c r="Y426">
        <v>104.90988922119141</v>
      </c>
      <c r="Z426">
        <v>6.8779900670051575E-2</v>
      </c>
    </row>
    <row r="427" spans="1:26" x14ac:dyDescent="0.2">
      <c r="A427" s="1">
        <v>38504</v>
      </c>
      <c r="B427" s="1">
        <v>38533</v>
      </c>
      <c r="C427">
        <v>64.5</v>
      </c>
      <c r="D427">
        <v>0.76370000000000005</v>
      </c>
      <c r="E427">
        <v>46.982844543013002</v>
      </c>
      <c r="G427">
        <v>65</v>
      </c>
      <c r="H427">
        <v>51</v>
      </c>
      <c r="I427">
        <v>54.3</v>
      </c>
      <c r="J427">
        <v>5.68</v>
      </c>
      <c r="K427" s="2">
        <v>5.5</v>
      </c>
      <c r="L427">
        <v>3.0356666666666658</v>
      </c>
      <c r="M427">
        <f t="shared" si="14"/>
        <v>2.4643333333333342</v>
      </c>
      <c r="N427">
        <v>5.1928571428571431</v>
      </c>
      <c r="O427">
        <v>3.6404545454545456</v>
      </c>
      <c r="P427">
        <f t="shared" si="12"/>
        <v>1.5524025974025975</v>
      </c>
      <c r="Q427">
        <v>5.1404761904761909</v>
      </c>
      <c r="R427">
        <v>3.9981818181818185</v>
      </c>
      <c r="S427">
        <f t="shared" si="13"/>
        <v>1.1422943722943724</v>
      </c>
      <c r="T427">
        <v>11.868636363636368</v>
      </c>
      <c r="U427">
        <v>70.625831776287981</v>
      </c>
      <c r="V427">
        <v>28.886130452088825</v>
      </c>
      <c r="W427">
        <v>81.124053955078125</v>
      </c>
      <c r="X427">
        <v>69.882499694824219</v>
      </c>
      <c r="Y427">
        <v>93.417526245117188</v>
      </c>
      <c r="Z427">
        <v>8.7330982089042664E-2</v>
      </c>
    </row>
    <row r="428" spans="1:26" x14ac:dyDescent="0.2">
      <c r="A428" s="1">
        <v>38534</v>
      </c>
      <c r="B428" s="1">
        <v>38564</v>
      </c>
      <c r="C428">
        <v>64.3</v>
      </c>
      <c r="D428">
        <v>0.75949999999999995</v>
      </c>
      <c r="E428">
        <v>48.679297374106497</v>
      </c>
      <c r="G428">
        <v>65</v>
      </c>
      <c r="H428">
        <v>50.9</v>
      </c>
      <c r="I428">
        <v>57.6</v>
      </c>
      <c r="J428">
        <v>6.03</v>
      </c>
      <c r="K428" s="2">
        <v>5.5</v>
      </c>
      <c r="L428">
        <v>3.2625806451612904</v>
      </c>
      <c r="M428">
        <f t="shared" si="14"/>
        <v>2.2374193548387096</v>
      </c>
      <c r="N428">
        <v>5.2004761904761905</v>
      </c>
      <c r="O428">
        <v>3.8709999999999996</v>
      </c>
      <c r="P428">
        <f t="shared" si="12"/>
        <v>1.3294761904761909</v>
      </c>
      <c r="Q428">
        <v>5.1902380952380955</v>
      </c>
      <c r="R428">
        <v>4.1775000000000002</v>
      </c>
      <c r="S428">
        <f t="shared" si="13"/>
        <v>1.0127380952380953</v>
      </c>
      <c r="T428">
        <v>11.048999999999999</v>
      </c>
      <c r="U428">
        <v>63.945870325367387</v>
      </c>
      <c r="V428">
        <v>44.312692933745431</v>
      </c>
      <c r="W428">
        <v>165.90191650390625</v>
      </c>
      <c r="X428">
        <v>118.18357086181641</v>
      </c>
      <c r="Y428">
        <v>237.56501770019531</v>
      </c>
      <c r="Z428">
        <v>0.18011417984962463</v>
      </c>
    </row>
    <row r="429" spans="1:26" x14ac:dyDescent="0.2">
      <c r="A429" s="1">
        <v>38565</v>
      </c>
      <c r="B429" s="1">
        <v>38595</v>
      </c>
      <c r="C429">
        <v>63.3</v>
      </c>
      <c r="D429">
        <v>0.74709999999999999</v>
      </c>
      <c r="E429">
        <v>49.534242957621899</v>
      </c>
      <c r="G429">
        <v>65</v>
      </c>
      <c r="H429">
        <v>49.1</v>
      </c>
      <c r="I429">
        <v>64.099999999999994</v>
      </c>
      <c r="J429">
        <v>6.2</v>
      </c>
      <c r="K429" s="2">
        <v>5.5</v>
      </c>
      <c r="L429">
        <v>3.4996774193548394</v>
      </c>
      <c r="M429">
        <f t="shared" si="14"/>
        <v>2.0003225806451606</v>
      </c>
      <c r="N429">
        <v>5.1397826086956533</v>
      </c>
      <c r="O429">
        <v>4.0443478260869563</v>
      </c>
      <c r="P429">
        <f t="shared" si="12"/>
        <v>1.095434782608697</v>
      </c>
      <c r="Q429">
        <v>5.2186956521739134</v>
      </c>
      <c r="R429">
        <v>4.2626086956521743</v>
      </c>
      <c r="S429">
        <f t="shared" si="13"/>
        <v>0.95608695652173914</v>
      </c>
      <c r="T429">
        <v>12.951304347826085</v>
      </c>
      <c r="U429">
        <v>61.79474957829165</v>
      </c>
      <c r="V429">
        <v>37.913956101117705</v>
      </c>
      <c r="W429">
        <v>116.2276611328125</v>
      </c>
      <c r="X429">
        <v>92.683074951171875</v>
      </c>
      <c r="Y429">
        <v>143.29122924804688</v>
      </c>
      <c r="Z429">
        <v>9.7106233239173889E-2</v>
      </c>
    </row>
    <row r="430" spans="1:26" x14ac:dyDescent="0.2">
      <c r="A430" s="1">
        <v>38596</v>
      </c>
      <c r="B430" s="1">
        <v>38625</v>
      </c>
      <c r="C430">
        <v>64.7</v>
      </c>
      <c r="D430">
        <v>0.76149999999999995</v>
      </c>
      <c r="E430">
        <v>50.171414805692898</v>
      </c>
      <c r="G430">
        <v>65</v>
      </c>
      <c r="H430">
        <v>45.3</v>
      </c>
      <c r="I430">
        <v>63</v>
      </c>
      <c r="J430">
        <v>6.39</v>
      </c>
      <c r="K430" s="2">
        <v>5.5</v>
      </c>
      <c r="L430">
        <v>3.6230000000000007</v>
      </c>
      <c r="M430">
        <f t="shared" si="14"/>
        <v>1.8769999999999993</v>
      </c>
      <c r="N430">
        <v>5.13</v>
      </c>
      <c r="O430">
        <v>3.9461904761904765</v>
      </c>
      <c r="P430">
        <f t="shared" si="12"/>
        <v>1.1838095238095234</v>
      </c>
      <c r="Q430">
        <v>5.1863636363636365</v>
      </c>
      <c r="R430">
        <v>4.1990476190476196</v>
      </c>
      <c r="S430">
        <f t="shared" si="13"/>
        <v>0.98731601731601693</v>
      </c>
      <c r="T430">
        <v>12.628095238095238</v>
      </c>
      <c r="U430">
        <v>92.773831383102674</v>
      </c>
      <c r="V430">
        <v>46.434343410396892</v>
      </c>
      <c r="W430">
        <v>103.80766296386719</v>
      </c>
      <c r="X430">
        <v>78.456703186035156</v>
      </c>
      <c r="Y430">
        <v>130.27203369140625</v>
      </c>
      <c r="Z430">
        <v>7.3020413517951965E-2</v>
      </c>
    </row>
    <row r="431" spans="1:26" x14ac:dyDescent="0.2">
      <c r="A431" s="1">
        <v>38626</v>
      </c>
      <c r="B431" s="1">
        <v>38656</v>
      </c>
      <c r="C431">
        <v>63.9</v>
      </c>
      <c r="D431">
        <v>0.74870000000000003</v>
      </c>
      <c r="E431">
        <v>51.0978918967784</v>
      </c>
      <c r="G431">
        <v>65</v>
      </c>
      <c r="H431">
        <v>42.5</v>
      </c>
      <c r="I431">
        <v>58.5</v>
      </c>
      <c r="J431">
        <v>6.48</v>
      </c>
      <c r="K431" s="2">
        <v>5.5</v>
      </c>
      <c r="L431">
        <v>3.7793548387096778</v>
      </c>
      <c r="M431">
        <f t="shared" si="14"/>
        <v>1.7206451612903222</v>
      </c>
      <c r="N431">
        <v>5.3109523809523793</v>
      </c>
      <c r="O431">
        <v>4.2709999999999999</v>
      </c>
      <c r="P431">
        <f t="shared" ref="P431:P494" si="15">N431-O431</f>
        <v>1.0399523809523794</v>
      </c>
      <c r="Q431">
        <v>5.4002380952380955</v>
      </c>
      <c r="R431">
        <v>4.4635000000000007</v>
      </c>
      <c r="S431">
        <f t="shared" si="13"/>
        <v>0.93673809523809481</v>
      </c>
      <c r="T431">
        <v>14.937619047619048</v>
      </c>
      <c r="U431">
        <v>66.835571670367898</v>
      </c>
      <c r="V431">
        <v>49.828259947934519</v>
      </c>
      <c r="W431">
        <v>87.06182861328125</v>
      </c>
      <c r="X431">
        <v>73.187652587890625</v>
      </c>
      <c r="Y431">
        <v>105.56188201904297</v>
      </c>
      <c r="Z431">
        <v>0.10629129409790039</v>
      </c>
    </row>
    <row r="432" spans="1:26" x14ac:dyDescent="0.2">
      <c r="A432" s="1">
        <v>38657</v>
      </c>
      <c r="B432" s="1">
        <v>38686</v>
      </c>
      <c r="C432">
        <v>63.7</v>
      </c>
      <c r="D432">
        <v>0.7389</v>
      </c>
      <c r="E432">
        <v>51.570082646773997</v>
      </c>
      <c r="G432">
        <v>65</v>
      </c>
      <c r="H432">
        <v>38.1</v>
      </c>
      <c r="I432">
        <v>55.5</v>
      </c>
      <c r="J432">
        <v>6.61</v>
      </c>
      <c r="K432" s="2">
        <v>5.5</v>
      </c>
      <c r="L432">
        <v>3.9990000000000001</v>
      </c>
      <c r="M432">
        <f t="shared" si="14"/>
        <v>1.5009999999999999</v>
      </c>
      <c r="N432">
        <v>5.2979545454545454</v>
      </c>
      <c r="O432">
        <v>4.4165000000000001</v>
      </c>
      <c r="P432">
        <f t="shared" si="15"/>
        <v>0.88145454545454527</v>
      </c>
      <c r="Q432">
        <v>5.4352272727272721</v>
      </c>
      <c r="R432">
        <v>4.5349999999999993</v>
      </c>
      <c r="S432">
        <f t="shared" si="13"/>
        <v>0.90022727272727288</v>
      </c>
      <c r="T432">
        <v>12.147619047619045</v>
      </c>
      <c r="U432">
        <v>65.727249049979122</v>
      </c>
      <c r="V432">
        <v>48.896107317570177</v>
      </c>
      <c r="W432">
        <v>83.480094909667969</v>
      </c>
      <c r="X432">
        <v>70.604461669921875</v>
      </c>
      <c r="Y432">
        <v>96.029586791992188</v>
      </c>
      <c r="Z432">
        <v>0.1311415433883667</v>
      </c>
    </row>
    <row r="433" spans="1:26" x14ac:dyDescent="0.2">
      <c r="A433" s="1">
        <v>38687</v>
      </c>
      <c r="B433" s="1">
        <v>38717</v>
      </c>
      <c r="C433">
        <v>62.7</v>
      </c>
      <c r="D433">
        <v>0.73370000000000002</v>
      </c>
      <c r="E433">
        <v>53.121103977165802</v>
      </c>
      <c r="G433">
        <v>65</v>
      </c>
      <c r="H433">
        <v>38.200000000000003</v>
      </c>
      <c r="I433">
        <v>56.7</v>
      </c>
      <c r="J433">
        <v>6.49</v>
      </c>
      <c r="K433" s="2">
        <v>5.5</v>
      </c>
      <c r="L433">
        <v>4.1570967741935476</v>
      </c>
      <c r="M433">
        <f t="shared" si="14"/>
        <v>1.3429032258064524</v>
      </c>
      <c r="N433">
        <v>5.2889999999999997</v>
      </c>
      <c r="O433">
        <v>4.4042857142857139</v>
      </c>
      <c r="P433">
        <f t="shared" si="15"/>
        <v>0.88471428571428579</v>
      </c>
      <c r="Q433">
        <v>5.3465000000000007</v>
      </c>
      <c r="R433">
        <v>4.4671428571428571</v>
      </c>
      <c r="S433">
        <f t="shared" si="13"/>
        <v>0.87935714285714361</v>
      </c>
      <c r="T433">
        <v>11.26</v>
      </c>
      <c r="U433">
        <v>61.485820551590479</v>
      </c>
      <c r="V433">
        <v>34.270069379870904</v>
      </c>
      <c r="W433">
        <v>95.350250244140625</v>
      </c>
      <c r="X433">
        <v>69.644607543945312</v>
      </c>
      <c r="Y433">
        <v>130.67890930175781</v>
      </c>
      <c r="Z433">
        <v>5.3309917449951172E-2</v>
      </c>
    </row>
    <row r="434" spans="1:26" x14ac:dyDescent="0.2">
      <c r="A434" s="1">
        <v>38718</v>
      </c>
      <c r="B434" s="1">
        <v>38748</v>
      </c>
      <c r="C434">
        <v>63.4</v>
      </c>
      <c r="D434">
        <v>0.751</v>
      </c>
      <c r="E434">
        <v>54.200237969034802</v>
      </c>
      <c r="G434">
        <v>67.2</v>
      </c>
      <c r="H434">
        <v>43.2</v>
      </c>
      <c r="I434">
        <v>63.6</v>
      </c>
      <c r="J434">
        <v>6.53</v>
      </c>
      <c r="K434" s="2">
        <v>5.5</v>
      </c>
      <c r="L434">
        <v>4.2851612903225798</v>
      </c>
      <c r="M434">
        <f t="shared" si="14"/>
        <v>1.2148387096774202</v>
      </c>
      <c r="N434">
        <v>5.1752500000000001</v>
      </c>
      <c r="O434">
        <v>4.3954999999999993</v>
      </c>
      <c r="P434">
        <f t="shared" si="15"/>
        <v>0.77975000000000083</v>
      </c>
      <c r="Q434">
        <v>5.2035</v>
      </c>
      <c r="R434">
        <v>4.4160000000000004</v>
      </c>
      <c r="S434">
        <f t="shared" si="13"/>
        <v>0.78749999999999964</v>
      </c>
      <c r="T434">
        <v>12.035999999999998</v>
      </c>
      <c r="U434">
        <v>70.523923775098595</v>
      </c>
      <c r="V434">
        <v>38.336221866860853</v>
      </c>
      <c r="W434">
        <v>94.510017395019531</v>
      </c>
      <c r="X434">
        <v>89.323471069335938</v>
      </c>
      <c r="Y434">
        <v>100.19158172607422</v>
      </c>
      <c r="Z434">
        <v>6.1557400971651077E-2</v>
      </c>
    </row>
    <row r="435" spans="1:26" x14ac:dyDescent="0.2">
      <c r="A435" s="1">
        <v>38749</v>
      </c>
      <c r="B435" s="1">
        <v>38776</v>
      </c>
      <c r="C435">
        <v>62.6</v>
      </c>
      <c r="D435">
        <v>0.73819999999999997</v>
      </c>
      <c r="E435">
        <v>55.179293517412802</v>
      </c>
      <c r="G435">
        <v>65.2</v>
      </c>
      <c r="H435">
        <v>47.7</v>
      </c>
      <c r="I435">
        <v>59.9</v>
      </c>
      <c r="J435">
        <v>7.04</v>
      </c>
      <c r="K435" s="2">
        <v>5.5</v>
      </c>
      <c r="L435">
        <v>4.491428571428572</v>
      </c>
      <c r="M435">
        <f t="shared" si="14"/>
        <v>1.008571428571428</v>
      </c>
      <c r="N435">
        <v>5.2334999999999994</v>
      </c>
      <c r="O435">
        <v>4.6684210526315768</v>
      </c>
      <c r="P435">
        <f t="shared" si="15"/>
        <v>0.56507894736842257</v>
      </c>
      <c r="Q435">
        <v>5.2720000000000011</v>
      </c>
      <c r="R435">
        <v>4.5689473684210524</v>
      </c>
      <c r="S435">
        <f t="shared" si="13"/>
        <v>0.70305263157894871</v>
      </c>
      <c r="T435">
        <v>12.471052631578948</v>
      </c>
      <c r="U435">
        <v>58.769229234649032</v>
      </c>
      <c r="V435">
        <v>47.412779973034276</v>
      </c>
      <c r="W435">
        <v>95.858192443847656</v>
      </c>
      <c r="X435">
        <v>89.40576171875</v>
      </c>
      <c r="Y435">
        <v>102.79864501953125</v>
      </c>
      <c r="Z435">
        <v>5.4128061980009079E-2</v>
      </c>
    </row>
    <row r="436" spans="1:26" x14ac:dyDescent="0.2">
      <c r="A436" s="1">
        <v>38777</v>
      </c>
      <c r="B436" s="1">
        <v>38807</v>
      </c>
      <c r="C436">
        <v>60.8</v>
      </c>
      <c r="D436">
        <v>0.71589999999999998</v>
      </c>
      <c r="E436">
        <v>55.2449923255596</v>
      </c>
      <c r="G436">
        <v>66.7</v>
      </c>
      <c r="H436">
        <v>49.8</v>
      </c>
      <c r="I436">
        <v>62.3</v>
      </c>
      <c r="J436">
        <v>6.88</v>
      </c>
      <c r="K436" s="2">
        <v>5.5</v>
      </c>
      <c r="L436">
        <v>4.5893548387096761</v>
      </c>
      <c r="M436">
        <f t="shared" si="14"/>
        <v>0.91064516129032391</v>
      </c>
      <c r="N436">
        <v>5.2839130434782602</v>
      </c>
      <c r="O436">
        <v>4.7339130434782604</v>
      </c>
      <c r="P436">
        <f t="shared" si="15"/>
        <v>0.54999999999999982</v>
      </c>
      <c r="Q436">
        <v>5.341304347826088</v>
      </c>
      <c r="R436">
        <v>4.7239130434782615</v>
      </c>
      <c r="S436">
        <f t="shared" si="13"/>
        <v>0.61739130434782652</v>
      </c>
      <c r="T436">
        <v>11.693913043478259</v>
      </c>
      <c r="U436">
        <v>58.758423056041252</v>
      </c>
      <c r="V436">
        <v>31.842782550931602</v>
      </c>
      <c r="W436">
        <v>92.797622680664062</v>
      </c>
      <c r="X436">
        <v>88.042228698730469</v>
      </c>
      <c r="Y436">
        <v>97.036026000976562</v>
      </c>
      <c r="Z436">
        <v>9.4691537320613861E-2</v>
      </c>
    </row>
    <row r="437" spans="1:26" x14ac:dyDescent="0.2">
      <c r="A437" s="1">
        <v>38808</v>
      </c>
      <c r="B437" s="1">
        <v>38837</v>
      </c>
      <c r="C437">
        <v>62.8</v>
      </c>
      <c r="D437">
        <v>0.75419999999999998</v>
      </c>
      <c r="E437">
        <v>57.498078032148499</v>
      </c>
      <c r="G437">
        <v>67.3</v>
      </c>
      <c r="H437">
        <v>52.9</v>
      </c>
      <c r="I437">
        <v>70.400000000000006</v>
      </c>
      <c r="J437">
        <v>6.93</v>
      </c>
      <c r="K437" s="2">
        <v>5.5</v>
      </c>
      <c r="L437">
        <v>4.7903333333333338</v>
      </c>
      <c r="M437">
        <f t="shared" si="14"/>
        <v>0.70966666666666622</v>
      </c>
      <c r="N437">
        <v>5.5208823529411752</v>
      </c>
      <c r="O437">
        <v>4.8889473684210536</v>
      </c>
      <c r="P437">
        <f t="shared" si="15"/>
        <v>0.63193498452012165</v>
      </c>
      <c r="Q437">
        <v>5.5797058823529415</v>
      </c>
      <c r="R437">
        <v>4.9905263157894737</v>
      </c>
      <c r="S437">
        <f t="shared" si="13"/>
        <v>0.58917956656346782</v>
      </c>
      <c r="T437">
        <v>11.84736842105263</v>
      </c>
      <c r="U437">
        <v>71.161911040469846</v>
      </c>
      <c r="V437">
        <v>37.91341821798212</v>
      </c>
      <c r="W437">
        <v>89.015800476074219</v>
      </c>
      <c r="X437">
        <v>85.9110107421875</v>
      </c>
      <c r="Y437">
        <v>92.830711364746094</v>
      </c>
      <c r="Z437">
        <v>8.1476606428623199E-2</v>
      </c>
    </row>
    <row r="438" spans="1:26" x14ac:dyDescent="0.2">
      <c r="A438" s="1">
        <v>38838</v>
      </c>
      <c r="B438" s="1">
        <v>38868</v>
      </c>
      <c r="C438">
        <v>63.2</v>
      </c>
      <c r="D438">
        <v>0.76359999999999995</v>
      </c>
      <c r="E438">
        <v>58.365973876852301</v>
      </c>
      <c r="G438">
        <v>67.3</v>
      </c>
      <c r="H438">
        <v>52.6</v>
      </c>
      <c r="I438">
        <v>70.2</v>
      </c>
      <c r="J438">
        <v>6.92</v>
      </c>
      <c r="K438" s="2">
        <v>5.73</v>
      </c>
      <c r="L438">
        <v>4.9403225806451632</v>
      </c>
      <c r="M438">
        <f t="shared" si="14"/>
        <v>0.78967741935483726</v>
      </c>
      <c r="N438">
        <v>5.6856521739130441</v>
      </c>
      <c r="O438">
        <v>4.9681818181818178</v>
      </c>
      <c r="P438">
        <f t="shared" si="15"/>
        <v>0.71747035573122631</v>
      </c>
      <c r="Q438">
        <v>5.75</v>
      </c>
      <c r="R438">
        <v>5.1100000000000003</v>
      </c>
      <c r="S438">
        <f t="shared" si="13"/>
        <v>0.63999999999999968</v>
      </c>
      <c r="T438">
        <v>14.454545454545455</v>
      </c>
      <c r="U438">
        <v>63.61193774597335</v>
      </c>
      <c r="V438">
        <v>60.742351402439198</v>
      </c>
      <c r="W438">
        <v>85.208778381347656</v>
      </c>
      <c r="X438">
        <v>84.033126831054688</v>
      </c>
      <c r="Y438">
        <v>82.277427673339844</v>
      </c>
      <c r="Z438">
        <v>6.2846027314662933E-2</v>
      </c>
    </row>
    <row r="439" spans="1:26" x14ac:dyDescent="0.2">
      <c r="A439" s="1">
        <v>38869</v>
      </c>
      <c r="B439" s="1">
        <v>38898</v>
      </c>
      <c r="C439">
        <v>62.2</v>
      </c>
      <c r="D439">
        <v>0.74329999999999996</v>
      </c>
      <c r="E439">
        <v>56.937891904572602</v>
      </c>
      <c r="G439">
        <v>69.3</v>
      </c>
      <c r="H439">
        <v>52.4</v>
      </c>
      <c r="I439">
        <v>68.900000000000006</v>
      </c>
      <c r="J439">
        <v>7.1</v>
      </c>
      <c r="K439" s="2">
        <v>5.75</v>
      </c>
      <c r="L439">
        <v>4.9910000000000005</v>
      </c>
      <c r="M439">
        <f t="shared" si="14"/>
        <v>0.75899999999999945</v>
      </c>
      <c r="N439">
        <v>5.7461904761904767</v>
      </c>
      <c r="O439">
        <v>5.1218181818181812</v>
      </c>
      <c r="P439">
        <f t="shared" si="15"/>
        <v>0.62437229437229558</v>
      </c>
      <c r="Q439">
        <v>5.7378571428571421</v>
      </c>
      <c r="R439">
        <v>5.1063636363636364</v>
      </c>
      <c r="S439">
        <f t="shared" si="13"/>
        <v>0.63149350649350566</v>
      </c>
      <c r="T439">
        <v>16.918636363636359</v>
      </c>
      <c r="U439">
        <v>73.589256088521424</v>
      </c>
      <c r="V439">
        <v>50.016971713347466</v>
      </c>
      <c r="W439">
        <v>102.57276916503906</v>
      </c>
      <c r="X439">
        <v>90.384536743164062</v>
      </c>
      <c r="Y439">
        <v>115.67947387695312</v>
      </c>
      <c r="Z439">
        <v>0.10879748314619064</v>
      </c>
    </row>
    <row r="440" spans="1:26" x14ac:dyDescent="0.2">
      <c r="A440" s="1">
        <v>38899</v>
      </c>
      <c r="B440" s="1">
        <v>38929</v>
      </c>
      <c r="C440">
        <v>63.9</v>
      </c>
      <c r="D440">
        <v>0.76580000000000004</v>
      </c>
      <c r="E440">
        <v>58.817603388620498</v>
      </c>
      <c r="G440">
        <v>70.5</v>
      </c>
      <c r="H440">
        <v>52.8</v>
      </c>
      <c r="I440">
        <v>73.900000000000006</v>
      </c>
      <c r="J440">
        <v>6.86</v>
      </c>
      <c r="K440" s="2">
        <v>5.75</v>
      </c>
      <c r="L440">
        <v>5.2351612903225817</v>
      </c>
      <c r="M440">
        <f t="shared" si="14"/>
        <v>0.51483870967741829</v>
      </c>
      <c r="N440">
        <v>5.9145238095238089</v>
      </c>
      <c r="O440">
        <v>5.1184999999999992</v>
      </c>
      <c r="P440">
        <f t="shared" si="15"/>
        <v>0.79602380952380969</v>
      </c>
      <c r="Q440">
        <v>5.8340476190476194</v>
      </c>
      <c r="R440">
        <v>5.0875000000000004</v>
      </c>
      <c r="S440">
        <f t="shared" si="13"/>
        <v>0.74654761904761902</v>
      </c>
      <c r="T440">
        <v>15.325999999999999</v>
      </c>
      <c r="U440">
        <v>70.021954994275092</v>
      </c>
      <c r="V440">
        <v>48.192170833054753</v>
      </c>
      <c r="W440">
        <v>137.13482666015625</v>
      </c>
      <c r="X440">
        <v>134.39634704589844</v>
      </c>
      <c r="Y440">
        <v>142.0860595703125</v>
      </c>
      <c r="Z440">
        <v>6.9876760244369507E-2</v>
      </c>
    </row>
    <row r="441" spans="1:26" x14ac:dyDescent="0.2">
      <c r="A441" s="1">
        <v>38930</v>
      </c>
      <c r="B441" s="1">
        <v>38960</v>
      </c>
      <c r="C441">
        <v>63.7</v>
      </c>
      <c r="D441">
        <v>0.76270000000000004</v>
      </c>
      <c r="E441">
        <v>58.918788141204203</v>
      </c>
      <c r="G441">
        <v>69.8</v>
      </c>
      <c r="H441">
        <v>50.9</v>
      </c>
      <c r="I441">
        <v>73.599999999999994</v>
      </c>
      <c r="J441">
        <v>7.23</v>
      </c>
      <c r="K441" s="2">
        <v>5.99</v>
      </c>
      <c r="L441">
        <v>5.2464516129032255</v>
      </c>
      <c r="M441">
        <f t="shared" si="14"/>
        <v>0.74354838709677473</v>
      </c>
      <c r="N441">
        <v>5.9234782608695671</v>
      </c>
      <c r="O441">
        <v>4.9034782608695648</v>
      </c>
      <c r="P441">
        <f t="shared" si="15"/>
        <v>1.0200000000000022</v>
      </c>
      <c r="Q441">
        <v>5.7732608695652177</v>
      </c>
      <c r="R441">
        <v>4.8765217391304354</v>
      </c>
      <c r="S441">
        <f t="shared" si="13"/>
        <v>0.89673913043478226</v>
      </c>
      <c r="T441">
        <v>13.351739130434781</v>
      </c>
      <c r="U441">
        <v>60.761110063796878</v>
      </c>
      <c r="V441">
        <v>66.881375417827755</v>
      </c>
      <c r="W441">
        <v>147.08111572265625</v>
      </c>
      <c r="X441">
        <v>141.55645751953125</v>
      </c>
      <c r="Y441">
        <v>159.18817138671875</v>
      </c>
      <c r="Z441">
        <v>9.3587636947631836E-2</v>
      </c>
    </row>
    <row r="442" spans="1:26" x14ac:dyDescent="0.2">
      <c r="A442" s="1">
        <v>38961</v>
      </c>
      <c r="B442" s="1">
        <v>38990</v>
      </c>
      <c r="C442">
        <v>62.6</v>
      </c>
      <c r="D442">
        <v>0.748</v>
      </c>
      <c r="E442">
        <v>57.456453165062001</v>
      </c>
      <c r="G442">
        <v>70</v>
      </c>
      <c r="H442">
        <v>47.1</v>
      </c>
      <c r="I442">
        <v>62.8</v>
      </c>
      <c r="J442">
        <v>7.65</v>
      </c>
      <c r="K442" s="2">
        <v>6</v>
      </c>
      <c r="L442">
        <v>5.2546666666666679</v>
      </c>
      <c r="M442">
        <f t="shared" si="14"/>
        <v>0.74533333333333207</v>
      </c>
      <c r="N442">
        <v>5.8871428571428579</v>
      </c>
      <c r="O442">
        <v>4.7689999999999992</v>
      </c>
      <c r="P442">
        <f t="shared" si="15"/>
        <v>1.1181428571428587</v>
      </c>
      <c r="Q442">
        <v>5.6016666666666657</v>
      </c>
      <c r="R442">
        <v>4.7190000000000003</v>
      </c>
      <c r="S442">
        <f t="shared" si="13"/>
        <v>0.88266666666666538</v>
      </c>
      <c r="T442">
        <v>12.184500000000002</v>
      </c>
      <c r="U442">
        <v>57.327341494406838</v>
      </c>
      <c r="V442">
        <v>40.89327395931069</v>
      </c>
      <c r="W442">
        <v>111.72425842285156</v>
      </c>
      <c r="X442">
        <v>110.28041076660156</v>
      </c>
      <c r="Y442">
        <v>114.77066802978516</v>
      </c>
      <c r="Z442">
        <v>0.10623767226934433</v>
      </c>
    </row>
    <row r="443" spans="1:26" x14ac:dyDescent="0.2">
      <c r="A443" s="1">
        <v>38991</v>
      </c>
      <c r="B443" s="1">
        <v>39021</v>
      </c>
      <c r="C443">
        <v>64</v>
      </c>
      <c r="D443">
        <v>0.76919999999999999</v>
      </c>
      <c r="E443">
        <v>57.970613882430001</v>
      </c>
      <c r="G443">
        <v>71.7</v>
      </c>
      <c r="H443">
        <v>44.1</v>
      </c>
      <c r="I443">
        <v>58.4</v>
      </c>
      <c r="J443">
        <v>7.2</v>
      </c>
      <c r="K443" s="2">
        <v>6</v>
      </c>
      <c r="L443">
        <v>5.2451612903225788</v>
      </c>
      <c r="M443">
        <f t="shared" si="14"/>
        <v>0.75483870967742117</v>
      </c>
      <c r="N443">
        <v>6.0080952380952377</v>
      </c>
      <c r="O443">
        <v>4.7957142857142863</v>
      </c>
      <c r="P443">
        <f t="shared" si="15"/>
        <v>1.2123809523809514</v>
      </c>
      <c r="Q443">
        <v>5.665</v>
      </c>
      <c r="R443">
        <v>4.7290476190476198</v>
      </c>
      <c r="S443">
        <f t="shared" si="13"/>
        <v>0.9359523809523802</v>
      </c>
      <c r="T443">
        <v>11.306363636363638</v>
      </c>
      <c r="U443">
        <v>60.284949732519188</v>
      </c>
      <c r="V443">
        <v>43.564736119280838</v>
      </c>
      <c r="W443">
        <v>113.13529968261719</v>
      </c>
      <c r="X443">
        <v>125.29189300537109</v>
      </c>
      <c r="Y443">
        <v>99.273918151855469</v>
      </c>
      <c r="Z443">
        <v>0.14883166551589966</v>
      </c>
    </row>
    <row r="444" spans="1:26" x14ac:dyDescent="0.2">
      <c r="A444" s="1">
        <v>39022</v>
      </c>
      <c r="B444" s="1">
        <v>39051</v>
      </c>
      <c r="C444">
        <v>64.5</v>
      </c>
      <c r="D444">
        <v>0.78500000000000003</v>
      </c>
      <c r="E444">
        <v>58.138878001916297</v>
      </c>
      <c r="G444">
        <v>73.5</v>
      </c>
      <c r="H444">
        <v>46</v>
      </c>
      <c r="I444">
        <v>58.5</v>
      </c>
      <c r="J444">
        <v>7.21</v>
      </c>
      <c r="K444" s="2">
        <v>6.19</v>
      </c>
      <c r="L444">
        <v>5.2456666666666676</v>
      </c>
      <c r="M444">
        <f t="shared" si="14"/>
        <v>0.9443333333333328</v>
      </c>
      <c r="N444">
        <v>6.0172727272727258</v>
      </c>
      <c r="O444">
        <v>4.7404761904761905</v>
      </c>
      <c r="P444">
        <f t="shared" si="15"/>
        <v>1.2767965367965353</v>
      </c>
      <c r="Q444">
        <v>5.5995454545454546</v>
      </c>
      <c r="R444">
        <v>4.5952380952380949</v>
      </c>
      <c r="S444">
        <f t="shared" si="13"/>
        <v>1.0043073593073597</v>
      </c>
      <c r="T444">
        <v>10.817619047619051</v>
      </c>
      <c r="U444">
        <v>57.988842788227657</v>
      </c>
      <c r="V444">
        <v>51.662419603524903</v>
      </c>
      <c r="W444">
        <v>88.778923034667969</v>
      </c>
      <c r="X444">
        <v>87.275772094726562</v>
      </c>
      <c r="Y444">
        <v>86.71051025390625</v>
      </c>
      <c r="Z444">
        <v>0.10626992583274841</v>
      </c>
    </row>
    <row r="445" spans="1:26" x14ac:dyDescent="0.2">
      <c r="A445" s="1">
        <v>39052</v>
      </c>
      <c r="B445" s="1">
        <v>39082</v>
      </c>
      <c r="C445">
        <v>64.900000000000006</v>
      </c>
      <c r="D445">
        <v>0.7913</v>
      </c>
      <c r="E445">
        <v>58.244499014846198</v>
      </c>
      <c r="G445">
        <v>73.5</v>
      </c>
      <c r="H445">
        <v>49.8</v>
      </c>
      <c r="I445">
        <v>62.3</v>
      </c>
      <c r="J445">
        <v>7.35</v>
      </c>
      <c r="K445" s="2">
        <v>6.25</v>
      </c>
      <c r="L445">
        <v>5.2380645161290298</v>
      </c>
      <c r="M445">
        <f t="shared" si="14"/>
        <v>1.0119354838709702</v>
      </c>
      <c r="N445">
        <v>6.057631578947368</v>
      </c>
      <c r="O445">
        <v>4.6734999999999989</v>
      </c>
      <c r="P445">
        <f t="shared" si="15"/>
        <v>1.3841315789473692</v>
      </c>
      <c r="Q445">
        <v>5.6965789473684216</v>
      </c>
      <c r="R445">
        <v>4.5644999999999998</v>
      </c>
      <c r="S445">
        <f t="shared" si="13"/>
        <v>1.1320789473684219</v>
      </c>
      <c r="T445">
        <v>10.964500000000001</v>
      </c>
      <c r="U445">
        <v>56.602050278440323</v>
      </c>
      <c r="V445">
        <v>39.222596143428191</v>
      </c>
      <c r="W445">
        <v>90.606559753417969</v>
      </c>
      <c r="X445">
        <v>95.781379699707031</v>
      </c>
      <c r="Y445">
        <v>78.7696533203125</v>
      </c>
      <c r="Z445">
        <v>7.1516804397106171E-2</v>
      </c>
    </row>
    <row r="446" spans="1:26" x14ac:dyDescent="0.2">
      <c r="A446" s="1">
        <v>39083</v>
      </c>
      <c r="B446" s="1">
        <v>39113</v>
      </c>
      <c r="C446">
        <v>63.8</v>
      </c>
      <c r="D446">
        <v>0.77200000000000002</v>
      </c>
      <c r="E446">
        <v>57.442733110676002</v>
      </c>
      <c r="G446">
        <v>78.2</v>
      </c>
      <c r="H446">
        <v>51.3</v>
      </c>
      <c r="I446">
        <v>54.3</v>
      </c>
      <c r="J446">
        <v>7.11</v>
      </c>
      <c r="K446" s="2">
        <v>6.25</v>
      </c>
      <c r="L446">
        <v>5.2483870967741924</v>
      </c>
      <c r="M446">
        <f t="shared" si="14"/>
        <v>1.0016129032258076</v>
      </c>
      <c r="N446">
        <v>6.178809523809524</v>
      </c>
      <c r="O446">
        <v>4.8761904761904766</v>
      </c>
      <c r="P446">
        <f t="shared" si="15"/>
        <v>1.3026190476190473</v>
      </c>
      <c r="Q446">
        <v>5.8776190476190475</v>
      </c>
      <c r="R446">
        <v>4.7595238095238095</v>
      </c>
      <c r="S446">
        <f t="shared" si="13"/>
        <v>1.118095238095238</v>
      </c>
      <c r="T446">
        <v>11.0425</v>
      </c>
      <c r="U446">
        <v>63.687464576163507</v>
      </c>
      <c r="V446">
        <v>25.661972882368811</v>
      </c>
      <c r="W446">
        <v>97.9200439453125</v>
      </c>
      <c r="X446">
        <v>95.613449096679688</v>
      </c>
      <c r="Y446">
        <v>97.653739929199219</v>
      </c>
      <c r="Z446">
        <v>6.4854845404624939E-2</v>
      </c>
    </row>
    <row r="447" spans="1:26" x14ac:dyDescent="0.2">
      <c r="A447" s="1">
        <v>39114</v>
      </c>
      <c r="B447" s="1">
        <v>39141</v>
      </c>
      <c r="C447">
        <v>64.599999999999994</v>
      </c>
      <c r="D447">
        <v>0.78800000000000003</v>
      </c>
      <c r="E447">
        <v>58.765343332145001</v>
      </c>
      <c r="G447">
        <v>82.7</v>
      </c>
      <c r="H447">
        <v>52.9</v>
      </c>
      <c r="I447">
        <v>57.8</v>
      </c>
      <c r="J447">
        <v>6.89</v>
      </c>
      <c r="K447" s="2">
        <v>6.25</v>
      </c>
      <c r="L447">
        <v>5.2589285714285712</v>
      </c>
      <c r="M447">
        <f t="shared" si="14"/>
        <v>0.99107142857142883</v>
      </c>
      <c r="N447">
        <v>6.0824999999999996</v>
      </c>
      <c r="O447">
        <v>4.8489473684210536</v>
      </c>
      <c r="P447">
        <f t="shared" si="15"/>
        <v>1.233552631578946</v>
      </c>
      <c r="Q447">
        <v>5.8092499999999996</v>
      </c>
      <c r="R447">
        <v>4.722631578947369</v>
      </c>
      <c r="S447">
        <f t="shared" si="13"/>
        <v>1.0866184210526306</v>
      </c>
      <c r="T447">
        <v>11.155263157894737</v>
      </c>
      <c r="U447">
        <v>54.582429502419288</v>
      </c>
      <c r="V447">
        <v>37.195464294761535</v>
      </c>
      <c r="W447">
        <v>96.169357299804688</v>
      </c>
      <c r="X447">
        <v>98.155738830566406</v>
      </c>
      <c r="Y447">
        <v>90.955673217773438</v>
      </c>
      <c r="Z447">
        <v>8.5808582603931427E-2</v>
      </c>
    </row>
    <row r="448" spans="1:26" x14ac:dyDescent="0.2">
      <c r="A448" s="1">
        <v>39142</v>
      </c>
      <c r="B448" s="1">
        <v>39172</v>
      </c>
      <c r="C448">
        <v>65.900000000000006</v>
      </c>
      <c r="D448">
        <v>0.80700000000000005</v>
      </c>
      <c r="E448">
        <v>59.3988205665921</v>
      </c>
      <c r="G448">
        <v>88.6</v>
      </c>
      <c r="H448">
        <v>55.4</v>
      </c>
      <c r="I448">
        <v>62.1</v>
      </c>
      <c r="J448">
        <v>6.86</v>
      </c>
      <c r="K448" s="2">
        <v>6.25</v>
      </c>
      <c r="L448">
        <v>5.256774193548388</v>
      </c>
      <c r="M448">
        <f t="shared" si="14"/>
        <v>0.99322580645161196</v>
      </c>
      <c r="N448">
        <v>6.1154545454545453</v>
      </c>
      <c r="O448">
        <v>4.5736363636363624</v>
      </c>
      <c r="P448">
        <f t="shared" si="15"/>
        <v>1.5418181818181829</v>
      </c>
      <c r="Q448">
        <v>5.7368181818181814</v>
      </c>
      <c r="R448">
        <v>4.5645454545454545</v>
      </c>
      <c r="S448">
        <f t="shared" si="13"/>
        <v>1.1722727272727269</v>
      </c>
      <c r="T448">
        <v>15.162727272727277</v>
      </c>
      <c r="U448">
        <v>64.159669890455561</v>
      </c>
      <c r="V448">
        <v>28.17454107079125</v>
      </c>
      <c r="W448">
        <v>87.336502075195312</v>
      </c>
      <c r="X448">
        <v>86.152122497558594</v>
      </c>
      <c r="Y448">
        <v>83.918601989746094</v>
      </c>
      <c r="Z448">
        <v>6.9392241537570953E-2</v>
      </c>
    </row>
    <row r="449" spans="1:26" x14ac:dyDescent="0.2">
      <c r="A449" s="1">
        <v>39173</v>
      </c>
      <c r="B449" s="1">
        <v>39202</v>
      </c>
      <c r="C449">
        <v>67</v>
      </c>
      <c r="D449">
        <v>0.82679999999999998</v>
      </c>
      <c r="E449">
        <v>60.874333646025903</v>
      </c>
      <c r="G449">
        <v>91.3</v>
      </c>
      <c r="H449">
        <v>56.1</v>
      </c>
      <c r="I449">
        <v>67.400000000000006</v>
      </c>
      <c r="J449">
        <v>7.09</v>
      </c>
      <c r="K449" s="2">
        <v>6.25</v>
      </c>
      <c r="L449">
        <v>5.249666666666668</v>
      </c>
      <c r="M449">
        <f t="shared" si="14"/>
        <v>1.000333333333332</v>
      </c>
      <c r="N449">
        <v>6.2502777777777787</v>
      </c>
      <c r="O449">
        <v>4.6661904761904758</v>
      </c>
      <c r="P449">
        <f t="shared" si="15"/>
        <v>1.5840873015873029</v>
      </c>
      <c r="Q449">
        <v>5.9097222222222223</v>
      </c>
      <c r="R449">
        <v>4.6938095238095228</v>
      </c>
      <c r="S449">
        <f t="shared" si="13"/>
        <v>1.2159126984126996</v>
      </c>
      <c r="T449">
        <v>12.932999999999998</v>
      </c>
      <c r="U449">
        <v>59.592239811405612</v>
      </c>
      <c r="V449">
        <v>28.872947877575793</v>
      </c>
      <c r="W449">
        <v>76.613380432128906</v>
      </c>
      <c r="X449">
        <v>69.225517272949219</v>
      </c>
      <c r="Y449">
        <v>83.419281005859375</v>
      </c>
      <c r="Z449">
        <v>6.7303374409675598E-2</v>
      </c>
    </row>
    <row r="450" spans="1:26" x14ac:dyDescent="0.2">
      <c r="A450" s="1">
        <v>39203</v>
      </c>
      <c r="B450" s="1">
        <v>39233</v>
      </c>
      <c r="C450">
        <v>67</v>
      </c>
      <c r="D450">
        <v>0.82440000000000002</v>
      </c>
      <c r="E450">
        <v>61.304094387530398</v>
      </c>
      <c r="G450">
        <v>102</v>
      </c>
      <c r="H450">
        <v>56</v>
      </c>
      <c r="I450">
        <v>67.5</v>
      </c>
      <c r="J450">
        <v>7.22</v>
      </c>
      <c r="K450" s="2">
        <v>6.25</v>
      </c>
      <c r="L450">
        <v>5.2535483870967727</v>
      </c>
      <c r="M450">
        <f t="shared" si="14"/>
        <v>0.99645161290322726</v>
      </c>
      <c r="N450">
        <v>6.1895652173913049</v>
      </c>
      <c r="O450">
        <v>4.7663636363636366</v>
      </c>
      <c r="P450">
        <f t="shared" si="15"/>
        <v>1.4232015810276684</v>
      </c>
      <c r="Q450">
        <v>5.9208695652173899</v>
      </c>
      <c r="R450">
        <v>4.7463636363636361</v>
      </c>
      <c r="S450">
        <f t="shared" si="13"/>
        <v>1.1745059288537538</v>
      </c>
      <c r="T450">
        <v>13.297727272727274</v>
      </c>
      <c r="U450">
        <v>58.226611032657907</v>
      </c>
      <c r="V450">
        <v>37.895416256503175</v>
      </c>
      <c r="W450">
        <v>92.599586486816406</v>
      </c>
      <c r="X450">
        <v>82.303230285644531</v>
      </c>
      <c r="Y450">
        <v>103.89258575439453</v>
      </c>
      <c r="Z450">
        <v>5.1914341747760773E-2</v>
      </c>
    </row>
    <row r="451" spans="1:26" x14ac:dyDescent="0.2">
      <c r="A451" s="1">
        <v>39234</v>
      </c>
      <c r="B451" s="1">
        <v>39263</v>
      </c>
      <c r="C451">
        <v>68.900000000000006</v>
      </c>
      <c r="D451">
        <v>0.84870000000000001</v>
      </c>
      <c r="E451">
        <v>60.7407327326911</v>
      </c>
      <c r="G451">
        <v>103.2</v>
      </c>
      <c r="H451">
        <v>61.6</v>
      </c>
      <c r="I451">
        <v>71.3</v>
      </c>
      <c r="J451">
        <v>7.11</v>
      </c>
      <c r="K451" s="2">
        <v>6.25</v>
      </c>
      <c r="L451">
        <v>5.2539999999999996</v>
      </c>
      <c r="M451">
        <f t="shared" si="14"/>
        <v>0.99600000000000044</v>
      </c>
      <c r="N451">
        <v>6.4047500000000017</v>
      </c>
      <c r="O451">
        <v>4.9804761904761907</v>
      </c>
      <c r="P451">
        <f t="shared" si="15"/>
        <v>1.424273809523811</v>
      </c>
      <c r="Q451">
        <v>6.2047499999999998</v>
      </c>
      <c r="R451">
        <v>5.1028571428571423</v>
      </c>
      <c r="S451">
        <f t="shared" ref="S451:S514" si="16">Q451-R451</f>
        <v>1.1018928571428575</v>
      </c>
      <c r="T451">
        <v>14.94761904761905</v>
      </c>
      <c r="U451">
        <v>57.647324613227909</v>
      </c>
      <c r="V451">
        <v>32.20551919817413</v>
      </c>
      <c r="W451">
        <v>97.972312927246094</v>
      </c>
      <c r="X451">
        <v>87.080596923828125</v>
      </c>
      <c r="Y451">
        <v>109.30941009521484</v>
      </c>
      <c r="Z451">
        <v>6.9739431142807007E-2</v>
      </c>
    </row>
    <row r="452" spans="1:26" x14ac:dyDescent="0.2">
      <c r="A452" s="1">
        <v>39264</v>
      </c>
      <c r="B452" s="1">
        <v>39294</v>
      </c>
      <c r="C452">
        <v>68.8</v>
      </c>
      <c r="D452">
        <v>0.85719999999999996</v>
      </c>
      <c r="E452">
        <v>60.690419944784502</v>
      </c>
      <c r="G452">
        <v>106.1</v>
      </c>
      <c r="H452">
        <v>67.3</v>
      </c>
      <c r="I452">
        <v>77.2</v>
      </c>
      <c r="J452">
        <v>7.26</v>
      </c>
      <c r="K452" s="2">
        <v>6.25</v>
      </c>
      <c r="L452">
        <v>5.258387096774193</v>
      </c>
      <c r="M452">
        <f t="shared" si="14"/>
        <v>0.99161290322580697</v>
      </c>
      <c r="N452">
        <v>6.3815909090909084</v>
      </c>
      <c r="O452">
        <v>4.8190476190476188</v>
      </c>
      <c r="P452">
        <f t="shared" si="15"/>
        <v>1.5625432900432896</v>
      </c>
      <c r="Q452">
        <v>6.1497727272727269</v>
      </c>
      <c r="R452">
        <v>5.0042857142857144</v>
      </c>
      <c r="S452">
        <f t="shared" si="16"/>
        <v>1.1454870129870125</v>
      </c>
      <c r="T452">
        <v>17.273333333333333</v>
      </c>
      <c r="U452">
        <v>47.589424700647321</v>
      </c>
      <c r="V452">
        <v>27.209061467930962</v>
      </c>
      <c r="W452">
        <v>112.34625244140625</v>
      </c>
      <c r="X452">
        <v>103.26340484619141</v>
      </c>
      <c r="Y452">
        <v>127.13468170166016</v>
      </c>
      <c r="Z452">
        <v>0.15537500381469727</v>
      </c>
    </row>
    <row r="453" spans="1:26" x14ac:dyDescent="0.2">
      <c r="A453" s="1">
        <v>39295</v>
      </c>
      <c r="B453" s="1">
        <v>39325</v>
      </c>
      <c r="C453">
        <v>66.2</v>
      </c>
      <c r="D453">
        <v>0.82140000000000002</v>
      </c>
      <c r="E453">
        <v>59.797429816979502</v>
      </c>
      <c r="G453">
        <v>121.9</v>
      </c>
      <c r="H453">
        <v>69.400000000000006</v>
      </c>
      <c r="I453">
        <v>70.8</v>
      </c>
      <c r="J453">
        <v>7.7</v>
      </c>
      <c r="K453" s="2">
        <v>6.45</v>
      </c>
      <c r="L453">
        <v>5.0222580645161292</v>
      </c>
      <c r="M453">
        <f t="shared" si="14"/>
        <v>1.427741935483871</v>
      </c>
      <c r="N453">
        <v>6.2915909090909086</v>
      </c>
      <c r="O453">
        <v>4.3130434782608695</v>
      </c>
      <c r="P453">
        <f t="shared" si="15"/>
        <v>1.978547430830039</v>
      </c>
      <c r="Q453">
        <v>5.9259090909090899</v>
      </c>
      <c r="R453">
        <v>4.6747826086956525</v>
      </c>
      <c r="S453">
        <f t="shared" si="16"/>
        <v>1.2511264822134374</v>
      </c>
      <c r="T453">
        <v>25.026086956521734</v>
      </c>
      <c r="U453">
        <v>78.558688782379932</v>
      </c>
      <c r="V453">
        <v>80.253466906316859</v>
      </c>
      <c r="W453">
        <v>83.173202514648438</v>
      </c>
      <c r="X453">
        <v>73.125740051269531</v>
      </c>
      <c r="Y453">
        <v>100.14825439453125</v>
      </c>
      <c r="Z453">
        <v>7.6173551380634308E-2</v>
      </c>
    </row>
    <row r="454" spans="1:26" x14ac:dyDescent="0.2">
      <c r="A454" s="1">
        <v>39326</v>
      </c>
      <c r="B454" s="1">
        <v>39355</v>
      </c>
      <c r="C454">
        <v>70</v>
      </c>
      <c r="D454">
        <v>0.88270000000000004</v>
      </c>
      <c r="E454">
        <v>61.9100855957807</v>
      </c>
      <c r="G454">
        <v>148.69999999999999</v>
      </c>
      <c r="H454">
        <v>68.400000000000006</v>
      </c>
      <c r="I454">
        <v>77.099999999999994</v>
      </c>
      <c r="J454">
        <v>8.09</v>
      </c>
      <c r="K454" s="2">
        <v>6.5</v>
      </c>
      <c r="L454">
        <v>4.9380000000000015</v>
      </c>
      <c r="M454">
        <f t="shared" si="14"/>
        <v>1.5619999999999985</v>
      </c>
      <c r="N454">
        <v>6.3244736842105276</v>
      </c>
      <c r="O454">
        <v>4.0115789473684211</v>
      </c>
      <c r="P454">
        <f t="shared" si="15"/>
        <v>2.3128947368421064</v>
      </c>
      <c r="Q454">
        <v>5.9921052631578942</v>
      </c>
      <c r="R454">
        <v>4.52157894736842</v>
      </c>
      <c r="S454">
        <f t="shared" si="16"/>
        <v>1.4705263157894741</v>
      </c>
      <c r="T454">
        <v>22.198947368421056</v>
      </c>
      <c r="U454">
        <v>99.073311378817067</v>
      </c>
      <c r="V454">
        <v>75.563835720434568</v>
      </c>
      <c r="W454">
        <v>94.488868713378906</v>
      </c>
      <c r="X454">
        <v>94.939979553222656</v>
      </c>
      <c r="Y454">
        <v>92.248725891113281</v>
      </c>
      <c r="Z454">
        <v>9.6971973776817322E-2</v>
      </c>
    </row>
    <row r="455" spans="1:26" x14ac:dyDescent="0.2">
      <c r="A455" s="1">
        <v>39356</v>
      </c>
      <c r="B455" s="1">
        <v>39386</v>
      </c>
      <c r="C455">
        <v>72.2</v>
      </c>
      <c r="D455">
        <v>0.92159999999999997</v>
      </c>
      <c r="E455">
        <v>63.443361692726</v>
      </c>
      <c r="G455">
        <v>168.1</v>
      </c>
      <c r="H455">
        <v>74.8</v>
      </c>
      <c r="I455">
        <v>82.9</v>
      </c>
      <c r="J455">
        <v>8.5500000000000007</v>
      </c>
      <c r="K455" s="2">
        <v>6.5</v>
      </c>
      <c r="L455">
        <v>4.7554838709677405</v>
      </c>
      <c r="M455">
        <f t="shared" si="14"/>
        <v>1.7445161290322595</v>
      </c>
      <c r="N455">
        <v>6.577826086956521</v>
      </c>
      <c r="O455">
        <v>3.9677272727272719</v>
      </c>
      <c r="P455">
        <f t="shared" si="15"/>
        <v>2.6100988142292492</v>
      </c>
      <c r="Q455">
        <v>6.1743478260869562</v>
      </c>
      <c r="R455">
        <v>4.5277272727272724</v>
      </c>
      <c r="S455">
        <f t="shared" si="16"/>
        <v>1.6466205533596838</v>
      </c>
      <c r="T455">
        <v>19.115652173913048</v>
      </c>
      <c r="U455">
        <v>79.15325531511435</v>
      </c>
      <c r="V455">
        <v>81.739144598703589</v>
      </c>
      <c r="W455">
        <v>101.47301483154297</v>
      </c>
      <c r="X455">
        <v>103.61026763916016</v>
      </c>
      <c r="Y455">
        <v>97.495162963867188</v>
      </c>
      <c r="Z455">
        <v>0.10583826899528503</v>
      </c>
    </row>
    <row r="456" spans="1:26" x14ac:dyDescent="0.2">
      <c r="A456" s="1">
        <v>39387</v>
      </c>
      <c r="B456" s="1">
        <v>39416</v>
      </c>
      <c r="C456">
        <v>68.900000000000006</v>
      </c>
      <c r="D456">
        <v>0.88649999999999995</v>
      </c>
      <c r="E456">
        <v>63.438325982240897</v>
      </c>
      <c r="G456">
        <v>195.1</v>
      </c>
      <c r="H456">
        <v>84.6</v>
      </c>
      <c r="I456">
        <v>92.5</v>
      </c>
      <c r="J456">
        <v>9.14</v>
      </c>
      <c r="K456" s="2">
        <v>6.7</v>
      </c>
      <c r="L456">
        <v>4.4866666666666681</v>
      </c>
      <c r="M456">
        <f t="shared" si="14"/>
        <v>2.213333333333332</v>
      </c>
      <c r="N456">
        <v>6.665454545454546</v>
      </c>
      <c r="O456">
        <v>3.3365</v>
      </c>
      <c r="P456">
        <f t="shared" si="15"/>
        <v>3.3289545454545459</v>
      </c>
      <c r="Q456">
        <v>6.0254545454545454</v>
      </c>
      <c r="R456">
        <v>4.1485000000000003</v>
      </c>
      <c r="S456">
        <f t="shared" si="16"/>
        <v>1.8769545454545451</v>
      </c>
      <c r="T456">
        <v>25.582380952380952</v>
      </c>
      <c r="U456">
        <v>82.60869399599315</v>
      </c>
      <c r="V456">
        <v>87.971263832743929</v>
      </c>
      <c r="W456">
        <v>89.795448303222656</v>
      </c>
      <c r="X456">
        <v>95.738479614257812</v>
      </c>
      <c r="Y456">
        <v>81.568428039550781</v>
      </c>
      <c r="Z456">
        <v>7.1901492774486542E-2</v>
      </c>
    </row>
    <row r="457" spans="1:26" x14ac:dyDescent="0.2">
      <c r="A457" s="1">
        <v>39417</v>
      </c>
      <c r="B457" s="1">
        <v>39447</v>
      </c>
      <c r="C457">
        <v>68.7</v>
      </c>
      <c r="D457">
        <v>0.88160000000000005</v>
      </c>
      <c r="E457">
        <v>63.7770322787323</v>
      </c>
      <c r="G457">
        <v>190.1</v>
      </c>
      <c r="H457">
        <v>91</v>
      </c>
      <c r="I457">
        <v>91.5</v>
      </c>
      <c r="J457">
        <v>9.18</v>
      </c>
      <c r="K457" s="2">
        <v>6.75</v>
      </c>
      <c r="L457">
        <v>4.2445161290322595</v>
      </c>
      <c r="M457">
        <f t="shared" si="14"/>
        <v>2.5054838709677405</v>
      </c>
      <c r="N457">
        <v>6.718684210526316</v>
      </c>
      <c r="O457">
        <v>3.117</v>
      </c>
      <c r="P457">
        <f t="shared" si="15"/>
        <v>3.601684210526316</v>
      </c>
      <c r="Q457">
        <v>6.2076315789473684</v>
      </c>
      <c r="R457">
        <v>4.0975000000000001</v>
      </c>
      <c r="S457">
        <f t="shared" si="16"/>
        <v>2.1101315789473682</v>
      </c>
      <c r="T457">
        <v>21.651000000000003</v>
      </c>
      <c r="U457">
        <v>96.430521899102757</v>
      </c>
      <c r="V457">
        <v>97.611898491451399</v>
      </c>
      <c r="W457">
        <v>94.967491149902344</v>
      </c>
      <c r="X457">
        <v>98.5313720703125</v>
      </c>
      <c r="Y457">
        <v>84.130767822265625</v>
      </c>
      <c r="Z457">
        <v>7.4532553553581238E-2</v>
      </c>
    </row>
    <row r="458" spans="1:26" x14ac:dyDescent="0.2">
      <c r="A458" s="1">
        <v>39448</v>
      </c>
      <c r="B458" s="1">
        <v>39478</v>
      </c>
      <c r="C458">
        <v>68.3</v>
      </c>
      <c r="D458">
        <v>0.88839999999999997</v>
      </c>
      <c r="E458">
        <v>65.151956955380598</v>
      </c>
      <c r="G458">
        <v>193.4</v>
      </c>
      <c r="H458">
        <v>91.8</v>
      </c>
      <c r="I458">
        <v>91.9</v>
      </c>
      <c r="J458">
        <v>9.94</v>
      </c>
      <c r="K458" s="2">
        <v>6.75</v>
      </c>
      <c r="L458">
        <v>3.9403225806451618</v>
      </c>
      <c r="M458">
        <f t="shared" si="14"/>
        <v>2.8096774193548382</v>
      </c>
      <c r="N458">
        <v>6.6064285714285722</v>
      </c>
      <c r="O458">
        <v>2.4757142857142855</v>
      </c>
      <c r="P458">
        <f t="shared" si="15"/>
        <v>4.1307142857142871</v>
      </c>
      <c r="Q458">
        <v>6.076428571428572</v>
      </c>
      <c r="R458">
        <v>3.7442857142857147</v>
      </c>
      <c r="S458">
        <f t="shared" si="16"/>
        <v>2.3321428571428573</v>
      </c>
      <c r="T458">
        <v>25.816190476190474</v>
      </c>
      <c r="U458">
        <v>134.4433152016442</v>
      </c>
      <c r="V458">
        <v>141.8565548685321</v>
      </c>
      <c r="W458">
        <v>81.499824523925781</v>
      </c>
      <c r="X458">
        <v>76.402374267578125</v>
      </c>
      <c r="Y458">
        <v>83.747642517089844</v>
      </c>
      <c r="Z458">
        <v>4.0482047945261002E-2</v>
      </c>
    </row>
    <row r="459" spans="1:26" x14ac:dyDescent="0.2">
      <c r="A459" s="1">
        <v>39479</v>
      </c>
      <c r="B459" s="1">
        <v>39507</v>
      </c>
      <c r="C459">
        <v>71.8</v>
      </c>
      <c r="D459">
        <v>0.9466</v>
      </c>
      <c r="E459">
        <v>68.568644278834199</v>
      </c>
      <c r="G459">
        <v>186.1</v>
      </c>
      <c r="H459">
        <v>132</v>
      </c>
      <c r="I459">
        <v>94.8</v>
      </c>
      <c r="J459">
        <v>10.46</v>
      </c>
      <c r="K459" s="2">
        <v>6.96</v>
      </c>
      <c r="L459">
        <v>2.980689655172414</v>
      </c>
      <c r="M459">
        <f t="shared" ref="M459:M522" si="17">K459-L459</f>
        <v>3.9793103448275859</v>
      </c>
      <c r="N459">
        <v>6.8216666666666681</v>
      </c>
      <c r="O459">
        <v>1.9729999999999996</v>
      </c>
      <c r="P459">
        <f t="shared" si="15"/>
        <v>4.8486666666666682</v>
      </c>
      <c r="Q459">
        <v>6.2945238095238079</v>
      </c>
      <c r="R459">
        <v>3.7374999999999998</v>
      </c>
      <c r="S459">
        <f t="shared" si="16"/>
        <v>2.557023809523808</v>
      </c>
      <c r="T459">
        <v>25.455999999999996</v>
      </c>
      <c r="U459">
        <v>98.044093151404169</v>
      </c>
      <c r="V459">
        <v>118.64846491416246</v>
      </c>
      <c r="W459">
        <v>80.75146484375</v>
      </c>
      <c r="X459">
        <v>72.528511047363281</v>
      </c>
      <c r="Y459">
        <v>86.752792358398438</v>
      </c>
      <c r="Z459">
        <v>9.2177614569664001E-2</v>
      </c>
    </row>
    <row r="460" spans="1:26" x14ac:dyDescent="0.2">
      <c r="A460" s="1">
        <v>39508</v>
      </c>
      <c r="B460" s="1">
        <v>39538</v>
      </c>
      <c r="C460">
        <v>68.900000000000006</v>
      </c>
      <c r="D460">
        <v>0.91800000000000004</v>
      </c>
      <c r="E460">
        <v>70.508262097700296</v>
      </c>
      <c r="G460">
        <v>197.1</v>
      </c>
      <c r="H460">
        <v>118.3</v>
      </c>
      <c r="I460">
        <v>103.3</v>
      </c>
      <c r="J460">
        <v>10.96</v>
      </c>
      <c r="K460" s="2">
        <v>7.22</v>
      </c>
      <c r="L460">
        <v>2.6103225806451613</v>
      </c>
      <c r="M460">
        <f t="shared" si="17"/>
        <v>4.6096774193548384</v>
      </c>
      <c r="N460">
        <v>6.3026315789473708</v>
      </c>
      <c r="O460">
        <v>1.6169999999999998</v>
      </c>
      <c r="P460">
        <f t="shared" si="15"/>
        <v>4.6856315789473708</v>
      </c>
      <c r="Q460">
        <v>6.0855263157894726</v>
      </c>
      <c r="R460">
        <v>3.5100000000000002</v>
      </c>
      <c r="S460">
        <f t="shared" si="16"/>
        <v>2.5755263157894723</v>
      </c>
      <c r="T460">
        <v>27.103500000000004</v>
      </c>
      <c r="U460">
        <v>117.88400714049109</v>
      </c>
      <c r="V460">
        <v>115.1673369495968</v>
      </c>
      <c r="W460">
        <v>77.636138916015625</v>
      </c>
      <c r="X460">
        <v>72.029678344726562</v>
      </c>
      <c r="Y460">
        <v>83.484390258789062</v>
      </c>
      <c r="Z460">
        <v>5.2641358226537704E-2</v>
      </c>
    </row>
    <row r="461" spans="1:26" x14ac:dyDescent="0.2">
      <c r="A461" s="1">
        <v>39539</v>
      </c>
      <c r="B461" s="1">
        <v>39568</v>
      </c>
      <c r="C461">
        <v>70.7</v>
      </c>
      <c r="D461">
        <v>0.93369999999999997</v>
      </c>
      <c r="E461">
        <v>75.728408923017398</v>
      </c>
      <c r="G461">
        <v>196</v>
      </c>
      <c r="H461">
        <v>123</v>
      </c>
      <c r="I461">
        <v>110.2</v>
      </c>
      <c r="J461">
        <v>11.42</v>
      </c>
      <c r="K461" s="2">
        <v>7.25</v>
      </c>
      <c r="L461">
        <v>2.2783333333333338</v>
      </c>
      <c r="M461">
        <f t="shared" si="17"/>
        <v>4.9716666666666658</v>
      </c>
      <c r="N461">
        <v>6.331666666666667</v>
      </c>
      <c r="O461">
        <v>2.0472727272727269</v>
      </c>
      <c r="P461">
        <f t="shared" si="15"/>
        <v>4.2843939393939401</v>
      </c>
      <c r="Q461">
        <v>6.1704761904761893</v>
      </c>
      <c r="R461">
        <v>3.6749999999999998</v>
      </c>
      <c r="S461">
        <f t="shared" si="16"/>
        <v>2.4954761904761895</v>
      </c>
      <c r="T461">
        <v>21.562727272727273</v>
      </c>
      <c r="U461">
        <v>91.181046585446211</v>
      </c>
      <c r="V461">
        <v>88.425743557535355</v>
      </c>
      <c r="W461">
        <v>71.904808044433594</v>
      </c>
      <c r="X461">
        <v>69.457969665527344</v>
      </c>
      <c r="Y461">
        <v>69.992744445800781</v>
      </c>
      <c r="Z461">
        <v>2.5335697457194328E-2</v>
      </c>
    </row>
    <row r="462" spans="1:26" x14ac:dyDescent="0.2">
      <c r="A462" s="1">
        <v>39569</v>
      </c>
      <c r="B462" s="1">
        <v>39599</v>
      </c>
      <c r="C462">
        <v>72.8</v>
      </c>
      <c r="D462">
        <v>0.95589999999999997</v>
      </c>
      <c r="E462">
        <v>80.607505200686603</v>
      </c>
      <c r="G462">
        <v>193</v>
      </c>
      <c r="H462">
        <v>133.19999999999999</v>
      </c>
      <c r="I462">
        <v>123.9</v>
      </c>
      <c r="J462">
        <v>11.63</v>
      </c>
      <c r="K462" s="2">
        <v>7.25</v>
      </c>
      <c r="L462">
        <v>1.9783870967741932</v>
      </c>
      <c r="M462">
        <f t="shared" si="17"/>
        <v>5.2716129032258063</v>
      </c>
      <c r="N462">
        <v>6.5997727272727271</v>
      </c>
      <c r="O462">
        <v>2.4457142857142857</v>
      </c>
      <c r="P462">
        <f t="shared" si="15"/>
        <v>4.1540584415584414</v>
      </c>
      <c r="Q462">
        <v>6.3550000000000004</v>
      </c>
      <c r="R462">
        <v>3.8800000000000008</v>
      </c>
      <c r="S462">
        <f t="shared" si="16"/>
        <v>2.4749999999999996</v>
      </c>
      <c r="T462">
        <v>18.303333333333331</v>
      </c>
      <c r="U462">
        <v>77.879280867378014</v>
      </c>
      <c r="V462">
        <v>140.97519105006785</v>
      </c>
      <c r="W462">
        <v>72.573799133300781</v>
      </c>
      <c r="X462">
        <v>70.677749633789062</v>
      </c>
      <c r="Y462">
        <v>74.789787292480469</v>
      </c>
      <c r="Z462">
        <v>6.71653151512146E-2</v>
      </c>
    </row>
    <row r="463" spans="1:26" x14ac:dyDescent="0.2">
      <c r="A463" s="1">
        <v>39600</v>
      </c>
      <c r="B463" s="1">
        <v>39629</v>
      </c>
      <c r="C463">
        <v>73.400000000000006</v>
      </c>
      <c r="D463">
        <v>0.96260000000000001</v>
      </c>
      <c r="E463">
        <v>85.896717490951005</v>
      </c>
      <c r="G463">
        <v>183.9</v>
      </c>
      <c r="H463">
        <v>159.80000000000001</v>
      </c>
      <c r="I463">
        <v>133</v>
      </c>
      <c r="J463">
        <v>12.07</v>
      </c>
      <c r="K463" s="2">
        <v>7.25</v>
      </c>
      <c r="L463">
        <v>2.0009999999999999</v>
      </c>
      <c r="M463">
        <f t="shared" si="17"/>
        <v>5.2490000000000006</v>
      </c>
      <c r="N463">
        <v>6.96875</v>
      </c>
      <c r="O463">
        <v>2.7738095238095237</v>
      </c>
      <c r="P463">
        <f t="shared" si="15"/>
        <v>4.1949404761904763</v>
      </c>
      <c r="Q463">
        <v>6.5867499999999994</v>
      </c>
      <c r="R463">
        <v>4.0995238095238085</v>
      </c>
      <c r="S463">
        <f t="shared" si="16"/>
        <v>2.487226190476191</v>
      </c>
      <c r="T463">
        <v>22.110476190476192</v>
      </c>
      <c r="U463">
        <v>87.159873619124866</v>
      </c>
      <c r="V463">
        <v>102.86253222106888</v>
      </c>
      <c r="W463">
        <v>87.548423767089844</v>
      </c>
      <c r="X463">
        <v>88.886062622070312</v>
      </c>
      <c r="Y463">
        <v>80.344902038574219</v>
      </c>
      <c r="Z463">
        <v>7.828810065984726E-2</v>
      </c>
    </row>
    <row r="464" spans="1:26" x14ac:dyDescent="0.2">
      <c r="A464" s="1">
        <v>39630</v>
      </c>
      <c r="B464" s="1">
        <v>39660</v>
      </c>
      <c r="C464">
        <v>72.2</v>
      </c>
      <c r="D464">
        <v>0.94340000000000002</v>
      </c>
      <c r="E464">
        <v>89.697092297612997</v>
      </c>
      <c r="G464">
        <v>180.5</v>
      </c>
      <c r="H464">
        <v>180</v>
      </c>
      <c r="I464">
        <v>133.9</v>
      </c>
      <c r="J464">
        <v>12.35</v>
      </c>
      <c r="K464" s="2">
        <v>7.25</v>
      </c>
      <c r="L464">
        <v>2.0096774193548388</v>
      </c>
      <c r="M464">
        <f t="shared" si="17"/>
        <v>5.2403225806451612</v>
      </c>
      <c r="N464">
        <v>6.6395652173913033</v>
      </c>
      <c r="O464">
        <v>2.5731818181818182</v>
      </c>
      <c r="P464">
        <f t="shared" si="15"/>
        <v>4.0663833992094851</v>
      </c>
      <c r="Q464">
        <v>6.3665217391304365</v>
      </c>
      <c r="R464">
        <v>4.0077272727272728</v>
      </c>
      <c r="S464">
        <f t="shared" si="16"/>
        <v>2.3587944664031637</v>
      </c>
      <c r="T464">
        <v>24.321818181818188</v>
      </c>
      <c r="U464">
        <v>95.808732005003122</v>
      </c>
      <c r="V464">
        <v>113.39269802961465</v>
      </c>
      <c r="W464">
        <v>89.739570617675781</v>
      </c>
      <c r="X464">
        <v>84.322486877441406</v>
      </c>
      <c r="Y464">
        <v>88.160682678222656</v>
      </c>
      <c r="Z464">
        <v>6.9354996085166931E-2</v>
      </c>
    </row>
    <row r="465" spans="1:26" x14ac:dyDescent="0.2">
      <c r="A465" s="1">
        <v>39661</v>
      </c>
      <c r="B465" s="1">
        <v>39691</v>
      </c>
      <c r="C465">
        <v>67.7</v>
      </c>
      <c r="D465">
        <v>0.8639</v>
      </c>
      <c r="E465">
        <v>90.963455875028103</v>
      </c>
      <c r="G465">
        <v>178.7</v>
      </c>
      <c r="H465">
        <v>158.4</v>
      </c>
      <c r="I465">
        <v>113.8</v>
      </c>
      <c r="J465">
        <v>13.25</v>
      </c>
      <c r="K465" s="2">
        <v>7.25</v>
      </c>
      <c r="L465">
        <v>1.996451612903225</v>
      </c>
      <c r="M465">
        <f t="shared" si="17"/>
        <v>5.2535483870967745</v>
      </c>
      <c r="N465">
        <v>5.82775</v>
      </c>
      <c r="O465">
        <v>2.4204761904761902</v>
      </c>
      <c r="P465">
        <f t="shared" si="15"/>
        <v>3.4072738095238098</v>
      </c>
      <c r="Q465">
        <v>5.8624999999999998</v>
      </c>
      <c r="R465">
        <v>3.8857142857142861</v>
      </c>
      <c r="S465">
        <f t="shared" si="16"/>
        <v>1.9767857142857137</v>
      </c>
      <c r="T465">
        <v>20.695714285714288</v>
      </c>
      <c r="U465">
        <v>89.798366034820404</v>
      </c>
      <c r="V465">
        <v>134.68154803933007</v>
      </c>
      <c r="W465">
        <v>88.554107666015625</v>
      </c>
      <c r="X465">
        <v>75.76971435546875</v>
      </c>
      <c r="Y465">
        <v>105.06571197509766</v>
      </c>
      <c r="Z465">
        <v>3.3367812633514404E-2</v>
      </c>
    </row>
    <row r="466" spans="1:26" x14ac:dyDescent="0.2">
      <c r="A466" s="1">
        <v>39692</v>
      </c>
      <c r="B466" s="1">
        <v>39721</v>
      </c>
      <c r="C466">
        <v>63.4</v>
      </c>
      <c r="D466">
        <v>0.79959999999999998</v>
      </c>
      <c r="E466">
        <v>92.835353478492294</v>
      </c>
      <c r="G466">
        <v>139.6</v>
      </c>
      <c r="H466">
        <v>150</v>
      </c>
      <c r="I466">
        <v>99.1</v>
      </c>
      <c r="J466">
        <v>14.39</v>
      </c>
      <c r="K466" s="2">
        <v>7.02</v>
      </c>
      <c r="L466">
        <v>1.8116666666666661</v>
      </c>
      <c r="M466">
        <f t="shared" si="17"/>
        <v>5.2083333333333339</v>
      </c>
      <c r="N466">
        <v>5.5122727272727277</v>
      </c>
      <c r="O466">
        <v>2.0761904761904768</v>
      </c>
      <c r="P466">
        <f t="shared" si="15"/>
        <v>3.4360822510822508</v>
      </c>
      <c r="Q466">
        <v>5.6459090909090897</v>
      </c>
      <c r="R466">
        <v>3.6861904761904754</v>
      </c>
      <c r="S466">
        <f t="shared" si="16"/>
        <v>1.9597186147186143</v>
      </c>
      <c r="T466">
        <v>30.238571428571429</v>
      </c>
      <c r="U466">
        <v>162.0022136329375</v>
      </c>
      <c r="V466">
        <v>206.11801086498437</v>
      </c>
      <c r="W466">
        <v>88.542556762695312</v>
      </c>
      <c r="X466">
        <v>82.014266967773438</v>
      </c>
      <c r="Y466">
        <v>94.461006164550781</v>
      </c>
      <c r="Z466">
        <v>7.81097412109375E-2</v>
      </c>
    </row>
    <row r="467" spans="1:26" x14ac:dyDescent="0.2">
      <c r="A467" s="1">
        <v>39722</v>
      </c>
      <c r="B467" s="1">
        <v>39752</v>
      </c>
      <c r="C467">
        <v>54.7</v>
      </c>
      <c r="D467">
        <v>0.66800000000000004</v>
      </c>
      <c r="E467">
        <v>89.7280796454518</v>
      </c>
      <c r="G467">
        <v>88.7</v>
      </c>
      <c r="H467">
        <v>108</v>
      </c>
      <c r="I467">
        <v>72.8</v>
      </c>
      <c r="J467">
        <v>15.01</v>
      </c>
      <c r="K467" s="2">
        <v>6.18</v>
      </c>
      <c r="L467">
        <v>0.96935483870967742</v>
      </c>
      <c r="M467">
        <f t="shared" si="17"/>
        <v>5.210645161290322</v>
      </c>
      <c r="N467">
        <v>4.3506818181818181</v>
      </c>
      <c r="O467">
        <v>1.6122727272727275</v>
      </c>
      <c r="P467">
        <f t="shared" si="15"/>
        <v>2.7384090909090908</v>
      </c>
      <c r="Q467">
        <v>5.2152272727272724</v>
      </c>
      <c r="R467">
        <v>3.8140909090909094</v>
      </c>
      <c r="S467">
        <f t="shared" si="16"/>
        <v>1.401136363636363</v>
      </c>
      <c r="T467">
        <v>61.177391304347836</v>
      </c>
      <c r="U467">
        <v>207.622320238821</v>
      </c>
      <c r="V467">
        <v>290.99181810749542</v>
      </c>
      <c r="W467">
        <v>64.159797668457031</v>
      </c>
      <c r="X467">
        <v>53.117389678955078</v>
      </c>
      <c r="Y467">
        <v>75.282661437988281</v>
      </c>
      <c r="Z467">
        <v>2.4992190301418304E-2</v>
      </c>
    </row>
    <row r="468" spans="1:26" x14ac:dyDescent="0.2">
      <c r="A468" s="1">
        <v>39753</v>
      </c>
      <c r="B468" s="1">
        <v>39782</v>
      </c>
      <c r="C468">
        <v>54.6</v>
      </c>
      <c r="D468">
        <v>0.65720000000000001</v>
      </c>
      <c r="E468">
        <v>84.9408108529515</v>
      </c>
      <c r="G468">
        <v>65</v>
      </c>
      <c r="H468">
        <v>92.3</v>
      </c>
      <c r="I468">
        <v>53.2</v>
      </c>
      <c r="J468">
        <v>15.06</v>
      </c>
      <c r="K468" s="2">
        <v>5.33</v>
      </c>
      <c r="L468">
        <v>0.38766666666666655</v>
      </c>
      <c r="M468">
        <f t="shared" si="17"/>
        <v>4.9423333333333339</v>
      </c>
      <c r="N468">
        <v>3.63625</v>
      </c>
      <c r="O468">
        <v>1.2127777777777777</v>
      </c>
      <c r="P468">
        <f t="shared" si="15"/>
        <v>2.4234722222222222</v>
      </c>
      <c r="Q468">
        <v>4.9407499999999995</v>
      </c>
      <c r="R468">
        <v>3.5266666666666673</v>
      </c>
      <c r="S468">
        <f t="shared" si="16"/>
        <v>1.4140833333333322</v>
      </c>
      <c r="T468">
        <v>62.668947368421051</v>
      </c>
      <c r="U468">
        <v>143.30282905364371</v>
      </c>
      <c r="V468">
        <v>186.36182939543193</v>
      </c>
      <c r="W468">
        <v>79.080970764160156</v>
      </c>
      <c r="X468">
        <v>68.30364990234375</v>
      </c>
      <c r="Y468">
        <v>95.143562316894531</v>
      </c>
      <c r="Z468">
        <v>9.4607383012771606E-2</v>
      </c>
    </row>
    <row r="469" spans="1:26" x14ac:dyDescent="0.2">
      <c r="A469" s="1">
        <v>39783</v>
      </c>
      <c r="B469" s="1">
        <v>39813</v>
      </c>
      <c r="C469">
        <v>55.6</v>
      </c>
      <c r="D469">
        <v>0.69279999999999997</v>
      </c>
      <c r="E469">
        <v>77.656176459349297</v>
      </c>
      <c r="G469">
        <v>70</v>
      </c>
      <c r="H469">
        <v>78.7</v>
      </c>
      <c r="I469">
        <v>41.6</v>
      </c>
      <c r="J469">
        <v>13.78</v>
      </c>
      <c r="K469" s="2">
        <v>4.3499999999999996</v>
      </c>
      <c r="L469">
        <v>0.15516129032258061</v>
      </c>
      <c r="M469">
        <f t="shared" si="17"/>
        <v>4.1948387096774189</v>
      </c>
      <c r="N469">
        <v>3.0709523809523813</v>
      </c>
      <c r="O469">
        <v>0.82090909090909103</v>
      </c>
      <c r="P469">
        <f t="shared" si="15"/>
        <v>2.2500432900432905</v>
      </c>
      <c r="Q469">
        <v>4.2157142857142853</v>
      </c>
      <c r="R469">
        <v>2.4163636363636374</v>
      </c>
      <c r="S469">
        <f t="shared" si="16"/>
        <v>1.7993506493506479</v>
      </c>
      <c r="T469">
        <v>52.405000000000015</v>
      </c>
      <c r="U469">
        <v>144.132208074966</v>
      </c>
      <c r="V469">
        <v>185.85479717107867</v>
      </c>
      <c r="W469">
        <v>92.366432189941406</v>
      </c>
      <c r="X469">
        <v>83.843132019042969</v>
      </c>
      <c r="Y469">
        <v>109.21497344970703</v>
      </c>
      <c r="Z469">
        <v>7.8302696347236633E-2</v>
      </c>
    </row>
    <row r="470" spans="1:26" x14ac:dyDescent="0.2">
      <c r="A470" s="1">
        <v>39814</v>
      </c>
      <c r="B470" s="1">
        <v>39844</v>
      </c>
      <c r="C470">
        <v>53.2</v>
      </c>
      <c r="D470">
        <v>0.64380000000000004</v>
      </c>
      <c r="E470">
        <v>75.459486746982904</v>
      </c>
      <c r="F470">
        <v>60.244635824518902</v>
      </c>
      <c r="G470">
        <v>72.5</v>
      </c>
      <c r="H470">
        <v>79.400000000000006</v>
      </c>
      <c r="I470">
        <v>44.9</v>
      </c>
      <c r="J470">
        <v>12.71</v>
      </c>
      <c r="K470" s="2">
        <v>4.25</v>
      </c>
      <c r="L470">
        <v>0.15419354838709684</v>
      </c>
      <c r="M470">
        <f t="shared" si="17"/>
        <v>4.0958064516129031</v>
      </c>
      <c r="N470">
        <v>2.8304999999999998</v>
      </c>
      <c r="O470">
        <v>0.80700000000000005</v>
      </c>
      <c r="P470">
        <f t="shared" si="15"/>
        <v>2.0234999999999999</v>
      </c>
      <c r="Q470">
        <v>4.0857499999999991</v>
      </c>
      <c r="R470">
        <v>2.5174999999999992</v>
      </c>
      <c r="S470">
        <f t="shared" si="16"/>
        <v>1.5682499999999999</v>
      </c>
      <c r="T470">
        <v>44.683</v>
      </c>
      <c r="U470">
        <v>145.53678666639851</v>
      </c>
      <c r="V470">
        <v>101.05723616013485</v>
      </c>
      <c r="W470">
        <v>85.369476318359375</v>
      </c>
      <c r="X470">
        <v>86.31317138671875</v>
      </c>
      <c r="Y470">
        <v>89.712547302246094</v>
      </c>
      <c r="Z470">
        <v>4.146653413772583E-2</v>
      </c>
    </row>
    <row r="471" spans="1:26" x14ac:dyDescent="0.2">
      <c r="A471" s="1">
        <v>39845</v>
      </c>
      <c r="B471" s="1">
        <v>39872</v>
      </c>
      <c r="C471">
        <v>54.8</v>
      </c>
      <c r="D471">
        <v>0.64539999999999997</v>
      </c>
      <c r="E471">
        <v>74.288665823787298</v>
      </c>
      <c r="F471">
        <v>60.8909358294733</v>
      </c>
      <c r="G471">
        <v>75.599999999999994</v>
      </c>
      <c r="H471">
        <v>75.400000000000006</v>
      </c>
      <c r="I471">
        <v>43.2</v>
      </c>
      <c r="J471">
        <v>10.52</v>
      </c>
      <c r="K471" s="2">
        <v>3.35</v>
      </c>
      <c r="L471">
        <v>0.2221428571428572</v>
      </c>
      <c r="M471">
        <f t="shared" si="17"/>
        <v>3.1278571428571427</v>
      </c>
      <c r="N471">
        <v>2.8032499999999998</v>
      </c>
      <c r="O471">
        <v>0.97526315789473694</v>
      </c>
      <c r="P471">
        <f t="shared" si="15"/>
        <v>1.827986842105263</v>
      </c>
      <c r="Q471">
        <v>4.253000000000001</v>
      </c>
      <c r="R471">
        <v>2.8700000000000006</v>
      </c>
      <c r="S471">
        <f t="shared" si="16"/>
        <v>1.3830000000000005</v>
      </c>
      <c r="T471">
        <v>45.570526315789472</v>
      </c>
      <c r="U471">
        <v>146.93772320758609</v>
      </c>
      <c r="V471">
        <v>196.28431977177183</v>
      </c>
      <c r="W471">
        <v>67.452674865722656</v>
      </c>
      <c r="X471">
        <v>64.772911071777344</v>
      </c>
      <c r="Y471">
        <v>64.586357116699219</v>
      </c>
      <c r="Z471">
        <v>3.3844765275716782E-2</v>
      </c>
    </row>
    <row r="472" spans="1:26" x14ac:dyDescent="0.2">
      <c r="A472" s="1">
        <v>39873</v>
      </c>
      <c r="B472" s="1">
        <v>39903</v>
      </c>
      <c r="C472">
        <v>57.4</v>
      </c>
      <c r="D472">
        <v>0.68730000000000002</v>
      </c>
      <c r="E472">
        <v>70.339665308413899</v>
      </c>
      <c r="F472">
        <v>54.611439158469999</v>
      </c>
      <c r="G472">
        <v>64.099999999999994</v>
      </c>
      <c r="H472">
        <v>61</v>
      </c>
      <c r="I472">
        <v>46.8</v>
      </c>
      <c r="J472">
        <v>9.48</v>
      </c>
      <c r="K472" s="2">
        <v>3.25</v>
      </c>
      <c r="L472">
        <v>0.18064516129032263</v>
      </c>
      <c r="M472">
        <f t="shared" si="17"/>
        <v>3.0693548387096774</v>
      </c>
      <c r="N472">
        <v>2.8718181818181816</v>
      </c>
      <c r="O472">
        <v>0.93136363636363628</v>
      </c>
      <c r="P472">
        <f t="shared" si="15"/>
        <v>1.9404545454545454</v>
      </c>
      <c r="Q472">
        <v>4.3277272727272722</v>
      </c>
      <c r="R472">
        <v>2.8195454545454548</v>
      </c>
      <c r="S472">
        <f t="shared" si="16"/>
        <v>1.5081818181818174</v>
      </c>
      <c r="T472">
        <v>44.79545454545454</v>
      </c>
      <c r="U472">
        <v>131.61826368780311</v>
      </c>
      <c r="V472">
        <v>118.31622131856759</v>
      </c>
      <c r="W472">
        <v>72.644622802734375</v>
      </c>
      <c r="X472">
        <v>69.177108764648438</v>
      </c>
      <c r="Y472">
        <v>74.832977294921875</v>
      </c>
      <c r="Z472">
        <v>4.5104432851076126E-2</v>
      </c>
    </row>
    <row r="473" spans="1:26" x14ac:dyDescent="0.2">
      <c r="A473" s="1">
        <v>39904</v>
      </c>
      <c r="B473" s="1">
        <v>39933</v>
      </c>
      <c r="C473">
        <v>59.7</v>
      </c>
      <c r="D473">
        <v>0.72650000000000003</v>
      </c>
      <c r="E473">
        <v>64.550447706995001</v>
      </c>
      <c r="F473">
        <v>53.547084598111397</v>
      </c>
      <c r="G473">
        <v>59.8</v>
      </c>
      <c r="H473">
        <v>63.6</v>
      </c>
      <c r="I473">
        <v>50.8</v>
      </c>
      <c r="J473">
        <v>8.1199999999999992</v>
      </c>
      <c r="K473" s="2">
        <v>3.06</v>
      </c>
      <c r="L473">
        <v>0.15033333333333332</v>
      </c>
      <c r="M473">
        <f t="shared" si="17"/>
        <v>2.9096666666666668</v>
      </c>
      <c r="N473">
        <v>3.1594999999999991</v>
      </c>
      <c r="O473">
        <v>0.92714285714285705</v>
      </c>
      <c r="P473">
        <f t="shared" si="15"/>
        <v>2.232357142857142</v>
      </c>
      <c r="Q473">
        <v>4.5120000000000005</v>
      </c>
      <c r="R473">
        <v>2.927142857142857</v>
      </c>
      <c r="S473">
        <f t="shared" si="16"/>
        <v>1.5848571428571434</v>
      </c>
      <c r="T473">
        <v>38.063809523809539</v>
      </c>
      <c r="U473">
        <v>101.95155686427439</v>
      </c>
      <c r="V473">
        <v>90.138692815996677</v>
      </c>
      <c r="W473">
        <v>85.688499450683594</v>
      </c>
      <c r="X473">
        <v>84.485366821289062</v>
      </c>
      <c r="Y473">
        <v>83.981285095214844</v>
      </c>
      <c r="Z473">
        <v>6.1451707035303116E-2</v>
      </c>
    </row>
    <row r="474" spans="1:26" x14ac:dyDescent="0.2">
      <c r="A474" s="1">
        <v>39934</v>
      </c>
      <c r="B474" s="1">
        <v>39964</v>
      </c>
      <c r="C474">
        <v>63.3</v>
      </c>
      <c r="D474">
        <v>0.79120000000000001</v>
      </c>
      <c r="E474">
        <v>60.043416368357001</v>
      </c>
      <c r="F474">
        <v>53.269912751596202</v>
      </c>
      <c r="G474">
        <v>62.7</v>
      </c>
      <c r="H474">
        <v>64.5</v>
      </c>
      <c r="I474">
        <v>57.9</v>
      </c>
      <c r="J474">
        <v>7.5</v>
      </c>
      <c r="K474" s="2">
        <v>3</v>
      </c>
      <c r="L474">
        <v>0.17741935483870971</v>
      </c>
      <c r="M474">
        <f t="shared" si="17"/>
        <v>2.8225806451612905</v>
      </c>
      <c r="N474">
        <v>3.4597619047619057</v>
      </c>
      <c r="O474">
        <v>0.92949999999999999</v>
      </c>
      <c r="P474">
        <f t="shared" si="15"/>
        <v>2.5302619047619057</v>
      </c>
      <c r="Q474">
        <v>5.0042857142857144</v>
      </c>
      <c r="R474">
        <v>3.2930000000000006</v>
      </c>
      <c r="S474">
        <f t="shared" si="16"/>
        <v>1.7112857142857139</v>
      </c>
      <c r="T474">
        <v>31.977999999999998</v>
      </c>
      <c r="U474">
        <v>102.9764838776303</v>
      </c>
      <c r="V474">
        <v>130.03639105945484</v>
      </c>
      <c r="W474">
        <v>89.680862426757812</v>
      </c>
      <c r="X474">
        <v>86.63702392578125</v>
      </c>
      <c r="Y474">
        <v>92.643150329589844</v>
      </c>
      <c r="Z474">
        <v>4.6749137341976166E-2</v>
      </c>
    </row>
    <row r="475" spans="1:26" x14ac:dyDescent="0.2">
      <c r="A475" s="1">
        <v>39965</v>
      </c>
      <c r="B475" s="1">
        <v>39994</v>
      </c>
      <c r="C475">
        <v>64.7</v>
      </c>
      <c r="D475">
        <v>0.81140000000000001</v>
      </c>
      <c r="E475">
        <v>61.525224333826998</v>
      </c>
      <c r="F475">
        <v>56.339563140450601</v>
      </c>
      <c r="G475">
        <v>71.7</v>
      </c>
      <c r="H475">
        <v>71.400000000000006</v>
      </c>
      <c r="I475">
        <v>68.599999999999994</v>
      </c>
      <c r="J475">
        <v>7.18</v>
      </c>
      <c r="K475" s="2">
        <v>3</v>
      </c>
      <c r="L475">
        <v>0.20633333333333331</v>
      </c>
      <c r="M475">
        <f t="shared" si="17"/>
        <v>2.7936666666666667</v>
      </c>
      <c r="N475">
        <v>3.9040476190476183</v>
      </c>
      <c r="O475">
        <v>1.1840909090909093</v>
      </c>
      <c r="P475">
        <f t="shared" si="15"/>
        <v>2.7199567099567092</v>
      </c>
      <c r="Q475">
        <v>5.5566666666666666</v>
      </c>
      <c r="R475">
        <v>3.7218181818181817</v>
      </c>
      <c r="S475">
        <f t="shared" si="16"/>
        <v>1.834848484848485</v>
      </c>
      <c r="T475">
        <v>29.140454545454546</v>
      </c>
      <c r="U475">
        <v>115.9718697507315</v>
      </c>
      <c r="V475">
        <v>75.507000038412997</v>
      </c>
      <c r="W475">
        <v>81.109588623046875</v>
      </c>
      <c r="X475">
        <v>80.800819396972656</v>
      </c>
      <c r="Y475">
        <v>74.591331481933594</v>
      </c>
      <c r="Z475">
        <v>2.2560631856322289E-2</v>
      </c>
    </row>
    <row r="476" spans="1:26" x14ac:dyDescent="0.2">
      <c r="A476" s="1">
        <v>39995</v>
      </c>
      <c r="B476" s="1">
        <v>40025</v>
      </c>
      <c r="C476">
        <v>65.7</v>
      </c>
      <c r="D476">
        <v>0.82809999999999995</v>
      </c>
      <c r="E476">
        <v>60.263158473605301</v>
      </c>
      <c r="F476">
        <v>60.229060212740102</v>
      </c>
      <c r="G476">
        <v>84</v>
      </c>
      <c r="H476">
        <v>73.8</v>
      </c>
      <c r="I476">
        <v>64.900000000000006</v>
      </c>
      <c r="J476">
        <v>7.55</v>
      </c>
      <c r="K476" s="2">
        <v>3</v>
      </c>
      <c r="L476">
        <v>0.15580645161290321</v>
      </c>
      <c r="M476">
        <f t="shared" si="17"/>
        <v>2.8441935483870968</v>
      </c>
      <c r="N476">
        <v>4.0395652173913046</v>
      </c>
      <c r="O476">
        <v>1.0190909090909093</v>
      </c>
      <c r="P476">
        <f t="shared" si="15"/>
        <v>3.0204743083003951</v>
      </c>
      <c r="Q476">
        <v>5.4878260869565221</v>
      </c>
      <c r="R476">
        <v>3.5622727272727275</v>
      </c>
      <c r="S476">
        <f t="shared" si="16"/>
        <v>1.9255533596837946</v>
      </c>
      <c r="T476">
        <v>26.16272727272727</v>
      </c>
      <c r="U476">
        <v>104.82554279293581</v>
      </c>
      <c r="V476">
        <v>78.223629626049956</v>
      </c>
      <c r="W476">
        <v>83.439620971679688</v>
      </c>
      <c r="X476">
        <v>82.10675048828125</v>
      </c>
      <c r="Y476">
        <v>80.120880126953125</v>
      </c>
      <c r="Z476">
        <v>9.1701053082942963E-2</v>
      </c>
    </row>
    <row r="477" spans="1:26" x14ac:dyDescent="0.2">
      <c r="A477" s="1">
        <v>40026</v>
      </c>
      <c r="B477" s="1">
        <v>40056</v>
      </c>
      <c r="C477">
        <v>66.3</v>
      </c>
      <c r="D477">
        <v>0.83930000000000005</v>
      </c>
      <c r="E477">
        <v>61.785771778646598</v>
      </c>
      <c r="F477">
        <v>65.827346349906193</v>
      </c>
      <c r="G477">
        <v>97.7</v>
      </c>
      <c r="H477">
        <v>72.5</v>
      </c>
      <c r="I477">
        <v>72.5</v>
      </c>
      <c r="J477">
        <v>7.76</v>
      </c>
      <c r="K477" s="2">
        <v>3</v>
      </c>
      <c r="L477">
        <v>0.16032258064516125</v>
      </c>
      <c r="M477">
        <f t="shared" si="17"/>
        <v>2.8396774193548389</v>
      </c>
      <c r="N477">
        <v>4.57</v>
      </c>
      <c r="O477">
        <v>1.1152380952380954</v>
      </c>
      <c r="P477">
        <f t="shared" si="15"/>
        <v>3.4547619047619049</v>
      </c>
      <c r="Q477">
        <v>5.5332500000000007</v>
      </c>
      <c r="R477">
        <v>3.5871428571428572</v>
      </c>
      <c r="S477">
        <f t="shared" si="16"/>
        <v>1.9461071428571435</v>
      </c>
      <c r="T477">
        <v>25.337142857142858</v>
      </c>
      <c r="U477">
        <v>101.7264121089552</v>
      </c>
      <c r="V477">
        <v>125.64798291635203</v>
      </c>
      <c r="W477">
        <v>73.371879577636719</v>
      </c>
      <c r="X477">
        <v>64.709175109863281</v>
      </c>
      <c r="Y477">
        <v>78.043853759765625</v>
      </c>
      <c r="Z477">
        <v>9.6030727028846741E-2</v>
      </c>
    </row>
    <row r="478" spans="1:26" x14ac:dyDescent="0.2">
      <c r="A478" s="1">
        <v>40057</v>
      </c>
      <c r="B478" s="1">
        <v>40086</v>
      </c>
      <c r="C478">
        <v>68.2</v>
      </c>
      <c r="D478">
        <v>0.88009999999999999</v>
      </c>
      <c r="E478">
        <v>62.842335364661501</v>
      </c>
      <c r="F478">
        <v>63.247327553512797</v>
      </c>
      <c r="G478">
        <v>80.7</v>
      </c>
      <c r="H478">
        <v>67.599999999999994</v>
      </c>
      <c r="I478">
        <v>67.7</v>
      </c>
      <c r="J478">
        <v>8.42</v>
      </c>
      <c r="K478" s="2">
        <v>3</v>
      </c>
      <c r="L478">
        <v>0.14666666666666667</v>
      </c>
      <c r="M478">
        <f t="shared" si="17"/>
        <v>2.8533333333333335</v>
      </c>
      <c r="N478">
        <v>4.4220454545454553</v>
      </c>
      <c r="O478">
        <v>0.95619047619047615</v>
      </c>
      <c r="P478">
        <f t="shared" si="15"/>
        <v>3.465854978354979</v>
      </c>
      <c r="Q478">
        <v>5.3236363636363642</v>
      </c>
      <c r="R478">
        <v>3.401904761904762</v>
      </c>
      <c r="S478">
        <f t="shared" si="16"/>
        <v>1.9217316017316022</v>
      </c>
      <c r="T478">
        <v>24.926666666666669</v>
      </c>
      <c r="U478">
        <v>106.3225734252631</v>
      </c>
      <c r="V478">
        <v>79.196461089820588</v>
      </c>
      <c r="W478">
        <v>92.839988708496094</v>
      </c>
      <c r="X478">
        <v>97.492919921875</v>
      </c>
      <c r="Y478">
        <v>77.784645080566406</v>
      </c>
      <c r="Z478">
        <v>4.5525249093770981E-2</v>
      </c>
    </row>
    <row r="479" spans="1:26" x14ac:dyDescent="0.2">
      <c r="A479" s="1">
        <v>40087</v>
      </c>
      <c r="B479" s="1">
        <v>40117</v>
      </c>
      <c r="C479">
        <v>70.7</v>
      </c>
      <c r="D479">
        <v>0.91610000000000003</v>
      </c>
      <c r="E479">
        <v>63.337639642032201</v>
      </c>
      <c r="F479">
        <v>65.164878682236207</v>
      </c>
      <c r="G479">
        <v>86.8</v>
      </c>
      <c r="H479">
        <v>71.099999999999994</v>
      </c>
      <c r="I479">
        <v>73.2</v>
      </c>
      <c r="J479">
        <v>9.1</v>
      </c>
      <c r="K479" s="2">
        <v>3.21</v>
      </c>
      <c r="L479">
        <v>0.11806451612903225</v>
      </c>
      <c r="M479">
        <f t="shared" si="17"/>
        <v>3.0919354838709676</v>
      </c>
      <c r="N479">
        <v>4.8223809523809518</v>
      </c>
      <c r="O479">
        <v>0.94904761904761892</v>
      </c>
      <c r="P479">
        <f t="shared" si="15"/>
        <v>3.8733333333333331</v>
      </c>
      <c r="Q479">
        <v>5.4502380952380962</v>
      </c>
      <c r="R479">
        <v>3.3876190476190478</v>
      </c>
      <c r="S479">
        <f t="shared" si="16"/>
        <v>2.0626190476190485</v>
      </c>
      <c r="T479">
        <v>24.252272727272729</v>
      </c>
      <c r="U479">
        <v>91.81894375372265</v>
      </c>
      <c r="V479">
        <v>78.035096489807827</v>
      </c>
      <c r="W479">
        <v>90.576400756835938</v>
      </c>
      <c r="X479">
        <v>88.229911804199219</v>
      </c>
      <c r="Y479">
        <v>90.425148010253906</v>
      </c>
      <c r="Z479">
        <v>5.3339023143053055E-2</v>
      </c>
    </row>
    <row r="480" spans="1:26" x14ac:dyDescent="0.2">
      <c r="A480" s="1">
        <v>40118</v>
      </c>
      <c r="B480" s="1">
        <v>40147</v>
      </c>
      <c r="C480">
        <v>69.900000000000006</v>
      </c>
      <c r="D480">
        <v>0.91779999999999995</v>
      </c>
      <c r="E480">
        <v>65.251417304781199</v>
      </c>
      <c r="F480">
        <v>68.380601079803199</v>
      </c>
      <c r="G480">
        <v>99.3</v>
      </c>
      <c r="H480">
        <v>78.8</v>
      </c>
      <c r="I480">
        <v>77</v>
      </c>
      <c r="J480">
        <v>9.1300000000000008</v>
      </c>
      <c r="K480" s="2">
        <v>3.48</v>
      </c>
      <c r="L480">
        <v>0.11899999999999999</v>
      </c>
      <c r="M480">
        <f t="shared" si="17"/>
        <v>3.3609999999999998</v>
      </c>
      <c r="N480">
        <v>4.7114285714285717</v>
      </c>
      <c r="O480">
        <v>0.80315789473684207</v>
      </c>
      <c r="P480">
        <f t="shared" si="15"/>
        <v>3.9082706766917297</v>
      </c>
      <c r="Q480">
        <v>5.4666666666666668</v>
      </c>
      <c r="R480">
        <v>3.4026315789473678</v>
      </c>
      <c r="S480">
        <f t="shared" si="16"/>
        <v>2.064035087719299</v>
      </c>
      <c r="T480">
        <v>23.789000000000005</v>
      </c>
      <c r="U480">
        <v>104.4260608868002</v>
      </c>
      <c r="V480">
        <v>99.873229247757962</v>
      </c>
      <c r="W480">
        <v>82.101760864257812</v>
      </c>
      <c r="X480">
        <v>74.315383911132812</v>
      </c>
      <c r="Y480">
        <v>85.009788513183594</v>
      </c>
      <c r="Z480">
        <v>6.4803875982761383E-2</v>
      </c>
    </row>
    <row r="481" spans="1:26" x14ac:dyDescent="0.2">
      <c r="A481" s="1">
        <v>40148</v>
      </c>
      <c r="B481" s="1">
        <v>40178</v>
      </c>
      <c r="C481">
        <v>69.7</v>
      </c>
      <c r="D481">
        <v>0.89690000000000003</v>
      </c>
      <c r="E481">
        <v>66.437796047376494</v>
      </c>
      <c r="F481">
        <v>73.385867239620893</v>
      </c>
      <c r="G481">
        <v>105.1</v>
      </c>
      <c r="H481">
        <v>83.1</v>
      </c>
      <c r="I481">
        <v>74.7</v>
      </c>
      <c r="J481">
        <v>9.76</v>
      </c>
      <c r="K481" s="2">
        <v>3.738</v>
      </c>
      <c r="L481">
        <v>0.11806451612903227</v>
      </c>
      <c r="M481">
        <f t="shared" si="17"/>
        <v>3.6199354838709676</v>
      </c>
      <c r="N481">
        <v>4.5380952380952371</v>
      </c>
      <c r="O481">
        <v>0.87454545454545463</v>
      </c>
      <c r="P481">
        <f t="shared" si="15"/>
        <v>3.6635497835497826</v>
      </c>
      <c r="Q481">
        <v>5.4730952380952367</v>
      </c>
      <c r="R481">
        <v>3.589999999999999</v>
      </c>
      <c r="S481">
        <f t="shared" si="16"/>
        <v>1.8830952380952377</v>
      </c>
      <c r="T481">
        <v>21.239545454545457</v>
      </c>
      <c r="U481">
        <v>101.7345462905046</v>
      </c>
      <c r="V481">
        <v>96.434605063040578</v>
      </c>
      <c r="W481">
        <v>92.946914672851562</v>
      </c>
      <c r="X481">
        <v>89.343345642089844</v>
      </c>
      <c r="Y481">
        <v>95.871368408203125</v>
      </c>
      <c r="Z481">
        <v>7.6434142887592316E-2</v>
      </c>
    </row>
    <row r="482" spans="1:26" x14ac:dyDescent="0.2">
      <c r="A482" s="1">
        <v>40179</v>
      </c>
      <c r="B482" s="1">
        <v>40207</v>
      </c>
      <c r="C482">
        <v>69.2</v>
      </c>
      <c r="D482">
        <v>0.89090000000000003</v>
      </c>
      <c r="E482">
        <v>69.468593891810798</v>
      </c>
      <c r="F482">
        <v>81.946564134760294</v>
      </c>
      <c r="G482">
        <v>125.7</v>
      </c>
      <c r="H482">
        <v>97</v>
      </c>
      <c r="I482">
        <v>76.400000000000006</v>
      </c>
      <c r="J482">
        <v>10.02</v>
      </c>
      <c r="K482" s="2">
        <v>3.75</v>
      </c>
      <c r="L482">
        <v>0.11000000000000003</v>
      </c>
      <c r="M482">
        <f t="shared" si="17"/>
        <v>3.64</v>
      </c>
      <c r="N482">
        <v>4.6475</v>
      </c>
      <c r="O482">
        <v>0.92894736842105252</v>
      </c>
      <c r="P482">
        <f t="shared" si="15"/>
        <v>3.7185526315789472</v>
      </c>
      <c r="Q482">
        <v>5.5575000000000001</v>
      </c>
      <c r="R482">
        <v>3.7331578947368427</v>
      </c>
      <c r="S482">
        <f t="shared" si="16"/>
        <v>1.8243421052631574</v>
      </c>
      <c r="T482">
        <v>20.643157894736845</v>
      </c>
      <c r="U482">
        <v>117.7431247168963</v>
      </c>
      <c r="V482">
        <v>86.401654986653028</v>
      </c>
      <c r="W482">
        <v>91.581024169921875</v>
      </c>
      <c r="X482">
        <v>84.972991943359375</v>
      </c>
      <c r="Y482">
        <v>100.41094207763672</v>
      </c>
      <c r="Z482">
        <v>4.0666937828063965E-2</v>
      </c>
    </row>
    <row r="483" spans="1:26" x14ac:dyDescent="0.2">
      <c r="A483" s="1">
        <v>40210</v>
      </c>
      <c r="B483" s="1">
        <v>40235</v>
      </c>
      <c r="C483">
        <v>69.5</v>
      </c>
      <c r="D483">
        <v>0.88990000000000002</v>
      </c>
      <c r="E483">
        <v>71.466026362859196</v>
      </c>
      <c r="F483">
        <v>84.119295281801996</v>
      </c>
      <c r="G483">
        <v>127.5</v>
      </c>
      <c r="H483">
        <v>94.2</v>
      </c>
      <c r="I483">
        <v>74.3</v>
      </c>
      <c r="J483">
        <v>10.52</v>
      </c>
      <c r="K483" s="2">
        <v>3.75</v>
      </c>
      <c r="L483">
        <v>0.12642857142857145</v>
      </c>
      <c r="M483">
        <f t="shared" si="17"/>
        <v>3.6235714285714287</v>
      </c>
      <c r="N483">
        <v>4.4725000000000001</v>
      </c>
      <c r="O483">
        <v>0.85684210526315774</v>
      </c>
      <c r="P483">
        <f t="shared" si="15"/>
        <v>3.6156578947368425</v>
      </c>
      <c r="Q483">
        <v>5.4775</v>
      </c>
      <c r="R483">
        <v>3.6910526315789469</v>
      </c>
      <c r="S483">
        <f t="shared" si="16"/>
        <v>1.7864473684210531</v>
      </c>
      <c r="T483">
        <v>22.540000000000003</v>
      </c>
      <c r="U483">
        <v>112.8529711065038</v>
      </c>
      <c r="V483">
        <v>104.77987372228606</v>
      </c>
      <c r="W483">
        <v>80.725357055664062</v>
      </c>
      <c r="X483">
        <v>78.846275329589844</v>
      </c>
      <c r="Y483">
        <v>80.711738586425781</v>
      </c>
      <c r="Z483">
        <v>4.7332968562841415E-2</v>
      </c>
    </row>
    <row r="484" spans="1:26" x14ac:dyDescent="0.2">
      <c r="A484" s="1">
        <v>40238</v>
      </c>
      <c r="B484" s="1">
        <v>40268</v>
      </c>
      <c r="C484">
        <v>71.7</v>
      </c>
      <c r="D484">
        <v>0.91590000000000005</v>
      </c>
      <c r="E484">
        <v>73.738535873494101</v>
      </c>
      <c r="F484">
        <v>88.977529883574107</v>
      </c>
      <c r="G484">
        <v>139.69999999999999</v>
      </c>
      <c r="H484">
        <v>94.4</v>
      </c>
      <c r="I484">
        <v>79.3</v>
      </c>
      <c r="J484">
        <v>10.42</v>
      </c>
      <c r="K484" s="2">
        <v>3.9780000000000002</v>
      </c>
      <c r="L484">
        <v>0.16451612903225812</v>
      </c>
      <c r="M484">
        <f t="shared" si="17"/>
        <v>3.8134838709677421</v>
      </c>
      <c r="N484">
        <v>4.7824999999999998</v>
      </c>
      <c r="O484">
        <v>0.95869565217391295</v>
      </c>
      <c r="P484">
        <f t="shared" si="15"/>
        <v>3.823804347826087</v>
      </c>
      <c r="Q484">
        <v>5.62</v>
      </c>
      <c r="R484">
        <v>3.7273913043478255</v>
      </c>
      <c r="S484">
        <f t="shared" si="16"/>
        <v>1.8926086956521746</v>
      </c>
      <c r="T484">
        <v>17.767391304347822</v>
      </c>
      <c r="U484">
        <v>113.05450403922769</v>
      </c>
      <c r="V484">
        <v>113.42232993005614</v>
      </c>
      <c r="W484">
        <v>74.116943359375</v>
      </c>
      <c r="X484">
        <v>73.496910095214844</v>
      </c>
      <c r="Y484">
        <v>70.039344787597656</v>
      </c>
      <c r="Z484">
        <v>6.7879445850849152E-2</v>
      </c>
    </row>
    <row r="485" spans="1:26" x14ac:dyDescent="0.2">
      <c r="A485" s="1">
        <v>40269</v>
      </c>
      <c r="B485" s="1">
        <v>40298</v>
      </c>
      <c r="C485">
        <v>72.5</v>
      </c>
      <c r="D485">
        <v>0.93</v>
      </c>
      <c r="E485">
        <v>85.3245402438247</v>
      </c>
      <c r="F485">
        <v>100.206990136817</v>
      </c>
      <c r="G485">
        <v>172.5</v>
      </c>
      <c r="H485">
        <v>100.2</v>
      </c>
      <c r="I485">
        <v>85</v>
      </c>
      <c r="J485">
        <v>10.98</v>
      </c>
      <c r="K485" s="2">
        <v>4.2229999999999999</v>
      </c>
      <c r="L485">
        <v>0.19833333333333339</v>
      </c>
      <c r="M485">
        <f t="shared" si="17"/>
        <v>4.0246666666666666</v>
      </c>
      <c r="N485">
        <v>4.9749999999999996</v>
      </c>
      <c r="O485">
        <v>1.0604545454545458</v>
      </c>
      <c r="P485">
        <f t="shared" si="15"/>
        <v>3.9145454545454541</v>
      </c>
      <c r="Q485">
        <v>5.7949999999999999</v>
      </c>
      <c r="R485">
        <v>3.8468181818181817</v>
      </c>
      <c r="S485">
        <f t="shared" si="16"/>
        <v>1.9481818181818182</v>
      </c>
      <c r="T485">
        <v>17.424285714285713</v>
      </c>
      <c r="U485">
        <v>108.70984649874831</v>
      </c>
      <c r="V485">
        <v>92.623206483908447</v>
      </c>
      <c r="W485">
        <v>88.761581420898438</v>
      </c>
      <c r="X485">
        <v>92.056915283203125</v>
      </c>
      <c r="Y485">
        <v>81.268402099609375</v>
      </c>
      <c r="Z485">
        <v>4.9829158931970596E-2</v>
      </c>
    </row>
    <row r="486" spans="1:26" x14ac:dyDescent="0.2">
      <c r="A486" s="1">
        <v>40299</v>
      </c>
      <c r="B486" s="1">
        <v>40329</v>
      </c>
      <c r="C486">
        <v>67.5</v>
      </c>
      <c r="D486">
        <v>0.84899999999999998</v>
      </c>
      <c r="E486">
        <v>88.964683552289998</v>
      </c>
      <c r="F486">
        <v>98.0026189810213</v>
      </c>
      <c r="G486">
        <v>161.4</v>
      </c>
      <c r="H486">
        <v>100.1</v>
      </c>
      <c r="I486">
        <v>76.3</v>
      </c>
      <c r="J486">
        <v>11.39</v>
      </c>
      <c r="K486" s="2">
        <v>4.4749999999999996</v>
      </c>
      <c r="L486">
        <v>0.2006451612903227</v>
      </c>
      <c r="M486">
        <f t="shared" si="17"/>
        <v>4.2743548387096766</v>
      </c>
      <c r="N486">
        <v>4.67</v>
      </c>
      <c r="O486">
        <v>0.83050000000000002</v>
      </c>
      <c r="P486">
        <f t="shared" si="15"/>
        <v>3.8395000000000001</v>
      </c>
      <c r="Q486">
        <v>5.48</v>
      </c>
      <c r="R486">
        <v>3.4199999999999995</v>
      </c>
      <c r="S486">
        <f t="shared" si="16"/>
        <v>2.0600000000000009</v>
      </c>
      <c r="T486">
        <v>31.929500000000001</v>
      </c>
      <c r="U486">
        <v>145.69057829551591</v>
      </c>
      <c r="V486">
        <v>279.42527339773062</v>
      </c>
      <c r="W486">
        <v>88.958709716796875</v>
      </c>
      <c r="X486">
        <v>87.494110107421875</v>
      </c>
      <c r="Y486">
        <v>85.857391357421875</v>
      </c>
      <c r="Z486">
        <v>5.800464004278183E-2</v>
      </c>
    </row>
    <row r="487" spans="1:26" x14ac:dyDescent="0.2">
      <c r="A487" s="1">
        <v>40330</v>
      </c>
      <c r="B487" s="1">
        <v>40359</v>
      </c>
      <c r="C487">
        <v>67.3</v>
      </c>
      <c r="D487">
        <v>0.85229999999999995</v>
      </c>
      <c r="E487">
        <v>90.749489804941504</v>
      </c>
      <c r="F487">
        <v>93.480968478052802</v>
      </c>
      <c r="G487">
        <v>143.6</v>
      </c>
      <c r="H487">
        <v>98.2</v>
      </c>
      <c r="I487">
        <v>74.8</v>
      </c>
      <c r="J487">
        <v>10.48</v>
      </c>
      <c r="K487" s="2">
        <v>4.5</v>
      </c>
      <c r="L487">
        <v>0.17666666666666669</v>
      </c>
      <c r="M487">
        <f t="shared" si="17"/>
        <v>4.3233333333333333</v>
      </c>
      <c r="N487">
        <v>4.5650000000000004</v>
      </c>
      <c r="O487">
        <v>0.72454545454545449</v>
      </c>
      <c r="P487">
        <f t="shared" si="15"/>
        <v>3.8404545454545458</v>
      </c>
      <c r="Q487">
        <v>5.3274999999999997</v>
      </c>
      <c r="R487">
        <v>3.2040909090909095</v>
      </c>
      <c r="S487">
        <f t="shared" si="16"/>
        <v>2.1234090909090901</v>
      </c>
      <c r="T487">
        <v>29.916363636363634</v>
      </c>
      <c r="U487">
        <v>136.25940434013069</v>
      </c>
      <c r="V487">
        <v>223.95130974857503</v>
      </c>
      <c r="W487">
        <v>96.453697204589844</v>
      </c>
      <c r="X487">
        <v>110.69171905517578</v>
      </c>
      <c r="Y487">
        <v>70.988624572753906</v>
      </c>
      <c r="Z487">
        <v>8.599931001663208E-2</v>
      </c>
    </row>
    <row r="488" spans="1:26" x14ac:dyDescent="0.2">
      <c r="A488" s="1">
        <v>40360</v>
      </c>
      <c r="B488" s="1">
        <v>40389</v>
      </c>
      <c r="C488">
        <v>69.400000000000006</v>
      </c>
      <c r="D488">
        <v>0.89859999999999995</v>
      </c>
      <c r="E488">
        <v>91.971020635336203</v>
      </c>
      <c r="F488">
        <v>87.214565617713305</v>
      </c>
      <c r="G488">
        <v>126.4</v>
      </c>
      <c r="H488">
        <v>96</v>
      </c>
      <c r="I488">
        <v>74.7</v>
      </c>
      <c r="J488">
        <v>11.32</v>
      </c>
      <c r="K488" s="2">
        <v>4.5</v>
      </c>
      <c r="L488">
        <v>0.18258064516129036</v>
      </c>
      <c r="M488">
        <f t="shared" si="17"/>
        <v>4.3174193548387096</v>
      </c>
      <c r="N488">
        <v>4.55</v>
      </c>
      <c r="O488">
        <v>0.61666666666666659</v>
      </c>
      <c r="P488">
        <f t="shared" si="15"/>
        <v>3.9333333333333331</v>
      </c>
      <c r="Q488">
        <v>5.1449999999999996</v>
      </c>
      <c r="R488">
        <v>3.0114285714285716</v>
      </c>
      <c r="S488">
        <f t="shared" si="16"/>
        <v>2.133571428571428</v>
      </c>
      <c r="T488">
        <v>25.565238095238094</v>
      </c>
      <c r="U488">
        <v>147.1701969452474</v>
      </c>
      <c r="V488">
        <v>184.57755083998123</v>
      </c>
      <c r="W488">
        <v>79.381378173828125</v>
      </c>
      <c r="X488">
        <v>75.185379028320312</v>
      </c>
      <c r="Y488">
        <v>84.048233032226562</v>
      </c>
      <c r="Z488">
        <v>6.682141125202179E-2</v>
      </c>
    </row>
    <row r="489" spans="1:26" x14ac:dyDescent="0.2">
      <c r="A489" s="1">
        <v>40391</v>
      </c>
      <c r="B489" s="1">
        <v>40421</v>
      </c>
      <c r="C489">
        <v>69</v>
      </c>
      <c r="D489">
        <v>0.89180000000000004</v>
      </c>
      <c r="E489">
        <v>94.489201712284597</v>
      </c>
      <c r="F489">
        <v>92.261609812391598</v>
      </c>
      <c r="G489">
        <v>145.30000000000001</v>
      </c>
      <c r="H489">
        <v>89.8</v>
      </c>
      <c r="I489">
        <v>76.7</v>
      </c>
      <c r="J489">
        <v>11.3</v>
      </c>
      <c r="K489" s="2">
        <v>4.5</v>
      </c>
      <c r="L489">
        <v>0.18935483870967754</v>
      </c>
      <c r="M489">
        <f t="shared" si="17"/>
        <v>4.3106451612903225</v>
      </c>
      <c r="N489">
        <v>4.4649999999999999</v>
      </c>
      <c r="O489">
        <v>0.5204545454545455</v>
      </c>
      <c r="P489">
        <f t="shared" si="15"/>
        <v>3.9445454545454544</v>
      </c>
      <c r="Q489">
        <v>4.97</v>
      </c>
      <c r="R489">
        <v>2.6986363636363637</v>
      </c>
      <c r="S489">
        <f t="shared" si="16"/>
        <v>2.271363636363636</v>
      </c>
      <c r="T489">
        <v>24.745909090909084</v>
      </c>
      <c r="U489">
        <v>122.2432498050174</v>
      </c>
      <c r="V489">
        <v>205.132659058873</v>
      </c>
      <c r="W489">
        <v>80.993865966796875</v>
      </c>
      <c r="X489">
        <v>71.951530456542969</v>
      </c>
      <c r="Y489">
        <v>85.982574462890625</v>
      </c>
      <c r="Z489">
        <v>7.5094804167747498E-2</v>
      </c>
    </row>
    <row r="490" spans="1:26" x14ac:dyDescent="0.2">
      <c r="A490" s="1">
        <v>40422</v>
      </c>
      <c r="B490" s="1">
        <v>40451</v>
      </c>
      <c r="C490">
        <v>72.900000000000006</v>
      </c>
      <c r="D490">
        <v>0.9667</v>
      </c>
      <c r="E490">
        <v>94.611862513863599</v>
      </c>
      <c r="F490">
        <v>91.053451528696002</v>
      </c>
      <c r="G490">
        <v>140.6</v>
      </c>
      <c r="H490">
        <v>94.9</v>
      </c>
      <c r="I490">
        <v>77.8</v>
      </c>
      <c r="J490">
        <v>11.03</v>
      </c>
      <c r="K490" s="2">
        <v>4.5</v>
      </c>
      <c r="L490">
        <v>0.19466666666666671</v>
      </c>
      <c r="M490">
        <f t="shared" si="17"/>
        <v>4.3053333333333335</v>
      </c>
      <c r="N490">
        <v>4.66</v>
      </c>
      <c r="O490">
        <v>0.47999999999999993</v>
      </c>
      <c r="P490">
        <f t="shared" si="15"/>
        <v>4.1800000000000006</v>
      </c>
      <c r="Q490">
        <v>5.0025000000000004</v>
      </c>
      <c r="R490">
        <v>2.6476190476190475</v>
      </c>
      <c r="S490">
        <f t="shared" si="16"/>
        <v>2.3548809523809529</v>
      </c>
      <c r="T490">
        <v>22.51761904761905</v>
      </c>
      <c r="U490">
        <v>132.43716249421681</v>
      </c>
      <c r="V490">
        <v>155.93391411319877</v>
      </c>
      <c r="W490">
        <v>71.168548583984375</v>
      </c>
      <c r="X490">
        <v>68.947540283203125</v>
      </c>
      <c r="Y490">
        <v>69.293952941894531</v>
      </c>
      <c r="Z490">
        <v>6.6816709935665131E-2</v>
      </c>
    </row>
    <row r="491" spans="1:26" x14ac:dyDescent="0.2">
      <c r="A491" s="1">
        <v>40452</v>
      </c>
      <c r="B491" s="1">
        <v>40480</v>
      </c>
      <c r="C491">
        <v>72.7</v>
      </c>
      <c r="D491">
        <v>0.97609999999999997</v>
      </c>
      <c r="E491">
        <v>91.729053183358005</v>
      </c>
      <c r="F491">
        <v>92.941920190619697</v>
      </c>
      <c r="G491">
        <v>148.5</v>
      </c>
      <c r="H491">
        <v>97.5</v>
      </c>
      <c r="I491">
        <v>82.9</v>
      </c>
      <c r="J491">
        <v>11.13</v>
      </c>
      <c r="K491" s="2">
        <v>4.5</v>
      </c>
      <c r="L491">
        <v>0.19129032258064529</v>
      </c>
      <c r="M491">
        <f t="shared" si="17"/>
        <v>4.3087096774193547</v>
      </c>
      <c r="N491">
        <v>4.8525</v>
      </c>
      <c r="O491">
        <v>0.376</v>
      </c>
      <c r="P491">
        <f t="shared" si="15"/>
        <v>4.4764999999999997</v>
      </c>
      <c r="Q491">
        <v>5.085</v>
      </c>
      <c r="R491">
        <v>2.54</v>
      </c>
      <c r="S491">
        <f t="shared" si="16"/>
        <v>2.5449999999999999</v>
      </c>
      <c r="T491">
        <v>20.373333333333335</v>
      </c>
      <c r="U491">
        <v>126.113209707202</v>
      </c>
      <c r="V491">
        <v>112.99476571098754</v>
      </c>
      <c r="W491">
        <v>65.991935729980469</v>
      </c>
      <c r="X491">
        <v>62.096179962158203</v>
      </c>
      <c r="Y491">
        <v>76.168914794921875</v>
      </c>
      <c r="Z491">
        <v>3.9455514401197433E-2</v>
      </c>
    </row>
    <row r="492" spans="1:26" x14ac:dyDescent="0.2">
      <c r="A492" s="1">
        <v>40483</v>
      </c>
      <c r="B492" s="1">
        <v>40512</v>
      </c>
      <c r="C492">
        <v>73</v>
      </c>
      <c r="D492">
        <v>0.96179999999999999</v>
      </c>
      <c r="E492">
        <v>93.804078036874301</v>
      </c>
      <c r="F492">
        <v>99.483116010569006</v>
      </c>
      <c r="G492">
        <v>156.1</v>
      </c>
      <c r="H492">
        <v>107.2</v>
      </c>
      <c r="I492">
        <v>85.7</v>
      </c>
      <c r="J492">
        <v>10.84</v>
      </c>
      <c r="K492" s="2">
        <v>4.7279999999999998</v>
      </c>
      <c r="L492">
        <v>0.19433333333333339</v>
      </c>
      <c r="M492">
        <f t="shared" si="17"/>
        <v>4.5336666666666661</v>
      </c>
      <c r="N492">
        <v>5.0525000000000002</v>
      </c>
      <c r="O492">
        <v>0.4539999999999999</v>
      </c>
      <c r="P492">
        <f t="shared" si="15"/>
        <v>4.5985000000000005</v>
      </c>
      <c r="Q492">
        <v>5.3775000000000004</v>
      </c>
      <c r="R492">
        <v>2.7630000000000003</v>
      </c>
      <c r="S492">
        <f t="shared" si="16"/>
        <v>2.6145</v>
      </c>
      <c r="T492">
        <v>20.095714285714287</v>
      </c>
      <c r="U492">
        <v>130.01680428830019</v>
      </c>
      <c r="V492">
        <v>136.42686193908796</v>
      </c>
      <c r="W492">
        <v>94.705169677734375</v>
      </c>
      <c r="X492">
        <v>98.68914794921875</v>
      </c>
      <c r="Y492">
        <v>83.266502380371094</v>
      </c>
      <c r="Z492">
        <v>8.3854511380195618E-2</v>
      </c>
    </row>
    <row r="493" spans="1:26" x14ac:dyDescent="0.2">
      <c r="A493" s="1">
        <v>40513</v>
      </c>
      <c r="B493" s="1">
        <v>40543</v>
      </c>
      <c r="C493">
        <v>75.8</v>
      </c>
      <c r="D493">
        <v>1.0163</v>
      </c>
      <c r="E493">
        <v>98.838924746017796</v>
      </c>
      <c r="F493">
        <v>107.803756814265</v>
      </c>
      <c r="G493">
        <v>163.1</v>
      </c>
      <c r="H493">
        <v>118.3</v>
      </c>
      <c r="I493">
        <v>91.8</v>
      </c>
      <c r="J493">
        <v>10.75</v>
      </c>
      <c r="K493" s="2">
        <v>4.75</v>
      </c>
      <c r="L493">
        <v>0.18322580645161299</v>
      </c>
      <c r="M493">
        <f t="shared" si="17"/>
        <v>4.5667741935483868</v>
      </c>
      <c r="N493">
        <v>5.085</v>
      </c>
      <c r="O493">
        <v>0.61818181818181828</v>
      </c>
      <c r="P493">
        <f t="shared" si="15"/>
        <v>4.4668181818181818</v>
      </c>
      <c r="Q493">
        <v>5.5549999999999997</v>
      </c>
      <c r="R493">
        <v>3.2909090909090906</v>
      </c>
      <c r="S493">
        <f t="shared" si="16"/>
        <v>2.2640909090909092</v>
      </c>
      <c r="T493">
        <v>17.569545454545452</v>
      </c>
      <c r="U493">
        <v>132.99408483016529</v>
      </c>
      <c r="V493">
        <v>89.53490188775946</v>
      </c>
      <c r="W493">
        <v>97.203895568847656</v>
      </c>
      <c r="X493">
        <v>100.39768218994141</v>
      </c>
      <c r="Y493">
        <v>91.762107849121094</v>
      </c>
      <c r="Z493">
        <v>0.10574417561292648</v>
      </c>
    </row>
    <row r="494" spans="1:26" x14ac:dyDescent="0.2">
      <c r="A494" s="1">
        <v>40544</v>
      </c>
      <c r="B494" s="1">
        <v>40574</v>
      </c>
      <c r="C494">
        <v>74</v>
      </c>
      <c r="D494">
        <v>0.99239999999999995</v>
      </c>
      <c r="E494">
        <v>102.293832647017</v>
      </c>
      <c r="F494">
        <v>118.24742011581</v>
      </c>
      <c r="G494">
        <v>179.2</v>
      </c>
      <c r="H494">
        <v>132.5</v>
      </c>
      <c r="I494">
        <v>96.3</v>
      </c>
      <c r="J494">
        <v>11.45</v>
      </c>
      <c r="K494" s="2">
        <v>4.75</v>
      </c>
      <c r="L494">
        <v>0.16838709677419353</v>
      </c>
      <c r="M494">
        <f t="shared" si="17"/>
        <v>4.5816129032258068</v>
      </c>
      <c r="N494">
        <v>4.9775</v>
      </c>
      <c r="O494">
        <v>0.61449999999999982</v>
      </c>
      <c r="P494">
        <f t="shared" si="15"/>
        <v>4.3630000000000004</v>
      </c>
      <c r="Q494">
        <v>5.5200000000000005</v>
      </c>
      <c r="R494">
        <v>3.3940000000000006</v>
      </c>
      <c r="S494">
        <f t="shared" si="16"/>
        <v>2.1259999999999999</v>
      </c>
      <c r="T494">
        <v>17.315499999999997</v>
      </c>
      <c r="U494">
        <v>113.6204092400933</v>
      </c>
      <c r="V494">
        <v>84.434411794399523</v>
      </c>
      <c r="W494">
        <v>79.421615600585938</v>
      </c>
      <c r="X494">
        <v>76.59356689453125</v>
      </c>
      <c r="Y494">
        <v>78.806983947753906</v>
      </c>
      <c r="Z494">
        <v>7.6026357710361481E-2</v>
      </c>
    </row>
    <row r="495" spans="1:26" x14ac:dyDescent="0.2">
      <c r="A495" s="1">
        <v>40575</v>
      </c>
      <c r="B495" s="1">
        <v>40602</v>
      </c>
      <c r="C495">
        <v>75.5</v>
      </c>
      <c r="D495">
        <v>1.0163</v>
      </c>
      <c r="E495">
        <v>106.090197157451</v>
      </c>
      <c r="F495">
        <v>120.568759367496</v>
      </c>
      <c r="G495">
        <v>187.2</v>
      </c>
      <c r="H495">
        <v>128.4</v>
      </c>
      <c r="I495">
        <v>104</v>
      </c>
      <c r="J495">
        <v>12.02</v>
      </c>
      <c r="K495" s="2">
        <v>4.75</v>
      </c>
      <c r="L495">
        <v>0.15678571428571428</v>
      </c>
      <c r="M495">
        <f t="shared" si="17"/>
        <v>4.5932142857142857</v>
      </c>
      <c r="N495">
        <v>5.0425000000000004</v>
      </c>
      <c r="O495">
        <v>0.77263157894736845</v>
      </c>
      <c r="P495">
        <f t="shared" ref="P495:P558" si="18">N495-O495</f>
        <v>4.2698684210526316</v>
      </c>
      <c r="Q495">
        <v>5.61</v>
      </c>
      <c r="R495">
        <v>3.5763157894736834</v>
      </c>
      <c r="S495">
        <f t="shared" si="16"/>
        <v>2.0336842105263169</v>
      </c>
      <c r="T495">
        <v>17.430000000000003</v>
      </c>
      <c r="U495">
        <v>95.984410820974546</v>
      </c>
      <c r="V495">
        <v>75.667683614060167</v>
      </c>
      <c r="W495">
        <v>90.014488220214844</v>
      </c>
      <c r="X495">
        <v>90.189338684082031</v>
      </c>
      <c r="Y495">
        <v>85.486831665039062</v>
      </c>
      <c r="Z495">
        <v>7.3492437601089478E-2</v>
      </c>
    </row>
    <row r="496" spans="1:26" x14ac:dyDescent="0.2">
      <c r="A496" s="1">
        <v>40603</v>
      </c>
      <c r="B496" s="1">
        <v>40633</v>
      </c>
      <c r="C496">
        <v>76.3</v>
      </c>
      <c r="D496">
        <v>1.0334000000000001</v>
      </c>
      <c r="E496">
        <v>106.670327710656</v>
      </c>
      <c r="F496">
        <v>114.861242588504</v>
      </c>
      <c r="G496">
        <v>169.4</v>
      </c>
      <c r="H496">
        <v>126.1</v>
      </c>
      <c r="I496">
        <v>114.4</v>
      </c>
      <c r="J496">
        <v>12.5</v>
      </c>
      <c r="K496" s="2">
        <v>4.75</v>
      </c>
      <c r="L496">
        <v>0.13870967741935483</v>
      </c>
      <c r="M496">
        <f t="shared" si="17"/>
        <v>4.6112903225806452</v>
      </c>
      <c r="N496">
        <v>4.875</v>
      </c>
      <c r="O496">
        <v>0.69739130434782626</v>
      </c>
      <c r="P496">
        <f t="shared" si="18"/>
        <v>4.1776086956521734</v>
      </c>
      <c r="Q496">
        <v>5.4350000000000005</v>
      </c>
      <c r="R496">
        <v>3.414347826086956</v>
      </c>
      <c r="S496">
        <f t="shared" si="16"/>
        <v>2.0206521739130445</v>
      </c>
      <c r="T496">
        <v>20.723478260869566</v>
      </c>
      <c r="U496">
        <v>129.21505331691699</v>
      </c>
      <c r="V496">
        <v>114.81809211648977</v>
      </c>
      <c r="W496">
        <v>136.8883056640625</v>
      </c>
      <c r="X496">
        <v>126.96572875976562</v>
      </c>
      <c r="Y496">
        <v>157.47984313964844</v>
      </c>
      <c r="Z496">
        <v>4.9908500164747238E-2</v>
      </c>
    </row>
    <row r="497" spans="1:26" x14ac:dyDescent="0.2">
      <c r="A497" s="1">
        <v>40634</v>
      </c>
      <c r="B497" s="1">
        <v>40662</v>
      </c>
      <c r="C497">
        <v>78.900000000000006</v>
      </c>
      <c r="D497">
        <v>1.0900000000000001</v>
      </c>
      <c r="E497">
        <v>112.32102626351799</v>
      </c>
      <c r="F497">
        <v>118.074734835634</v>
      </c>
      <c r="G497">
        <v>179.3</v>
      </c>
      <c r="H497">
        <v>122.5</v>
      </c>
      <c r="I497">
        <v>123.1</v>
      </c>
      <c r="J497">
        <v>12.99</v>
      </c>
      <c r="K497" s="2">
        <v>4.75</v>
      </c>
      <c r="L497">
        <v>9.8000000000000004E-2</v>
      </c>
      <c r="M497">
        <f t="shared" si="17"/>
        <v>4.6520000000000001</v>
      </c>
      <c r="N497">
        <v>4.9750000000000005</v>
      </c>
      <c r="O497">
        <v>0.73449999999999993</v>
      </c>
      <c r="P497">
        <f t="shared" si="18"/>
        <v>4.2405000000000008</v>
      </c>
      <c r="Q497">
        <v>5.5125000000000002</v>
      </c>
      <c r="R497">
        <v>3.4549999999999996</v>
      </c>
      <c r="S497">
        <f t="shared" si="16"/>
        <v>2.0575000000000006</v>
      </c>
      <c r="T497">
        <v>16.244000000000003</v>
      </c>
      <c r="U497">
        <v>117.56146972986831</v>
      </c>
      <c r="V497">
        <v>63.936162475974413</v>
      </c>
      <c r="W497">
        <v>91.017768859863281</v>
      </c>
      <c r="X497">
        <v>72.923179626464844</v>
      </c>
      <c r="Y497">
        <v>111.94474029541016</v>
      </c>
      <c r="Z497">
        <v>2.8623564168810844E-2</v>
      </c>
    </row>
    <row r="498" spans="1:26" x14ac:dyDescent="0.2">
      <c r="A498" s="1">
        <v>40664</v>
      </c>
      <c r="B498" s="1">
        <v>40694</v>
      </c>
      <c r="C498">
        <v>77.8</v>
      </c>
      <c r="D498">
        <v>1.0709</v>
      </c>
      <c r="E498">
        <v>115.22897705241</v>
      </c>
      <c r="F498">
        <v>114.059471266427</v>
      </c>
      <c r="G498">
        <v>177.1</v>
      </c>
      <c r="H498">
        <v>119.1</v>
      </c>
      <c r="I498">
        <v>114.5</v>
      </c>
      <c r="J498">
        <v>13.61</v>
      </c>
      <c r="K498" s="2">
        <v>4.75</v>
      </c>
      <c r="L498">
        <v>9.3870967741935513E-2</v>
      </c>
      <c r="M498">
        <f t="shared" si="17"/>
        <v>4.6561290322580646</v>
      </c>
      <c r="N498">
        <v>4.9275000000000002</v>
      </c>
      <c r="O498">
        <v>0.55523809523809542</v>
      </c>
      <c r="P498">
        <f t="shared" si="18"/>
        <v>4.3722619047619045</v>
      </c>
      <c r="Q498">
        <v>5.3250000000000002</v>
      </c>
      <c r="R498">
        <v>3.168571428571429</v>
      </c>
      <c r="S498">
        <f t="shared" si="16"/>
        <v>2.1564285714285711</v>
      </c>
      <c r="T498">
        <v>16.911428571428569</v>
      </c>
      <c r="U498">
        <v>92.994266749959095</v>
      </c>
      <c r="V498">
        <v>117.641876852161</v>
      </c>
      <c r="W498">
        <v>105.34491729736328</v>
      </c>
      <c r="X498">
        <v>95.506637573242188</v>
      </c>
      <c r="Y498">
        <v>123.82610321044922</v>
      </c>
      <c r="Z498">
        <v>3.9273090660572052E-2</v>
      </c>
    </row>
    <row r="499" spans="1:26" x14ac:dyDescent="0.2">
      <c r="A499" s="1">
        <v>40695</v>
      </c>
      <c r="B499" s="1">
        <v>40724</v>
      </c>
      <c r="C499">
        <v>77.8</v>
      </c>
      <c r="D499">
        <v>1.0739000000000001</v>
      </c>
      <c r="E499">
        <v>115.561126628076</v>
      </c>
      <c r="F499">
        <v>113.699599713052</v>
      </c>
      <c r="G499">
        <v>170.9</v>
      </c>
      <c r="H499">
        <v>120.1</v>
      </c>
      <c r="I499">
        <v>113.8</v>
      </c>
      <c r="J499">
        <v>14.52</v>
      </c>
      <c r="K499" s="2">
        <v>4.75</v>
      </c>
      <c r="L499">
        <v>9.2000000000000026E-2</v>
      </c>
      <c r="M499">
        <f t="shared" si="17"/>
        <v>4.6580000000000004</v>
      </c>
      <c r="N499">
        <v>4.7450000000000001</v>
      </c>
      <c r="O499">
        <v>0.41045454545454541</v>
      </c>
      <c r="P499">
        <f t="shared" si="18"/>
        <v>4.3345454545454549</v>
      </c>
      <c r="Q499">
        <v>5.16</v>
      </c>
      <c r="R499">
        <v>3.002272727272727</v>
      </c>
      <c r="S499">
        <f t="shared" si="16"/>
        <v>2.1577272727272732</v>
      </c>
      <c r="T499">
        <v>19.153181818181817</v>
      </c>
      <c r="U499">
        <v>124.03132135328001</v>
      </c>
      <c r="V499">
        <v>152.59202314161467</v>
      </c>
      <c r="W499">
        <v>84.391845703125</v>
      </c>
      <c r="X499">
        <v>71.391128540039062</v>
      </c>
      <c r="Y499">
        <v>98.272758483886719</v>
      </c>
      <c r="Z499">
        <v>4.6808052808046341E-2</v>
      </c>
    </row>
    <row r="500" spans="1:26" x14ac:dyDescent="0.2">
      <c r="A500" s="1">
        <v>40725</v>
      </c>
      <c r="B500" s="1">
        <v>40753</v>
      </c>
      <c r="C500">
        <v>78.400000000000006</v>
      </c>
      <c r="D500">
        <v>1.0953999999999999</v>
      </c>
      <c r="E500">
        <v>115.953153432005</v>
      </c>
      <c r="F500">
        <v>115.20718750434099</v>
      </c>
      <c r="G500">
        <v>173</v>
      </c>
      <c r="H500">
        <v>120.8</v>
      </c>
      <c r="I500">
        <v>116.5</v>
      </c>
      <c r="J500">
        <v>16.22</v>
      </c>
      <c r="K500" s="2">
        <v>4.75</v>
      </c>
      <c r="L500">
        <v>7.09677419354839E-2</v>
      </c>
      <c r="M500">
        <f t="shared" si="17"/>
        <v>4.6790322580645158</v>
      </c>
      <c r="N500">
        <v>4.49</v>
      </c>
      <c r="O500">
        <v>0.40650000000000003</v>
      </c>
      <c r="P500">
        <f t="shared" si="18"/>
        <v>4.0834999999999999</v>
      </c>
      <c r="Q500">
        <v>5.0200000000000005</v>
      </c>
      <c r="R500">
        <v>3.0030000000000001</v>
      </c>
      <c r="S500">
        <f t="shared" si="16"/>
        <v>2.0170000000000003</v>
      </c>
      <c r="T500">
        <v>19.227500000000003</v>
      </c>
      <c r="U500">
        <v>152.225479562456</v>
      </c>
      <c r="V500">
        <v>229.396840089949</v>
      </c>
      <c r="W500">
        <v>78.924758911132812</v>
      </c>
      <c r="X500">
        <v>59.019046783447266</v>
      </c>
      <c r="Y500">
        <v>102.11175537109375</v>
      </c>
      <c r="Z500">
        <v>8.4808260202407837E-2</v>
      </c>
    </row>
    <row r="501" spans="1:26" x14ac:dyDescent="0.2">
      <c r="A501" s="1">
        <v>40756</v>
      </c>
      <c r="B501" s="1">
        <v>40786</v>
      </c>
      <c r="C501">
        <v>76.5</v>
      </c>
      <c r="D501">
        <v>1.0690999999999999</v>
      </c>
      <c r="E501">
        <v>114.89345843641</v>
      </c>
      <c r="F501">
        <v>114.549767074012</v>
      </c>
      <c r="G501">
        <v>177.5</v>
      </c>
      <c r="H501">
        <v>120.1</v>
      </c>
      <c r="I501">
        <v>110.1</v>
      </c>
      <c r="J501">
        <v>16.55</v>
      </c>
      <c r="K501" s="2">
        <v>4.75</v>
      </c>
      <c r="L501">
        <v>9.5806451612903229E-2</v>
      </c>
      <c r="M501">
        <f t="shared" si="17"/>
        <v>4.6541935483870969</v>
      </c>
      <c r="N501">
        <v>3.8075000000000001</v>
      </c>
      <c r="O501">
        <v>0.23043478260869571</v>
      </c>
      <c r="P501">
        <f t="shared" si="18"/>
        <v>3.5770652173913042</v>
      </c>
      <c r="Q501">
        <v>4.4924999999999997</v>
      </c>
      <c r="R501">
        <v>2.3030434782608689</v>
      </c>
      <c r="S501">
        <f t="shared" si="16"/>
        <v>2.1894565217391309</v>
      </c>
      <c r="T501">
        <v>35.029130434782608</v>
      </c>
      <c r="U501">
        <v>214.11092421360561</v>
      </c>
      <c r="V501">
        <v>337.04386299976102</v>
      </c>
      <c r="W501">
        <v>86.951568603515625</v>
      </c>
      <c r="X501">
        <v>63.504676818847656</v>
      </c>
      <c r="Y501">
        <v>112.49906158447266</v>
      </c>
      <c r="Z501">
        <v>1.8735714256763458E-2</v>
      </c>
    </row>
    <row r="502" spans="1:26" x14ac:dyDescent="0.2">
      <c r="A502" s="1">
        <v>40787</v>
      </c>
      <c r="B502" s="1">
        <v>40816</v>
      </c>
      <c r="C502">
        <v>72.400000000000006</v>
      </c>
      <c r="D502">
        <v>0.97809999999999997</v>
      </c>
      <c r="E502">
        <v>114.145729760647</v>
      </c>
      <c r="F502">
        <v>113.209246370952</v>
      </c>
      <c r="G502">
        <v>177.2</v>
      </c>
      <c r="H502">
        <v>123.1</v>
      </c>
      <c r="I502">
        <v>110.9</v>
      </c>
      <c r="J502">
        <v>16.27</v>
      </c>
      <c r="K502" s="2">
        <v>4.75</v>
      </c>
      <c r="L502">
        <v>8.4000000000000033E-2</v>
      </c>
      <c r="M502">
        <f t="shared" si="17"/>
        <v>4.6660000000000004</v>
      </c>
      <c r="N502">
        <v>3.5925000000000002</v>
      </c>
      <c r="O502">
        <v>0.21142857142857144</v>
      </c>
      <c r="P502">
        <f t="shared" si="18"/>
        <v>3.3810714285714289</v>
      </c>
      <c r="Q502">
        <v>4.2024999999999997</v>
      </c>
      <c r="R502">
        <v>1.9752380952380955</v>
      </c>
      <c r="S502">
        <f t="shared" si="16"/>
        <v>2.227261904761904</v>
      </c>
      <c r="T502">
        <v>36.530000000000008</v>
      </c>
      <c r="U502">
        <v>193.28092533650329</v>
      </c>
      <c r="V502">
        <v>200.57419156557984</v>
      </c>
      <c r="W502">
        <v>83.350448608398438</v>
      </c>
      <c r="X502">
        <v>70.606689453125</v>
      </c>
      <c r="Y502">
        <v>95.267440795898438</v>
      </c>
      <c r="Z502">
        <v>5.3267046809196472E-2</v>
      </c>
    </row>
    <row r="503" spans="1:26" x14ac:dyDescent="0.2">
      <c r="A503" s="1">
        <v>40817</v>
      </c>
      <c r="B503" s="1">
        <v>40847</v>
      </c>
      <c r="C503">
        <v>76.900000000000006</v>
      </c>
      <c r="D503">
        <v>1.0508999999999999</v>
      </c>
      <c r="E503">
        <v>109.84075562261501</v>
      </c>
      <c r="F503">
        <v>103.930722289749</v>
      </c>
      <c r="G503">
        <v>150.4</v>
      </c>
      <c r="H503">
        <v>119.4</v>
      </c>
      <c r="I503">
        <v>109.5</v>
      </c>
      <c r="J503">
        <v>16.48</v>
      </c>
      <c r="K503" s="2">
        <v>4.75</v>
      </c>
      <c r="L503">
        <v>7.0645161290322611E-2</v>
      </c>
      <c r="M503">
        <f t="shared" si="17"/>
        <v>4.6793548387096777</v>
      </c>
      <c r="N503">
        <v>3.7650000000000001</v>
      </c>
      <c r="O503">
        <v>0.28050000000000003</v>
      </c>
      <c r="P503">
        <f t="shared" si="18"/>
        <v>3.4845000000000002</v>
      </c>
      <c r="Q503">
        <v>4.37</v>
      </c>
      <c r="R503">
        <v>2.1519999999999997</v>
      </c>
      <c r="S503">
        <f t="shared" si="16"/>
        <v>2.2180000000000004</v>
      </c>
      <c r="T503">
        <v>32.829047619047621</v>
      </c>
      <c r="U503">
        <v>165.3645547597379</v>
      </c>
      <c r="V503">
        <v>200.2594762872865</v>
      </c>
      <c r="W503">
        <v>76.339935302734375</v>
      </c>
      <c r="X503">
        <v>64.185104370117188</v>
      </c>
      <c r="Y503">
        <v>92.343315124511719</v>
      </c>
      <c r="Z503">
        <v>5.6189641356468201E-2</v>
      </c>
    </row>
    <row r="504" spans="1:26" x14ac:dyDescent="0.2">
      <c r="A504" s="1">
        <v>40848</v>
      </c>
      <c r="B504" s="1">
        <v>40877</v>
      </c>
      <c r="C504">
        <v>74.599999999999994</v>
      </c>
      <c r="D504">
        <v>1.0021</v>
      </c>
      <c r="E504">
        <v>104.952568226408</v>
      </c>
      <c r="F504">
        <v>99.300740746603793</v>
      </c>
      <c r="G504">
        <v>135.5</v>
      </c>
      <c r="H504">
        <v>113.8</v>
      </c>
      <c r="I504">
        <v>110.5</v>
      </c>
      <c r="J504">
        <v>16.78</v>
      </c>
      <c r="K504" s="2">
        <v>4.5129999999999999</v>
      </c>
      <c r="L504">
        <v>8.1000000000000016E-2</v>
      </c>
      <c r="M504">
        <f t="shared" si="17"/>
        <v>4.4319999999999995</v>
      </c>
      <c r="N504">
        <v>3.3825000000000003</v>
      </c>
      <c r="O504">
        <v>0.25349999999999995</v>
      </c>
      <c r="P504">
        <f t="shared" si="18"/>
        <v>3.1290000000000004</v>
      </c>
      <c r="Q504">
        <v>4.0825000000000005</v>
      </c>
      <c r="R504">
        <v>2.0134999999999996</v>
      </c>
      <c r="S504">
        <f t="shared" si="16"/>
        <v>2.0690000000000008</v>
      </c>
      <c r="T504">
        <v>31.941904761904759</v>
      </c>
      <c r="U504">
        <v>190.83236397015261</v>
      </c>
      <c r="V504">
        <v>287.16836022129678</v>
      </c>
      <c r="W504">
        <v>83.157676696777344</v>
      </c>
      <c r="X504">
        <v>95.574531555175781</v>
      </c>
      <c r="Y504">
        <v>70.110038757324219</v>
      </c>
      <c r="Z504">
        <v>0.10674257576465607</v>
      </c>
    </row>
    <row r="505" spans="1:26" x14ac:dyDescent="0.2">
      <c r="A505" s="1">
        <v>40878</v>
      </c>
      <c r="B505" s="1">
        <v>40907</v>
      </c>
      <c r="C505">
        <v>75.8</v>
      </c>
      <c r="D505">
        <v>1.0156000000000001</v>
      </c>
      <c r="E505">
        <v>102.945669077389</v>
      </c>
      <c r="F505">
        <v>98.362025612333994</v>
      </c>
      <c r="G505">
        <v>136.4</v>
      </c>
      <c r="H505">
        <v>111.6</v>
      </c>
      <c r="I505">
        <v>107.9</v>
      </c>
      <c r="J505">
        <v>16.48</v>
      </c>
      <c r="K505" s="2">
        <v>4.3</v>
      </c>
      <c r="L505">
        <v>7.161290322580649E-2</v>
      </c>
      <c r="M505">
        <f t="shared" si="17"/>
        <v>4.2283870967741937</v>
      </c>
      <c r="N505">
        <v>3.1274999999999999</v>
      </c>
      <c r="O505">
        <v>0.25714285714285723</v>
      </c>
      <c r="P505">
        <f t="shared" si="18"/>
        <v>2.8703571428571428</v>
      </c>
      <c r="Q505">
        <v>3.8250000000000002</v>
      </c>
      <c r="R505">
        <v>1.9780952380952384</v>
      </c>
      <c r="S505">
        <f t="shared" si="16"/>
        <v>1.8469047619047618</v>
      </c>
      <c r="T505">
        <v>25.047619047619055</v>
      </c>
      <c r="U505">
        <v>176.19000037599281</v>
      </c>
      <c r="V505">
        <v>218.74685479388108</v>
      </c>
      <c r="W505">
        <v>85.341323852539062</v>
      </c>
      <c r="X505">
        <v>88.894081115722656</v>
      </c>
      <c r="Y505">
        <v>77.476478576660156</v>
      </c>
      <c r="Z505">
        <v>3.8034383207559586E-2</v>
      </c>
    </row>
    <row r="506" spans="1:26" x14ac:dyDescent="0.2">
      <c r="A506" s="1">
        <v>40909</v>
      </c>
      <c r="B506" s="1">
        <v>40939</v>
      </c>
      <c r="C506">
        <v>77.900000000000006</v>
      </c>
      <c r="D506">
        <v>1.0637000000000001</v>
      </c>
      <c r="E506">
        <v>103.22409145663801</v>
      </c>
      <c r="F506">
        <v>101.134495961792</v>
      </c>
      <c r="G506">
        <v>140.30000000000001</v>
      </c>
      <c r="H506">
        <v>116.5</v>
      </c>
      <c r="I506">
        <v>111.2</v>
      </c>
      <c r="J506">
        <v>16.71</v>
      </c>
      <c r="K506" s="2">
        <v>4.25</v>
      </c>
      <c r="L506">
        <v>8.1935483870967746E-2</v>
      </c>
      <c r="M506">
        <f t="shared" si="17"/>
        <v>4.1680645161290322</v>
      </c>
      <c r="N506">
        <v>3.2524999999999999</v>
      </c>
      <c r="O506">
        <v>0.24049999999999999</v>
      </c>
      <c r="P506">
        <f t="shared" si="18"/>
        <v>3.012</v>
      </c>
      <c r="Q506">
        <v>3.7949999999999999</v>
      </c>
      <c r="R506">
        <v>1.9664999999999995</v>
      </c>
      <c r="S506">
        <f t="shared" si="16"/>
        <v>1.8285000000000005</v>
      </c>
      <c r="T506">
        <v>20.228000000000002</v>
      </c>
      <c r="U506">
        <v>153.43600955634031</v>
      </c>
      <c r="V506">
        <v>140.26635776760406</v>
      </c>
      <c r="W506">
        <v>79.634971618652344</v>
      </c>
      <c r="X506">
        <v>93.609596252441406</v>
      </c>
      <c r="Y506">
        <v>62.068431854248047</v>
      </c>
      <c r="Z506">
        <v>7.4294202029705048E-2</v>
      </c>
    </row>
    <row r="507" spans="1:26" x14ac:dyDescent="0.2">
      <c r="A507" s="1">
        <v>40940</v>
      </c>
      <c r="B507" s="1">
        <v>40968</v>
      </c>
      <c r="C507">
        <v>79.2</v>
      </c>
      <c r="D507">
        <v>1.0815999999999999</v>
      </c>
      <c r="E507">
        <v>103.378124921975</v>
      </c>
      <c r="F507">
        <v>102.182481356054</v>
      </c>
      <c r="G507">
        <v>140.4</v>
      </c>
      <c r="H507">
        <v>117</v>
      </c>
      <c r="I507">
        <v>119.7</v>
      </c>
      <c r="J507">
        <v>16.03</v>
      </c>
      <c r="K507" s="2">
        <v>4.25</v>
      </c>
      <c r="L507">
        <v>0.10379310344827587</v>
      </c>
      <c r="M507">
        <f t="shared" si="17"/>
        <v>4.1462068965517238</v>
      </c>
      <c r="N507">
        <v>3.5375000000000001</v>
      </c>
      <c r="O507">
        <v>0.27799999999999991</v>
      </c>
      <c r="P507">
        <f t="shared" si="18"/>
        <v>3.2595000000000001</v>
      </c>
      <c r="Q507">
        <v>3.97</v>
      </c>
      <c r="R507">
        <v>1.9674999999999998</v>
      </c>
      <c r="S507">
        <f t="shared" si="16"/>
        <v>2.0025000000000004</v>
      </c>
      <c r="T507">
        <v>18.420499999999997</v>
      </c>
      <c r="U507">
        <v>139.79032105747521</v>
      </c>
      <c r="V507">
        <v>227.51042267389278</v>
      </c>
      <c r="W507">
        <v>92.445823669433594</v>
      </c>
      <c r="X507">
        <v>104.20749664306641</v>
      </c>
      <c r="Y507">
        <v>78.599861145019531</v>
      </c>
      <c r="Z507">
        <v>5.7131975889205933E-2</v>
      </c>
    </row>
    <row r="508" spans="1:26" x14ac:dyDescent="0.2">
      <c r="A508" s="1">
        <v>40969</v>
      </c>
      <c r="B508" s="1">
        <v>40998</v>
      </c>
      <c r="C508">
        <v>76.900000000000006</v>
      </c>
      <c r="D508">
        <v>1.0402</v>
      </c>
      <c r="E508">
        <v>104.724707996532</v>
      </c>
      <c r="F508">
        <v>102.9111401065</v>
      </c>
      <c r="G508">
        <v>144.69999999999999</v>
      </c>
      <c r="H508">
        <v>107.5</v>
      </c>
      <c r="I508">
        <v>124.9</v>
      </c>
      <c r="J508">
        <v>16.34</v>
      </c>
      <c r="K508" s="2">
        <v>4.25</v>
      </c>
      <c r="L508">
        <v>0.12677419354838709</v>
      </c>
      <c r="M508">
        <f t="shared" si="17"/>
        <v>4.1232258064516127</v>
      </c>
      <c r="N508">
        <v>3.66</v>
      </c>
      <c r="O508">
        <v>0.3445454545454546</v>
      </c>
      <c r="P508">
        <f t="shared" si="18"/>
        <v>3.3154545454545454</v>
      </c>
      <c r="Q508">
        <v>4.1500000000000004</v>
      </c>
      <c r="R508">
        <v>2.1727272727272724</v>
      </c>
      <c r="S508">
        <f t="shared" si="16"/>
        <v>1.977272727272728</v>
      </c>
      <c r="T508">
        <v>16.167272727272728</v>
      </c>
      <c r="U508">
        <v>131.12356620169359</v>
      </c>
      <c r="V508">
        <v>134.0201959989223</v>
      </c>
      <c r="W508">
        <v>88.759979248046875</v>
      </c>
      <c r="X508">
        <v>87.856483459472656</v>
      </c>
      <c r="Y508">
        <v>85.856986999511719</v>
      </c>
      <c r="Z508">
        <v>6.2073245644569397E-2</v>
      </c>
    </row>
    <row r="509" spans="1:26" x14ac:dyDescent="0.2">
      <c r="A509" s="1">
        <v>41000</v>
      </c>
      <c r="B509" s="1">
        <v>41029</v>
      </c>
      <c r="C509">
        <v>77</v>
      </c>
      <c r="D509">
        <v>1.0452999999999999</v>
      </c>
      <c r="E509">
        <v>102.218889039248</v>
      </c>
      <c r="F509">
        <v>101.50649440693699</v>
      </c>
      <c r="G509">
        <v>147.6</v>
      </c>
      <c r="H509">
        <v>103.6</v>
      </c>
      <c r="I509">
        <v>120.5</v>
      </c>
      <c r="J509">
        <v>16.850000000000001</v>
      </c>
      <c r="K509" s="2">
        <v>4.25</v>
      </c>
      <c r="L509">
        <v>0.13933333333333334</v>
      </c>
      <c r="M509">
        <f t="shared" si="17"/>
        <v>4.1106666666666669</v>
      </c>
      <c r="N509">
        <v>3.2475000000000001</v>
      </c>
      <c r="O509">
        <v>0.29190476190476183</v>
      </c>
      <c r="P509">
        <f t="shared" si="18"/>
        <v>2.9555952380952384</v>
      </c>
      <c r="Q509">
        <v>3.8574999999999999</v>
      </c>
      <c r="R509">
        <v>2.0528571428571425</v>
      </c>
      <c r="S509">
        <f t="shared" si="16"/>
        <v>1.8046428571428574</v>
      </c>
      <c r="T509">
        <v>17.823</v>
      </c>
      <c r="U509">
        <v>128.08612603164329</v>
      </c>
      <c r="V509">
        <v>127.21565065934213</v>
      </c>
      <c r="W509">
        <v>96.016685485839844</v>
      </c>
      <c r="X509">
        <v>101.92078399658203</v>
      </c>
      <c r="Y509">
        <v>86.384368896484375</v>
      </c>
      <c r="Z509">
        <v>9.8653003573417664E-2</v>
      </c>
    </row>
    <row r="510" spans="1:26" x14ac:dyDescent="0.2">
      <c r="A510" s="1">
        <v>41030</v>
      </c>
      <c r="B510" s="1">
        <v>41060</v>
      </c>
      <c r="C510">
        <v>73.599999999999994</v>
      </c>
      <c r="D510">
        <v>0.97270000000000001</v>
      </c>
      <c r="E510">
        <v>101.058311148947</v>
      </c>
      <c r="F510">
        <v>98.669219615249801</v>
      </c>
      <c r="G510">
        <v>136.6</v>
      </c>
      <c r="H510">
        <v>95.8</v>
      </c>
      <c r="I510">
        <v>110.5</v>
      </c>
      <c r="J510">
        <v>17.12</v>
      </c>
      <c r="K510" s="2">
        <v>3.7730000000000001</v>
      </c>
      <c r="L510">
        <v>0.1558064516129033</v>
      </c>
      <c r="M510">
        <f t="shared" si="17"/>
        <v>3.6171935483870969</v>
      </c>
      <c r="N510">
        <v>2.605</v>
      </c>
      <c r="O510">
        <v>0.28499999999999998</v>
      </c>
      <c r="P510">
        <f t="shared" si="18"/>
        <v>2.3199999999999998</v>
      </c>
      <c r="Q510">
        <v>3.2774999999999999</v>
      </c>
      <c r="R510">
        <v>1.8031818181818189</v>
      </c>
      <c r="S510">
        <f t="shared" si="16"/>
        <v>1.474318181818181</v>
      </c>
      <c r="T510">
        <v>21.001818181818184</v>
      </c>
      <c r="U510">
        <v>157.8596587429337</v>
      </c>
      <c r="V510">
        <v>244.48985882172903</v>
      </c>
      <c r="W510">
        <v>78.171157836914062</v>
      </c>
      <c r="X510">
        <v>80.6348876953125</v>
      </c>
      <c r="Y510">
        <v>69.743545532226562</v>
      </c>
      <c r="Z510">
        <v>6.5028898417949677E-2</v>
      </c>
    </row>
    <row r="511" spans="1:26" x14ac:dyDescent="0.2">
      <c r="A511" s="1">
        <v>41061</v>
      </c>
      <c r="B511" s="1">
        <v>41089</v>
      </c>
      <c r="C511">
        <v>76.5</v>
      </c>
      <c r="D511">
        <v>1.0190999999999999</v>
      </c>
      <c r="E511">
        <v>99.506199997418506</v>
      </c>
      <c r="F511">
        <v>98.338875113543494</v>
      </c>
      <c r="G511">
        <v>134.69999999999999</v>
      </c>
      <c r="H511">
        <v>87.2</v>
      </c>
      <c r="I511">
        <v>95.6</v>
      </c>
      <c r="J511">
        <v>17.2</v>
      </c>
      <c r="K511" s="2">
        <v>3.5379999999999998</v>
      </c>
      <c r="L511">
        <v>0.16166666666666668</v>
      </c>
      <c r="M511">
        <f t="shared" si="17"/>
        <v>3.3763333333333332</v>
      </c>
      <c r="N511">
        <v>2.4</v>
      </c>
      <c r="O511">
        <v>0.29190476190476178</v>
      </c>
      <c r="P511">
        <f t="shared" si="18"/>
        <v>2.1080952380952382</v>
      </c>
      <c r="Q511">
        <v>2.9950000000000001</v>
      </c>
      <c r="R511">
        <v>1.6223809523809525</v>
      </c>
      <c r="S511">
        <f t="shared" si="16"/>
        <v>1.3726190476190476</v>
      </c>
      <c r="T511">
        <v>21.13095238095238</v>
      </c>
      <c r="U511">
        <v>181.59106190060001</v>
      </c>
      <c r="V511">
        <v>236.63801800385235</v>
      </c>
      <c r="W511">
        <v>77.822433471679688</v>
      </c>
      <c r="X511">
        <v>70.232162475585938</v>
      </c>
      <c r="Y511">
        <v>82.174736022949219</v>
      </c>
      <c r="Z511">
        <v>4.86290343105793E-2</v>
      </c>
    </row>
    <row r="512" spans="1:26" x14ac:dyDescent="0.2">
      <c r="A512" s="1">
        <v>41091</v>
      </c>
      <c r="B512" s="1">
        <v>41121</v>
      </c>
      <c r="C512">
        <v>78.900000000000006</v>
      </c>
      <c r="D512">
        <v>1.0526</v>
      </c>
      <c r="E512">
        <v>99.457474404973198</v>
      </c>
      <c r="F512">
        <v>97.392601686202795</v>
      </c>
      <c r="G512">
        <v>127.9</v>
      </c>
      <c r="H512">
        <v>88.2</v>
      </c>
      <c r="I512">
        <v>103.1</v>
      </c>
      <c r="J512">
        <v>18.11</v>
      </c>
      <c r="K512" s="2">
        <v>3.5</v>
      </c>
      <c r="L512">
        <v>0.15645161290322573</v>
      </c>
      <c r="M512">
        <f t="shared" si="17"/>
        <v>3.3435483870967744</v>
      </c>
      <c r="N512">
        <v>2.44</v>
      </c>
      <c r="O512">
        <v>0.24809523809523817</v>
      </c>
      <c r="P512">
        <f t="shared" si="18"/>
        <v>2.1919047619047616</v>
      </c>
      <c r="Q512">
        <v>2.8875000000000002</v>
      </c>
      <c r="R512">
        <v>1.5266666666666664</v>
      </c>
      <c r="S512">
        <f t="shared" si="16"/>
        <v>1.3608333333333338</v>
      </c>
      <c r="T512">
        <v>17.565238095238097</v>
      </c>
      <c r="U512">
        <v>149.97816894996731</v>
      </c>
      <c r="V512">
        <v>162.61575945048398</v>
      </c>
      <c r="W512">
        <v>82.808021545410156</v>
      </c>
      <c r="X512">
        <v>79.336265563964844</v>
      </c>
      <c r="Y512">
        <v>91.000801086425781</v>
      </c>
      <c r="Z512">
        <v>4.2358197271823883E-2</v>
      </c>
    </row>
    <row r="513" spans="1:26" x14ac:dyDescent="0.2">
      <c r="A513" s="1">
        <v>41122</v>
      </c>
      <c r="B513" s="1">
        <v>41152</v>
      </c>
      <c r="C513">
        <v>77</v>
      </c>
      <c r="D513">
        <v>1.0301</v>
      </c>
      <c r="E513">
        <v>96.487367785248097</v>
      </c>
      <c r="F513">
        <v>89.422361409460507</v>
      </c>
      <c r="G513">
        <v>107.5</v>
      </c>
      <c r="H513">
        <v>91</v>
      </c>
      <c r="I513">
        <v>113.3</v>
      </c>
      <c r="J513">
        <v>17.739999999999998</v>
      </c>
      <c r="K513" s="2">
        <v>3.5</v>
      </c>
      <c r="L513">
        <v>0.13225806451612895</v>
      </c>
      <c r="M513">
        <f t="shared" si="17"/>
        <v>3.3677419354838709</v>
      </c>
      <c r="N513">
        <v>2.8574999999999999</v>
      </c>
      <c r="O513">
        <v>0.268695652173913</v>
      </c>
      <c r="P513">
        <f t="shared" si="18"/>
        <v>2.5888043478260867</v>
      </c>
      <c r="Q513">
        <v>3.1875</v>
      </c>
      <c r="R513">
        <v>1.6782608695652175</v>
      </c>
      <c r="S513">
        <f t="shared" si="16"/>
        <v>1.5092391304347825</v>
      </c>
      <c r="T513">
        <v>15.689565217391305</v>
      </c>
      <c r="U513">
        <v>116.1715729043119</v>
      </c>
      <c r="V513">
        <v>110.63846362011292</v>
      </c>
      <c r="W513">
        <v>74.87835693359375</v>
      </c>
      <c r="X513">
        <v>70.989158630371094</v>
      </c>
      <c r="Y513">
        <v>78.111618041992188</v>
      </c>
      <c r="Z513">
        <v>4.8579968512058258E-2</v>
      </c>
    </row>
    <row r="514" spans="1:26" x14ac:dyDescent="0.2">
      <c r="A514" s="1">
        <v>41153</v>
      </c>
      <c r="B514" s="1">
        <v>41180</v>
      </c>
      <c r="C514">
        <v>76.900000000000006</v>
      </c>
      <c r="D514">
        <v>1.0464</v>
      </c>
      <c r="E514">
        <v>89.824638438942699</v>
      </c>
      <c r="F514">
        <v>84.415311239153198</v>
      </c>
      <c r="G514">
        <v>99.5</v>
      </c>
      <c r="H514">
        <v>89</v>
      </c>
      <c r="I514">
        <v>113.4</v>
      </c>
      <c r="J514">
        <v>16.829999999999998</v>
      </c>
      <c r="K514" s="2">
        <v>3.5</v>
      </c>
      <c r="L514">
        <v>0.14433333333333331</v>
      </c>
      <c r="M514">
        <f t="shared" si="17"/>
        <v>3.3556666666666666</v>
      </c>
      <c r="N514">
        <v>2.6875</v>
      </c>
      <c r="O514">
        <v>0.2552631578947368</v>
      </c>
      <c r="P514">
        <f t="shared" si="18"/>
        <v>2.4322368421052634</v>
      </c>
      <c r="Q514">
        <v>3.0925000000000002</v>
      </c>
      <c r="R514">
        <v>1.7231578947368422</v>
      </c>
      <c r="S514">
        <f t="shared" si="16"/>
        <v>1.369342105263158</v>
      </c>
      <c r="T514">
        <v>15.284736842105261</v>
      </c>
      <c r="U514">
        <v>151.5081051920763</v>
      </c>
      <c r="V514">
        <v>126.69681770251783</v>
      </c>
      <c r="W514">
        <v>69.280509948730469</v>
      </c>
      <c r="X514">
        <v>68.402824401855469</v>
      </c>
      <c r="Y514">
        <v>65.871261596679688</v>
      </c>
      <c r="Z514">
        <v>7.696254551410675E-2</v>
      </c>
    </row>
    <row r="515" spans="1:26" x14ac:dyDescent="0.2">
      <c r="A515" s="1">
        <v>41183</v>
      </c>
      <c r="B515" s="1">
        <v>41213</v>
      </c>
      <c r="C515">
        <v>76.5</v>
      </c>
      <c r="D515">
        <v>1.0378000000000001</v>
      </c>
      <c r="E515">
        <v>87.13044777959</v>
      </c>
      <c r="F515">
        <v>85.848161072285393</v>
      </c>
      <c r="G515">
        <v>114</v>
      </c>
      <c r="H515">
        <v>81.900000000000006</v>
      </c>
      <c r="I515">
        <v>112</v>
      </c>
      <c r="J515">
        <v>15.3</v>
      </c>
      <c r="K515" s="2">
        <v>3.2730000000000001</v>
      </c>
      <c r="L515">
        <v>0.15838709677419355</v>
      </c>
      <c r="M515">
        <f t="shared" si="17"/>
        <v>3.1146129032258068</v>
      </c>
      <c r="N515">
        <v>2.5024999999999999</v>
      </c>
      <c r="O515">
        <v>0.27714285714285708</v>
      </c>
      <c r="P515">
        <f t="shared" si="18"/>
        <v>2.2253571428571428</v>
      </c>
      <c r="Q515">
        <v>3.0225</v>
      </c>
      <c r="R515">
        <v>1.7461904761904758</v>
      </c>
      <c r="S515">
        <f t="shared" ref="S515:S578" si="19">Q515-R515</f>
        <v>1.2763095238095241</v>
      </c>
      <c r="T515">
        <v>16.276190476190479</v>
      </c>
      <c r="U515">
        <v>149.62433304877541</v>
      </c>
      <c r="V515">
        <v>178.72057897284398</v>
      </c>
      <c r="W515">
        <v>81.663665771484375</v>
      </c>
      <c r="X515">
        <v>74.206008911132812</v>
      </c>
      <c r="Y515">
        <v>88.030899047851562</v>
      </c>
      <c r="Z515">
        <v>6.2805302441120148E-2</v>
      </c>
    </row>
    <row r="516" spans="1:26" x14ac:dyDescent="0.2">
      <c r="A516" s="1">
        <v>41214</v>
      </c>
      <c r="B516" s="1">
        <v>41243</v>
      </c>
      <c r="C516">
        <v>77.2</v>
      </c>
      <c r="D516">
        <v>1.0430999999999999</v>
      </c>
      <c r="E516">
        <v>88.637999626890604</v>
      </c>
      <c r="F516">
        <v>88.662132135036899</v>
      </c>
      <c r="G516">
        <v>120.4</v>
      </c>
      <c r="H516">
        <v>85.9</v>
      </c>
      <c r="I516">
        <v>109.7</v>
      </c>
      <c r="J516">
        <v>15</v>
      </c>
      <c r="K516" s="2">
        <v>3.25</v>
      </c>
      <c r="L516">
        <v>0.16066666666666674</v>
      </c>
      <c r="M516">
        <f t="shared" si="17"/>
        <v>3.0893333333333333</v>
      </c>
      <c r="N516">
        <v>2.6750000000000003</v>
      </c>
      <c r="O516">
        <v>0.26799999999999996</v>
      </c>
      <c r="P516">
        <f t="shared" si="18"/>
        <v>2.4070000000000005</v>
      </c>
      <c r="Q516">
        <v>3.0874999999999999</v>
      </c>
      <c r="R516">
        <v>1.6539999999999999</v>
      </c>
      <c r="S516">
        <f t="shared" si="19"/>
        <v>1.4335</v>
      </c>
      <c r="T516">
        <v>16.701904761904764</v>
      </c>
      <c r="U516">
        <v>163.33578321068731</v>
      </c>
      <c r="V516">
        <v>115.9304336302045</v>
      </c>
      <c r="W516">
        <v>81.389640808105469</v>
      </c>
      <c r="X516">
        <v>75.658462524414062</v>
      </c>
      <c r="Y516">
        <v>89.048416137695312</v>
      </c>
      <c r="Z516">
        <v>6.3868291676044464E-2</v>
      </c>
    </row>
    <row r="517" spans="1:26" x14ac:dyDescent="0.2">
      <c r="A517" s="1">
        <v>41244</v>
      </c>
      <c r="B517" s="1">
        <v>41274</v>
      </c>
      <c r="C517">
        <v>77.099999999999994</v>
      </c>
      <c r="D517">
        <v>1.0384</v>
      </c>
      <c r="E517">
        <v>89.025822624398103</v>
      </c>
      <c r="F517">
        <v>92.2959597606431</v>
      </c>
      <c r="G517">
        <v>128.5</v>
      </c>
      <c r="H517">
        <v>92.9</v>
      </c>
      <c r="I517">
        <v>109.7</v>
      </c>
      <c r="J517">
        <v>15.41</v>
      </c>
      <c r="K517" s="2">
        <v>3.028</v>
      </c>
      <c r="L517">
        <v>0.16451612903225801</v>
      </c>
      <c r="M517">
        <f t="shared" si="17"/>
        <v>2.8634838709677419</v>
      </c>
      <c r="N517">
        <v>2.6949999999999998</v>
      </c>
      <c r="O517">
        <v>0.25700000000000001</v>
      </c>
      <c r="P517">
        <f t="shared" si="18"/>
        <v>2.4379999999999997</v>
      </c>
      <c r="Q517">
        <v>3.2275</v>
      </c>
      <c r="R517">
        <v>1.7189999999999999</v>
      </c>
      <c r="S517">
        <f t="shared" si="19"/>
        <v>1.5085000000000002</v>
      </c>
      <c r="T517">
        <v>17.307000000000006</v>
      </c>
      <c r="U517">
        <v>168.13216148118141</v>
      </c>
      <c r="V517">
        <v>193.35743268300766</v>
      </c>
      <c r="W517">
        <v>74.831558227539062</v>
      </c>
      <c r="X517">
        <v>66.240524291992188</v>
      </c>
      <c r="Y517">
        <v>82.978614807128906</v>
      </c>
      <c r="Z517">
        <v>4.2715128511190414E-2</v>
      </c>
    </row>
    <row r="518" spans="1:26" x14ac:dyDescent="0.2">
      <c r="A518" s="1">
        <v>41275</v>
      </c>
      <c r="B518" s="1">
        <v>41305</v>
      </c>
      <c r="C518">
        <v>77.7</v>
      </c>
      <c r="D518">
        <v>1.0394000000000001</v>
      </c>
      <c r="E518">
        <v>94.293793522198001</v>
      </c>
      <c r="F518">
        <v>98.584131008144894</v>
      </c>
      <c r="G518">
        <v>150.5</v>
      </c>
      <c r="H518">
        <v>92.8</v>
      </c>
      <c r="I518">
        <v>113</v>
      </c>
      <c r="J518">
        <v>15.89</v>
      </c>
      <c r="K518" s="2">
        <v>3</v>
      </c>
      <c r="L518">
        <v>0.14258064516129038</v>
      </c>
      <c r="M518">
        <f t="shared" si="17"/>
        <v>2.8574193548387097</v>
      </c>
      <c r="N518">
        <v>2.7450000000000001</v>
      </c>
      <c r="O518">
        <v>0.26523809523809516</v>
      </c>
      <c r="P518">
        <f t="shared" si="18"/>
        <v>2.4797619047619048</v>
      </c>
      <c r="Q518">
        <v>3.3975</v>
      </c>
      <c r="R518">
        <v>1.9147619047619049</v>
      </c>
      <c r="S518">
        <f t="shared" si="19"/>
        <v>1.4827380952380951</v>
      </c>
      <c r="T518">
        <v>13.505238095238093</v>
      </c>
      <c r="U518">
        <v>165.0466980443021</v>
      </c>
      <c r="V518">
        <v>110.67232503314315</v>
      </c>
      <c r="W518">
        <v>90.657493591308594</v>
      </c>
      <c r="X518">
        <v>84.139892578125</v>
      </c>
      <c r="Y518">
        <v>108.94931793212891</v>
      </c>
      <c r="Z518">
        <v>5.5043850094079971E-2</v>
      </c>
    </row>
    <row r="519" spans="1:26" x14ac:dyDescent="0.2">
      <c r="A519" s="1">
        <v>41306</v>
      </c>
      <c r="B519" s="1">
        <v>41333</v>
      </c>
      <c r="C519">
        <v>77.400000000000006</v>
      </c>
      <c r="D519">
        <v>1.0275000000000001</v>
      </c>
      <c r="E519">
        <v>96.419833987107296</v>
      </c>
      <c r="F519">
        <v>100.925861822138</v>
      </c>
      <c r="G519">
        <v>154.6</v>
      </c>
      <c r="H519">
        <v>94.9</v>
      </c>
      <c r="I519">
        <v>116.5</v>
      </c>
      <c r="J519">
        <v>16.47</v>
      </c>
      <c r="K519" s="2">
        <v>3</v>
      </c>
      <c r="L519">
        <v>0.14500000000000005</v>
      </c>
      <c r="M519">
        <f t="shared" si="17"/>
        <v>2.855</v>
      </c>
      <c r="N519">
        <v>2.7675000000000001</v>
      </c>
      <c r="O519">
        <v>0.26736842105263159</v>
      </c>
      <c r="P519">
        <f t="shared" si="18"/>
        <v>2.5001315789473684</v>
      </c>
      <c r="Q519">
        <v>3.4975000000000001</v>
      </c>
      <c r="R519">
        <v>1.9842105263157896</v>
      </c>
      <c r="S519">
        <f t="shared" si="19"/>
        <v>1.5132894736842104</v>
      </c>
      <c r="T519">
        <v>14.072631578947368</v>
      </c>
      <c r="U519">
        <v>121.0860968262829</v>
      </c>
      <c r="V519">
        <v>98.201680790163408</v>
      </c>
      <c r="W519">
        <v>81.59033203125</v>
      </c>
      <c r="X519">
        <v>77.605316162109375</v>
      </c>
      <c r="Y519">
        <v>85.658172607421875</v>
      </c>
      <c r="Z519">
        <v>5.1312413066625595E-2</v>
      </c>
    </row>
    <row r="520" spans="1:26" x14ac:dyDescent="0.2">
      <c r="A520" s="1">
        <v>41334</v>
      </c>
      <c r="B520" s="1">
        <v>41362</v>
      </c>
      <c r="C520">
        <v>79.099999999999994</v>
      </c>
      <c r="D520">
        <v>1.0426</v>
      </c>
      <c r="E520">
        <v>96.160141061545005</v>
      </c>
      <c r="F520">
        <v>96.905135405098207</v>
      </c>
      <c r="G520">
        <v>139.9</v>
      </c>
      <c r="H520">
        <v>91</v>
      </c>
      <c r="I520">
        <v>109.2</v>
      </c>
      <c r="J520">
        <v>16.27</v>
      </c>
      <c r="K520" s="2">
        <v>3</v>
      </c>
      <c r="L520">
        <v>0.14354838709677417</v>
      </c>
      <c r="M520">
        <f t="shared" si="17"/>
        <v>2.8564516129032258</v>
      </c>
      <c r="N520">
        <v>2.8824999999999998</v>
      </c>
      <c r="O520">
        <v>0.25600000000000001</v>
      </c>
      <c r="P520">
        <f t="shared" si="18"/>
        <v>2.6265000000000001</v>
      </c>
      <c r="Q520">
        <v>3.5125000000000002</v>
      </c>
      <c r="R520">
        <v>1.9575</v>
      </c>
      <c r="S520">
        <f t="shared" si="19"/>
        <v>1.5550000000000002</v>
      </c>
      <c r="T520">
        <v>13.031500000000003</v>
      </c>
      <c r="U520">
        <v>143.04366826807899</v>
      </c>
      <c r="V520">
        <v>81.992574275637239</v>
      </c>
      <c r="W520">
        <v>75.896720886230469</v>
      </c>
      <c r="X520">
        <v>81.891754150390625</v>
      </c>
      <c r="Y520">
        <v>69.396812438964844</v>
      </c>
      <c r="Z520">
        <v>5.3187716752290726E-2</v>
      </c>
    </row>
    <row r="521" spans="1:26" x14ac:dyDescent="0.2">
      <c r="A521" s="1">
        <v>41365</v>
      </c>
      <c r="B521" s="1">
        <v>41394</v>
      </c>
      <c r="C521">
        <v>78.400000000000006</v>
      </c>
      <c r="D521">
        <v>1.0367999999999999</v>
      </c>
      <c r="E521">
        <v>95.113428539865794</v>
      </c>
      <c r="F521">
        <v>93.863711733102093</v>
      </c>
      <c r="G521">
        <v>137.4</v>
      </c>
      <c r="H521">
        <v>87.8</v>
      </c>
      <c r="I521">
        <v>102.9</v>
      </c>
      <c r="J521">
        <v>16.2</v>
      </c>
      <c r="K521" s="2">
        <v>3</v>
      </c>
      <c r="L521">
        <v>0.14499999999999993</v>
      </c>
      <c r="M521">
        <f t="shared" si="17"/>
        <v>2.855</v>
      </c>
      <c r="N521">
        <v>2.7375000000000003</v>
      </c>
      <c r="O521">
        <v>0.23227272727272738</v>
      </c>
      <c r="P521">
        <f t="shared" si="18"/>
        <v>2.5052272727272729</v>
      </c>
      <c r="Q521">
        <v>3.2450000000000001</v>
      </c>
      <c r="R521">
        <v>1.7590909090909093</v>
      </c>
      <c r="S521">
        <f t="shared" si="19"/>
        <v>1.4859090909090908</v>
      </c>
      <c r="T521">
        <v>13.967272727272727</v>
      </c>
      <c r="U521">
        <v>134.1297587930149</v>
      </c>
      <c r="V521">
        <v>106.78863091031923</v>
      </c>
      <c r="W521">
        <v>95.107872009277344</v>
      </c>
      <c r="X521">
        <v>99.521949768066406</v>
      </c>
      <c r="Y521">
        <v>87.472755432128906</v>
      </c>
      <c r="Z521">
        <v>8.2359984517097473E-2</v>
      </c>
    </row>
    <row r="522" spans="1:26" x14ac:dyDescent="0.2">
      <c r="A522" s="1">
        <v>41395</v>
      </c>
      <c r="B522" s="1">
        <v>41425</v>
      </c>
      <c r="C522">
        <v>74</v>
      </c>
      <c r="D522">
        <v>0.96489999999999998</v>
      </c>
      <c r="E522">
        <v>92.525791351646106</v>
      </c>
      <c r="F522">
        <v>89.496855543636698</v>
      </c>
      <c r="G522">
        <v>124</v>
      </c>
      <c r="H522">
        <v>87.7</v>
      </c>
      <c r="I522">
        <v>103</v>
      </c>
      <c r="J522">
        <v>16.22</v>
      </c>
      <c r="K522" s="2">
        <v>2.8</v>
      </c>
      <c r="L522">
        <v>0.10903225806451612</v>
      </c>
      <c r="M522">
        <f t="shared" si="17"/>
        <v>2.6909677419354838</v>
      </c>
      <c r="N522">
        <v>2.5225</v>
      </c>
      <c r="O522">
        <v>0.25045454545454537</v>
      </c>
      <c r="P522">
        <f t="shared" si="18"/>
        <v>2.2720454545454545</v>
      </c>
      <c r="Q522">
        <v>3.3239999999999998</v>
      </c>
      <c r="R522">
        <v>1.9281818181818182</v>
      </c>
      <c r="S522">
        <f t="shared" si="19"/>
        <v>1.3958181818181816</v>
      </c>
      <c r="T522">
        <v>13.493636363636362</v>
      </c>
      <c r="U522">
        <v>106.1820570512464</v>
      </c>
      <c r="V522">
        <v>161.50036835459917</v>
      </c>
      <c r="W522">
        <v>83.717315673828125</v>
      </c>
      <c r="X522">
        <v>75.3292236328125</v>
      </c>
      <c r="Y522">
        <v>98.227592468261719</v>
      </c>
      <c r="Z522">
        <v>3.9685402065515518E-2</v>
      </c>
    </row>
    <row r="523" spans="1:26" x14ac:dyDescent="0.2">
      <c r="A523" s="1">
        <v>41426</v>
      </c>
      <c r="B523" s="1">
        <v>41453</v>
      </c>
      <c r="C523">
        <v>71.400000000000006</v>
      </c>
      <c r="D523">
        <v>0.92749999999999999</v>
      </c>
      <c r="E523">
        <v>87.474506873806405</v>
      </c>
      <c r="F523">
        <v>84.306076874752407</v>
      </c>
      <c r="G523">
        <v>114.8</v>
      </c>
      <c r="H523">
        <v>82.8</v>
      </c>
      <c r="I523">
        <v>103.1</v>
      </c>
      <c r="J523">
        <v>16.61</v>
      </c>
      <c r="K523" s="2">
        <v>2.75</v>
      </c>
      <c r="L523">
        <v>9.3666666666666662E-2</v>
      </c>
      <c r="M523">
        <f t="shared" ref="M523:M586" si="20">K523-L523</f>
        <v>2.6563333333333334</v>
      </c>
      <c r="N523" s="2">
        <v>2.776842105263158</v>
      </c>
      <c r="O523">
        <v>0.33350000000000002</v>
      </c>
      <c r="P523">
        <f t="shared" si="18"/>
        <v>2.4433421052631581</v>
      </c>
      <c r="Q523">
        <v>3.5550000000000002</v>
      </c>
      <c r="R523">
        <v>2.3000000000000003</v>
      </c>
      <c r="S523">
        <f t="shared" si="19"/>
        <v>1.2549999999999999</v>
      </c>
      <c r="T523">
        <v>17.2715</v>
      </c>
      <c r="U523">
        <v>126.19888063686609</v>
      </c>
      <c r="V523">
        <v>117.86759030696017</v>
      </c>
      <c r="W523">
        <v>82.973007202148438</v>
      </c>
      <c r="X523">
        <v>78.821884155273438</v>
      </c>
      <c r="Y523">
        <v>86.634201049804688</v>
      </c>
      <c r="Z523">
        <v>6.0885116457939148E-2</v>
      </c>
    </row>
    <row r="524" spans="1:26" x14ac:dyDescent="0.2">
      <c r="A524" s="1">
        <v>41456</v>
      </c>
      <c r="B524" s="1">
        <v>41486</v>
      </c>
      <c r="C524">
        <v>69.400000000000006</v>
      </c>
      <c r="D524">
        <v>0.90369999999999995</v>
      </c>
      <c r="E524">
        <v>87.682208368327494</v>
      </c>
      <c r="F524">
        <v>87.636606341391399</v>
      </c>
      <c r="G524">
        <v>127.2</v>
      </c>
      <c r="H524">
        <v>77.3</v>
      </c>
      <c r="I524">
        <v>107.7</v>
      </c>
      <c r="J524">
        <v>16.170000000000002</v>
      </c>
      <c r="K524" s="2">
        <v>2.75</v>
      </c>
      <c r="L524">
        <v>9.2580645161290318E-2</v>
      </c>
      <c r="M524">
        <f t="shared" si="20"/>
        <v>2.6574193548387095</v>
      </c>
      <c r="N524" s="2">
        <v>2.6856521739130437</v>
      </c>
      <c r="O524">
        <v>0.34090909090909088</v>
      </c>
      <c r="P524">
        <f t="shared" si="18"/>
        <v>2.3447430830039528</v>
      </c>
      <c r="Q524">
        <v>3.7719999999999998</v>
      </c>
      <c r="R524">
        <v>2.5822727272727275</v>
      </c>
      <c r="S524">
        <f t="shared" si="19"/>
        <v>1.1897272727272723</v>
      </c>
      <c r="T524">
        <v>13.974545454545451</v>
      </c>
      <c r="U524">
        <v>107.4543164330492</v>
      </c>
      <c r="V524">
        <v>179.2459984063504</v>
      </c>
      <c r="W524">
        <v>73.975814819335938</v>
      </c>
      <c r="X524">
        <v>71.55718994140625</v>
      </c>
      <c r="Y524">
        <v>72.675872802734375</v>
      </c>
      <c r="Z524">
        <v>3.1416900455951691E-2</v>
      </c>
    </row>
    <row r="525" spans="1:26" x14ac:dyDescent="0.2">
      <c r="A525" s="1">
        <v>41487</v>
      </c>
      <c r="B525" s="1">
        <v>41516</v>
      </c>
      <c r="C525">
        <v>69.2</v>
      </c>
      <c r="D525">
        <v>0.89470000000000005</v>
      </c>
      <c r="E525">
        <v>86.879438394732503</v>
      </c>
      <c r="F525">
        <v>88.891472490724595</v>
      </c>
      <c r="G525">
        <v>137.1</v>
      </c>
      <c r="H525">
        <v>77</v>
      </c>
      <c r="I525">
        <v>111</v>
      </c>
      <c r="J525">
        <v>15.6</v>
      </c>
      <c r="K525" s="2">
        <v>2.5499999999999998</v>
      </c>
      <c r="L525">
        <v>8.2903225806451625E-2</v>
      </c>
      <c r="M525">
        <f t="shared" si="20"/>
        <v>2.4670967741935481</v>
      </c>
      <c r="N525" s="2">
        <v>2.4728571428571429</v>
      </c>
      <c r="O525">
        <v>0.35636363636363638</v>
      </c>
      <c r="P525">
        <f t="shared" si="18"/>
        <v>2.1164935064935064</v>
      </c>
      <c r="Q525">
        <v>3.8940000000000001</v>
      </c>
      <c r="R525">
        <v>2.7372727272727273</v>
      </c>
      <c r="S525">
        <f t="shared" si="19"/>
        <v>1.1567272727272728</v>
      </c>
      <c r="T525">
        <v>14.21</v>
      </c>
      <c r="U525">
        <v>118.4234387551392</v>
      </c>
      <c r="V525">
        <v>192.50975388808618</v>
      </c>
      <c r="W525">
        <v>90.956748962402344</v>
      </c>
      <c r="X525">
        <v>80.739578247070312</v>
      </c>
      <c r="Y525">
        <v>106.97908782958984</v>
      </c>
      <c r="Z525">
        <v>5.7394299656152725E-2</v>
      </c>
    </row>
    <row r="526" spans="1:26" x14ac:dyDescent="0.2">
      <c r="A526" s="1">
        <v>41518</v>
      </c>
      <c r="B526" s="1">
        <v>41547</v>
      </c>
      <c r="C526">
        <v>71.2</v>
      </c>
      <c r="D526">
        <v>0.93089999999999995</v>
      </c>
      <c r="E526">
        <v>87.778355862976795</v>
      </c>
      <c r="F526">
        <v>88.329454533978705</v>
      </c>
      <c r="G526">
        <v>134.19999999999999</v>
      </c>
      <c r="H526">
        <v>77.599999999999994</v>
      </c>
      <c r="I526">
        <v>111.6</v>
      </c>
      <c r="J526">
        <v>14.96</v>
      </c>
      <c r="K526" s="2">
        <v>2.5</v>
      </c>
      <c r="L526">
        <v>8.0000000000000029E-2</v>
      </c>
      <c r="M526">
        <f t="shared" si="20"/>
        <v>2.42</v>
      </c>
      <c r="N526">
        <v>2.6880000000000002</v>
      </c>
      <c r="O526">
        <v>0.40399999999999991</v>
      </c>
      <c r="P526">
        <f t="shared" si="18"/>
        <v>2.2840000000000003</v>
      </c>
      <c r="Q526">
        <v>4.0330000000000004</v>
      </c>
      <c r="R526">
        <v>2.8094999999999999</v>
      </c>
      <c r="S526">
        <f t="shared" si="19"/>
        <v>1.2235000000000005</v>
      </c>
      <c r="T526">
        <v>14.691999999999998</v>
      </c>
      <c r="U526">
        <v>136.98547684945751</v>
      </c>
      <c r="V526">
        <v>125.56663944858897</v>
      </c>
      <c r="W526">
        <v>100.45932769775391</v>
      </c>
      <c r="X526">
        <v>100.38423156738281</v>
      </c>
      <c r="Y526">
        <v>100.16348266601562</v>
      </c>
      <c r="Z526">
        <v>8.8509194552898407E-2</v>
      </c>
    </row>
    <row r="527" spans="1:26" x14ac:dyDescent="0.2">
      <c r="A527" s="1">
        <v>41548</v>
      </c>
      <c r="B527" s="1">
        <v>41578</v>
      </c>
      <c r="C527">
        <v>72.099999999999994</v>
      </c>
      <c r="D527">
        <v>0.94899999999999995</v>
      </c>
      <c r="E527">
        <v>86.564844269191397</v>
      </c>
      <c r="F527">
        <v>86.713583562515595</v>
      </c>
      <c r="G527">
        <v>132.6</v>
      </c>
      <c r="H527">
        <v>79.400000000000006</v>
      </c>
      <c r="I527">
        <v>109.5</v>
      </c>
      <c r="J527">
        <v>15.3</v>
      </c>
      <c r="K527" s="2">
        <v>2.5</v>
      </c>
      <c r="L527">
        <v>8.7096774193548415E-2</v>
      </c>
      <c r="M527">
        <f t="shared" si="20"/>
        <v>2.4129032258064518</v>
      </c>
      <c r="N527">
        <v>2.7080000000000002</v>
      </c>
      <c r="O527">
        <v>0.33545454545454539</v>
      </c>
      <c r="P527">
        <f t="shared" si="18"/>
        <v>2.3725454545454547</v>
      </c>
      <c r="Q527">
        <v>4.0090000000000003</v>
      </c>
      <c r="R527">
        <v>2.6159090909090912</v>
      </c>
      <c r="S527">
        <f t="shared" si="19"/>
        <v>1.3930909090909092</v>
      </c>
      <c r="T527">
        <v>15.407826086956518</v>
      </c>
      <c r="U527">
        <v>166.47556683686969</v>
      </c>
      <c r="V527">
        <v>108.58575465228873</v>
      </c>
      <c r="W527">
        <v>72.953117370605469</v>
      </c>
      <c r="X527">
        <v>65.501663208007812</v>
      </c>
      <c r="Y527">
        <v>78.730026245117188</v>
      </c>
      <c r="Z527">
        <v>5.7868275791406631E-2</v>
      </c>
    </row>
    <row r="528" spans="1:26" x14ac:dyDescent="0.2">
      <c r="A528" s="1">
        <v>41579</v>
      </c>
      <c r="B528" s="1">
        <v>41607</v>
      </c>
      <c r="C528">
        <v>69.8</v>
      </c>
      <c r="D528">
        <v>0.90869999999999995</v>
      </c>
      <c r="E528">
        <v>86.339593658501002</v>
      </c>
      <c r="F528">
        <v>88.288919628201896</v>
      </c>
      <c r="G528">
        <v>136.30000000000001</v>
      </c>
      <c r="H528">
        <v>82.3</v>
      </c>
      <c r="I528">
        <v>108.1</v>
      </c>
      <c r="J528">
        <v>15.4</v>
      </c>
      <c r="K528" s="2">
        <v>2.5</v>
      </c>
      <c r="L528">
        <v>8.433333333333333E-2</v>
      </c>
      <c r="M528">
        <f t="shared" si="20"/>
        <v>2.4156666666666666</v>
      </c>
      <c r="N528">
        <v>2.774</v>
      </c>
      <c r="O528">
        <v>0.30368421052631583</v>
      </c>
      <c r="P528">
        <f t="shared" si="18"/>
        <v>2.470315789473684</v>
      </c>
      <c r="Q528">
        <v>4.1749999999999998</v>
      </c>
      <c r="R528">
        <v>2.7184210526315793</v>
      </c>
      <c r="S528">
        <f t="shared" si="19"/>
        <v>1.4565789473684205</v>
      </c>
      <c r="T528">
        <v>12.923999999999998</v>
      </c>
      <c r="U528">
        <v>102.3966064970933</v>
      </c>
      <c r="V528">
        <v>74.093283926159472</v>
      </c>
      <c r="W528">
        <v>77.779022216796875</v>
      </c>
      <c r="X528">
        <v>92.498878479003906</v>
      </c>
      <c r="Y528">
        <v>52.438381195068359</v>
      </c>
      <c r="Z528">
        <v>4.1658777743577957E-2</v>
      </c>
    </row>
    <row r="529" spans="1:26" x14ac:dyDescent="0.2">
      <c r="A529" s="1">
        <v>41609</v>
      </c>
      <c r="B529" s="1">
        <v>41639</v>
      </c>
      <c r="C529">
        <v>68.900000000000006</v>
      </c>
      <c r="D529">
        <v>0.89480000000000004</v>
      </c>
      <c r="E529">
        <v>86.813269636300603</v>
      </c>
      <c r="F529">
        <v>86.803705949665698</v>
      </c>
      <c r="G529">
        <v>135.80000000000001</v>
      </c>
      <c r="H529">
        <v>84.3</v>
      </c>
      <c r="I529">
        <v>110.7</v>
      </c>
      <c r="J529">
        <v>16.38</v>
      </c>
      <c r="K529" s="2">
        <v>2.5</v>
      </c>
      <c r="L529">
        <v>8.5161290322580671E-2</v>
      </c>
      <c r="M529">
        <f t="shared" si="20"/>
        <v>2.4148387096774195</v>
      </c>
      <c r="N529">
        <v>2.7109999999999999</v>
      </c>
      <c r="O529">
        <v>0.33999999999999997</v>
      </c>
      <c r="P529">
        <f t="shared" si="18"/>
        <v>2.371</v>
      </c>
      <c r="Q529">
        <v>4.2619999999999996</v>
      </c>
      <c r="R529">
        <v>2.901904761904762</v>
      </c>
      <c r="S529">
        <f t="shared" si="19"/>
        <v>1.3600952380952376</v>
      </c>
      <c r="T529">
        <v>14.192380952380951</v>
      </c>
      <c r="U529">
        <v>120.2091786768478</v>
      </c>
      <c r="V529">
        <v>115.99813434567912</v>
      </c>
      <c r="W529">
        <v>70.372489929199219</v>
      </c>
      <c r="X529">
        <v>70.094612121582031</v>
      </c>
      <c r="Y529">
        <v>66.790725708007812</v>
      </c>
      <c r="Z529">
        <v>8.3263948559761047E-2</v>
      </c>
    </row>
    <row r="530" spans="1:26" x14ac:dyDescent="0.2">
      <c r="A530" s="1">
        <v>41640</v>
      </c>
      <c r="B530" s="1">
        <v>41670</v>
      </c>
      <c r="C530">
        <v>67.7</v>
      </c>
      <c r="D530">
        <v>0.87629999999999997</v>
      </c>
      <c r="E530">
        <v>85.919381165532798</v>
      </c>
      <c r="F530">
        <v>84.592595244181695</v>
      </c>
      <c r="G530">
        <v>128.1</v>
      </c>
      <c r="H530">
        <v>81.599999999999994</v>
      </c>
      <c r="I530">
        <v>107.4</v>
      </c>
      <c r="J530">
        <v>16.670000000000002</v>
      </c>
      <c r="K530" s="2">
        <v>2.5</v>
      </c>
      <c r="L530">
        <v>7.1612903225806476E-2</v>
      </c>
      <c r="M530">
        <f t="shared" si="20"/>
        <v>2.4283870967741934</v>
      </c>
      <c r="N530">
        <v>2.661</v>
      </c>
      <c r="O530">
        <v>0.39380952380952394</v>
      </c>
      <c r="P530">
        <f t="shared" si="18"/>
        <v>2.2671904761904762</v>
      </c>
      <c r="Q530">
        <v>4.1580000000000004</v>
      </c>
      <c r="R530">
        <v>2.8580952380952378</v>
      </c>
      <c r="S530">
        <f t="shared" si="19"/>
        <v>1.2999047619047626</v>
      </c>
      <c r="T530">
        <v>14.240952380952386</v>
      </c>
      <c r="U530">
        <v>113.8494595238549</v>
      </c>
      <c r="V530">
        <v>77.637062381948439</v>
      </c>
      <c r="W530">
        <v>77.915969848632812</v>
      </c>
      <c r="X530">
        <v>70.480766296386719</v>
      </c>
      <c r="Y530">
        <v>83.145896911621094</v>
      </c>
      <c r="Z530">
        <v>3.5349566489458084E-2</v>
      </c>
    </row>
    <row r="531" spans="1:26" x14ac:dyDescent="0.2">
      <c r="A531" s="1">
        <v>41671</v>
      </c>
      <c r="B531" s="1">
        <v>41698</v>
      </c>
      <c r="C531">
        <v>68.900000000000006</v>
      </c>
      <c r="D531">
        <v>0.89470000000000005</v>
      </c>
      <c r="E531">
        <v>84.945297403708594</v>
      </c>
      <c r="F531">
        <v>82.761743669339495</v>
      </c>
      <c r="G531">
        <v>121.4</v>
      </c>
      <c r="H531">
        <v>76.3</v>
      </c>
      <c r="I531">
        <v>108.8</v>
      </c>
      <c r="J531">
        <v>16.760000000000002</v>
      </c>
      <c r="K531" s="2">
        <v>2.5</v>
      </c>
      <c r="L531">
        <v>6.6428571428571476E-2</v>
      </c>
      <c r="M531">
        <f t="shared" si="20"/>
        <v>2.4335714285714287</v>
      </c>
      <c r="N531">
        <v>2.7</v>
      </c>
      <c r="O531">
        <v>0.32684210526315788</v>
      </c>
      <c r="P531">
        <f t="shared" si="18"/>
        <v>2.3731578947368424</v>
      </c>
      <c r="Q531">
        <v>4.1040000000000001</v>
      </c>
      <c r="R531">
        <v>2.7094736842105265</v>
      </c>
      <c r="S531">
        <f t="shared" si="19"/>
        <v>1.3945263157894736</v>
      </c>
      <c r="T531">
        <v>15.47</v>
      </c>
      <c r="U531">
        <v>99.679435513255015</v>
      </c>
      <c r="V531">
        <v>68.173825309173267</v>
      </c>
      <c r="W531">
        <v>69.003524780273438</v>
      </c>
      <c r="X531">
        <v>73.278656005859375</v>
      </c>
      <c r="Y531">
        <v>59.086555480957031</v>
      </c>
      <c r="Z531">
        <v>4.5624222606420517E-2</v>
      </c>
    </row>
    <row r="532" spans="1:26" x14ac:dyDescent="0.2">
      <c r="A532" s="1">
        <v>41699</v>
      </c>
      <c r="B532" s="1">
        <v>41729</v>
      </c>
      <c r="C532">
        <v>71</v>
      </c>
      <c r="D532">
        <v>0.92210000000000003</v>
      </c>
      <c r="E532">
        <v>81.300058946894097</v>
      </c>
      <c r="F532">
        <v>78.386679437732894</v>
      </c>
      <c r="G532">
        <v>111.8</v>
      </c>
      <c r="H532">
        <v>73.3</v>
      </c>
      <c r="I532">
        <v>107.4</v>
      </c>
      <c r="J532">
        <v>16.55</v>
      </c>
      <c r="K532" s="2">
        <v>2.5</v>
      </c>
      <c r="L532">
        <v>7.8064516129032285E-2</v>
      </c>
      <c r="M532">
        <f t="shared" si="20"/>
        <v>2.4219354838709677</v>
      </c>
      <c r="N532">
        <v>2.7360000000000002</v>
      </c>
      <c r="O532">
        <v>0.3990476190476191</v>
      </c>
      <c r="P532">
        <f t="shared" si="18"/>
        <v>2.3369523809523809</v>
      </c>
      <c r="Q532">
        <v>4.0919999999999996</v>
      </c>
      <c r="R532">
        <v>2.7233333333333327</v>
      </c>
      <c r="S532">
        <f t="shared" si="19"/>
        <v>1.3686666666666669</v>
      </c>
      <c r="T532">
        <v>14.83666666666667</v>
      </c>
      <c r="U532">
        <v>112.4823442313246</v>
      </c>
      <c r="V532">
        <v>82.714596922803253</v>
      </c>
      <c r="W532">
        <v>119.83855438232422</v>
      </c>
      <c r="X532">
        <v>151.67477416992188</v>
      </c>
      <c r="Y532">
        <v>74.0618896484375</v>
      </c>
      <c r="Z532">
        <v>0.10790697485208511</v>
      </c>
    </row>
    <row r="533" spans="1:26" x14ac:dyDescent="0.2">
      <c r="A533" s="1">
        <v>41730</v>
      </c>
      <c r="B533" s="1">
        <v>41759</v>
      </c>
      <c r="C533">
        <v>71.400000000000006</v>
      </c>
      <c r="D533">
        <v>0.92869999999999997</v>
      </c>
      <c r="E533">
        <v>79.819965966513706</v>
      </c>
      <c r="F533">
        <v>79.206260173000203</v>
      </c>
      <c r="G533">
        <v>114.6</v>
      </c>
      <c r="H533">
        <v>72.8</v>
      </c>
      <c r="I533">
        <v>107.8</v>
      </c>
      <c r="J533">
        <v>16.79</v>
      </c>
      <c r="K533" s="2">
        <v>2.5</v>
      </c>
      <c r="L533">
        <v>9.0333333333333335E-2</v>
      </c>
      <c r="M533">
        <f t="shared" si="20"/>
        <v>2.4096666666666668</v>
      </c>
      <c r="N533">
        <v>2.7629999999999999</v>
      </c>
      <c r="O533">
        <v>0.41714285714285704</v>
      </c>
      <c r="P533">
        <f t="shared" si="18"/>
        <v>2.3458571428571426</v>
      </c>
      <c r="Q533">
        <v>4.0270000000000001</v>
      </c>
      <c r="R533">
        <v>2.7052380952380952</v>
      </c>
      <c r="S533">
        <f t="shared" si="19"/>
        <v>1.3217619047619049</v>
      </c>
      <c r="T533">
        <v>14.198095238095242</v>
      </c>
      <c r="U533">
        <v>108.5106719733689</v>
      </c>
      <c r="V533">
        <v>37.090542825138947</v>
      </c>
      <c r="W533">
        <v>93.221542358398438</v>
      </c>
      <c r="X533">
        <v>113.13993072509766</v>
      </c>
      <c r="Y533">
        <v>60.906299591064453</v>
      </c>
      <c r="Z533">
        <v>9.0704739093780518E-2</v>
      </c>
    </row>
    <row r="534" spans="1:26" x14ac:dyDescent="0.2">
      <c r="A534" s="1">
        <v>41760</v>
      </c>
      <c r="B534" s="1">
        <v>41789</v>
      </c>
      <c r="C534">
        <v>71.5</v>
      </c>
      <c r="D534">
        <v>0.93189999999999995</v>
      </c>
      <c r="E534">
        <v>77.096925033192505</v>
      </c>
      <c r="F534">
        <v>76.093870858174299</v>
      </c>
      <c r="G534">
        <v>100.6</v>
      </c>
      <c r="H534">
        <v>73.7</v>
      </c>
      <c r="I534">
        <v>109.7</v>
      </c>
      <c r="J534">
        <v>16.32</v>
      </c>
      <c r="K534" s="2">
        <v>2.5</v>
      </c>
      <c r="L534">
        <v>8.7096774193548374E-2</v>
      </c>
      <c r="M534">
        <f t="shared" si="20"/>
        <v>2.4129032258064518</v>
      </c>
      <c r="N534">
        <v>2.669</v>
      </c>
      <c r="O534">
        <v>0.38904761904761903</v>
      </c>
      <c r="P534">
        <f t="shared" si="18"/>
        <v>2.279952380952381</v>
      </c>
      <c r="Q534">
        <v>3.7810000000000001</v>
      </c>
      <c r="R534">
        <v>2.559047619047619</v>
      </c>
      <c r="S534">
        <f t="shared" si="19"/>
        <v>1.2219523809523811</v>
      </c>
      <c r="T534">
        <v>12.475238095238094</v>
      </c>
      <c r="U534">
        <v>105.31381098156881</v>
      </c>
      <c r="V534">
        <v>82.854133654151298</v>
      </c>
      <c r="W534">
        <v>83.428855895996094</v>
      </c>
      <c r="X534">
        <v>91.698753356933594</v>
      </c>
      <c r="Y534">
        <v>76.150436401367188</v>
      </c>
      <c r="Z534">
        <v>5.6444026529788971E-2</v>
      </c>
    </row>
    <row r="535" spans="1:26" x14ac:dyDescent="0.2">
      <c r="A535" s="1">
        <v>41791</v>
      </c>
      <c r="B535" s="1">
        <v>41820</v>
      </c>
      <c r="C535">
        <v>72</v>
      </c>
      <c r="D535">
        <v>0.94199999999999995</v>
      </c>
      <c r="E535">
        <v>74.685119050614006</v>
      </c>
      <c r="F535">
        <v>73.831852967743899</v>
      </c>
      <c r="G535">
        <v>92.7</v>
      </c>
      <c r="H535">
        <v>71.5</v>
      </c>
      <c r="I535">
        <v>111.9</v>
      </c>
      <c r="J535">
        <v>16.13</v>
      </c>
      <c r="K535" s="2">
        <v>2.5</v>
      </c>
      <c r="L535">
        <v>9.5666666666666705E-2</v>
      </c>
      <c r="M535">
        <f t="shared" si="20"/>
        <v>2.4043333333333332</v>
      </c>
      <c r="N535">
        <v>2.6230000000000002</v>
      </c>
      <c r="O535">
        <v>0.45238095238095244</v>
      </c>
      <c r="P535">
        <f t="shared" si="18"/>
        <v>2.1706190476190477</v>
      </c>
      <c r="Q535">
        <v>3.7130000000000001</v>
      </c>
      <c r="R535">
        <v>2.5985714285714288</v>
      </c>
      <c r="S535">
        <f t="shared" si="19"/>
        <v>1.1144285714285713</v>
      </c>
      <c r="T535">
        <v>11.54142857142857</v>
      </c>
      <c r="U535">
        <v>90.199869517822108</v>
      </c>
      <c r="V535">
        <v>67.340642933366524</v>
      </c>
      <c r="W535">
        <v>98.767105102539062</v>
      </c>
      <c r="X535">
        <v>95.322967529296875</v>
      </c>
      <c r="Y535">
        <v>107.18201446533203</v>
      </c>
      <c r="Z535">
        <v>5.1554568111896515E-2</v>
      </c>
    </row>
    <row r="536" spans="1:26" x14ac:dyDescent="0.2">
      <c r="A536" s="1">
        <v>41821</v>
      </c>
      <c r="B536" s="1">
        <v>41851</v>
      </c>
      <c r="C536">
        <v>71.5</v>
      </c>
      <c r="D536">
        <v>0.93240000000000001</v>
      </c>
      <c r="E536">
        <v>73.606065123390394</v>
      </c>
      <c r="F536">
        <v>73.9754741054075</v>
      </c>
      <c r="G536">
        <v>96.1</v>
      </c>
      <c r="H536">
        <v>68.8</v>
      </c>
      <c r="I536">
        <v>107</v>
      </c>
      <c r="J536">
        <v>15.21</v>
      </c>
      <c r="K536" s="2">
        <v>2.5</v>
      </c>
      <c r="L536">
        <v>9.0967741935483848E-2</v>
      </c>
      <c r="M536">
        <f t="shared" si="20"/>
        <v>2.4090322580645163</v>
      </c>
      <c r="N536">
        <v>2.5299999999999998</v>
      </c>
      <c r="O536">
        <v>0.50636363636363624</v>
      </c>
      <c r="P536">
        <f t="shared" si="18"/>
        <v>2.0236363636363635</v>
      </c>
      <c r="Q536">
        <v>3.4860000000000002</v>
      </c>
      <c r="R536">
        <v>2.542272727272727</v>
      </c>
      <c r="S536">
        <f t="shared" si="19"/>
        <v>0.94372727272727319</v>
      </c>
      <c r="T536">
        <v>12.296363636363639</v>
      </c>
      <c r="U536">
        <v>92.630949101412043</v>
      </c>
      <c r="V536">
        <v>77.259826207931582</v>
      </c>
      <c r="W536">
        <v>138.75395202636719</v>
      </c>
      <c r="X536">
        <v>162.71510314941406</v>
      </c>
      <c r="Y536">
        <v>118.54683685302734</v>
      </c>
      <c r="Z536">
        <v>0.25103944540023804</v>
      </c>
    </row>
    <row r="537" spans="1:26" x14ac:dyDescent="0.2">
      <c r="A537" s="1">
        <v>41852</v>
      </c>
      <c r="B537" s="1">
        <v>41880</v>
      </c>
      <c r="C537">
        <v>71.900000000000006</v>
      </c>
      <c r="D537">
        <v>0.93489999999999995</v>
      </c>
      <c r="E537">
        <v>72.863187903583196</v>
      </c>
      <c r="F537">
        <v>72.982346034779994</v>
      </c>
      <c r="G537">
        <v>92.6</v>
      </c>
      <c r="H537">
        <v>68.900000000000006</v>
      </c>
      <c r="I537">
        <v>101.9</v>
      </c>
      <c r="J537">
        <v>15.74</v>
      </c>
      <c r="K537" s="2">
        <v>2.5</v>
      </c>
      <c r="L537">
        <v>8.8064516129032239E-2</v>
      </c>
      <c r="M537">
        <f t="shared" si="20"/>
        <v>2.4119354838709679</v>
      </c>
      <c r="N537">
        <v>2.5550000000000002</v>
      </c>
      <c r="O537">
        <v>0.47238095238095246</v>
      </c>
      <c r="P537">
        <f t="shared" si="18"/>
        <v>2.0826190476190476</v>
      </c>
      <c r="Q537">
        <v>3.43</v>
      </c>
      <c r="R537">
        <v>2.42</v>
      </c>
      <c r="S537">
        <f t="shared" si="19"/>
        <v>1.0100000000000002</v>
      </c>
      <c r="T537">
        <v>13.491904761904761</v>
      </c>
      <c r="U537">
        <v>96.10813447460292</v>
      </c>
      <c r="V537">
        <v>95.732007278678026</v>
      </c>
      <c r="W537">
        <v>136.44558715820312</v>
      </c>
      <c r="X537">
        <v>158.59349060058594</v>
      </c>
      <c r="Y537">
        <v>112.11448669433594</v>
      </c>
      <c r="Z537">
        <v>0.21931639313697815</v>
      </c>
    </row>
    <row r="538" spans="1:26" x14ac:dyDescent="0.2">
      <c r="A538" s="1">
        <v>41883</v>
      </c>
      <c r="B538" s="1">
        <v>41912</v>
      </c>
      <c r="C538">
        <v>68.900000000000006</v>
      </c>
      <c r="D538">
        <v>0.87519999999999998</v>
      </c>
      <c r="E538">
        <v>72.153334020126593</v>
      </c>
      <c r="F538">
        <v>71.105216288253402</v>
      </c>
      <c r="G538">
        <v>82.4</v>
      </c>
      <c r="H538">
        <v>65.900000000000006</v>
      </c>
      <c r="I538">
        <v>97.3</v>
      </c>
      <c r="J538">
        <v>15.16</v>
      </c>
      <c r="K538" s="2">
        <v>2.5</v>
      </c>
      <c r="L538">
        <v>8.8333333333333333E-2</v>
      </c>
      <c r="M538">
        <f t="shared" si="20"/>
        <v>2.4116666666666666</v>
      </c>
      <c r="N538">
        <v>2.6629999999999998</v>
      </c>
      <c r="O538">
        <v>0.56666666666666665</v>
      </c>
      <c r="P538">
        <f t="shared" si="18"/>
        <v>2.0963333333333329</v>
      </c>
      <c r="Q538">
        <v>3.573</v>
      </c>
      <c r="R538">
        <v>2.5342857142857147</v>
      </c>
      <c r="S538">
        <f t="shared" si="19"/>
        <v>1.0387142857142853</v>
      </c>
      <c r="T538">
        <v>13.466666666666667</v>
      </c>
      <c r="U538">
        <v>119.6554026456444</v>
      </c>
      <c r="V538">
        <v>88.754428980893508</v>
      </c>
      <c r="W538">
        <v>131.55665588378906</v>
      </c>
      <c r="X538">
        <v>143.3953857421875</v>
      </c>
      <c r="Y538">
        <v>120.78192138671875</v>
      </c>
      <c r="Z538">
        <v>0.20873475074768066</v>
      </c>
    </row>
    <row r="539" spans="1:26" x14ac:dyDescent="0.2">
      <c r="A539" s="1">
        <v>41913</v>
      </c>
      <c r="B539" s="1">
        <v>41943</v>
      </c>
      <c r="C539">
        <v>69.400000000000006</v>
      </c>
      <c r="D539">
        <v>0.88049999999999995</v>
      </c>
      <c r="E539">
        <v>70.106880946364797</v>
      </c>
      <c r="F539">
        <v>70.019755152277796</v>
      </c>
      <c r="G539">
        <v>81.099999999999994</v>
      </c>
      <c r="H539">
        <v>63.7</v>
      </c>
      <c r="I539">
        <v>87.3</v>
      </c>
      <c r="J539">
        <v>15.89</v>
      </c>
      <c r="K539" s="2">
        <v>2.5</v>
      </c>
      <c r="L539">
        <v>8.9032258064516104E-2</v>
      </c>
      <c r="M539">
        <f t="shared" si="20"/>
        <v>2.410967741935484</v>
      </c>
      <c r="N539">
        <v>2.5289999999999999</v>
      </c>
      <c r="O539">
        <v>0.44545454545454549</v>
      </c>
      <c r="P539">
        <f t="shared" si="18"/>
        <v>2.0835454545454546</v>
      </c>
      <c r="Q539">
        <v>3.3439999999999999</v>
      </c>
      <c r="R539">
        <v>2.3040909090909092</v>
      </c>
      <c r="S539">
        <f t="shared" si="19"/>
        <v>1.0399090909090907</v>
      </c>
      <c r="T539">
        <v>18.058695652173906</v>
      </c>
      <c r="U539">
        <v>110.96869042204629</v>
      </c>
      <c r="V539">
        <v>88.323380736514395</v>
      </c>
      <c r="W539">
        <v>83.661003112792969</v>
      </c>
      <c r="X539">
        <v>86.333450317382812</v>
      </c>
      <c r="Y539">
        <v>77.193931579589844</v>
      </c>
      <c r="Z539">
        <v>6.4633868634700775E-2</v>
      </c>
    </row>
    <row r="540" spans="1:26" x14ac:dyDescent="0.2">
      <c r="A540" s="1">
        <v>41944</v>
      </c>
      <c r="B540" s="1">
        <v>41971</v>
      </c>
      <c r="C540">
        <v>68.2</v>
      </c>
      <c r="D540">
        <v>0.84909999999999997</v>
      </c>
      <c r="E540">
        <v>69.565890425584897</v>
      </c>
      <c r="F540">
        <v>68.371537042819497</v>
      </c>
      <c r="G540">
        <v>73.7</v>
      </c>
      <c r="H540">
        <v>62.6</v>
      </c>
      <c r="I540">
        <v>78.400000000000006</v>
      </c>
      <c r="J540">
        <v>15.59</v>
      </c>
      <c r="K540" s="2">
        <v>2.5</v>
      </c>
      <c r="L540">
        <v>9.200000000000004E-2</v>
      </c>
      <c r="M540">
        <f t="shared" si="20"/>
        <v>2.4079999999999999</v>
      </c>
      <c r="N540">
        <v>2.5110000000000001</v>
      </c>
      <c r="O540">
        <v>0.52722222222222237</v>
      </c>
      <c r="P540">
        <f t="shared" si="18"/>
        <v>1.9837777777777776</v>
      </c>
      <c r="Q540">
        <v>3.294</v>
      </c>
      <c r="R540">
        <v>2.3255555555555558</v>
      </c>
      <c r="S540">
        <f t="shared" si="19"/>
        <v>0.96844444444444422</v>
      </c>
      <c r="T540">
        <v>13.413157894736843</v>
      </c>
      <c r="U540">
        <v>117.379399400781</v>
      </c>
      <c r="V540">
        <v>65.172463267711606</v>
      </c>
      <c r="W540">
        <v>84.380050659179688</v>
      </c>
      <c r="X540">
        <v>88.469940185546875</v>
      </c>
      <c r="Y540">
        <v>76.337532043457031</v>
      </c>
      <c r="Z540">
        <v>0.17704099416732788</v>
      </c>
    </row>
    <row r="541" spans="1:26" x14ac:dyDescent="0.2">
      <c r="A541" s="1">
        <v>41974</v>
      </c>
      <c r="B541" s="1">
        <v>42004</v>
      </c>
      <c r="C541">
        <v>66.5</v>
      </c>
      <c r="D541">
        <v>0.82020000000000004</v>
      </c>
      <c r="E541">
        <v>67.090349644062897</v>
      </c>
      <c r="F541">
        <v>66.370583781815796</v>
      </c>
      <c r="G541">
        <v>68.400000000000006</v>
      </c>
      <c r="H541">
        <v>62.4</v>
      </c>
      <c r="I541">
        <v>62.3</v>
      </c>
      <c r="J541">
        <v>15.62</v>
      </c>
      <c r="K541" s="2">
        <v>2.5</v>
      </c>
      <c r="L541">
        <v>0.12258064516129029</v>
      </c>
      <c r="M541">
        <f t="shared" si="20"/>
        <v>2.3774193548387097</v>
      </c>
      <c r="N541">
        <v>2.298</v>
      </c>
      <c r="O541">
        <v>0.63545454545454561</v>
      </c>
      <c r="P541">
        <f t="shared" si="18"/>
        <v>1.6625454545454543</v>
      </c>
      <c r="Q541">
        <v>2.964</v>
      </c>
      <c r="R541">
        <v>2.2072727272727275</v>
      </c>
      <c r="S541">
        <f t="shared" si="19"/>
        <v>0.75672727272727247</v>
      </c>
      <c r="T541">
        <v>16.292272727272731</v>
      </c>
      <c r="U541">
        <v>109.4975898721688</v>
      </c>
      <c r="V541">
        <v>91.335169525374326</v>
      </c>
      <c r="W541">
        <v>86.526222229003906</v>
      </c>
      <c r="X541">
        <v>81.273223876953125</v>
      </c>
      <c r="Y541">
        <v>96.23736572265625</v>
      </c>
      <c r="Z541">
        <v>0.182887002825737</v>
      </c>
    </row>
    <row r="542" spans="1:26" x14ac:dyDescent="0.2">
      <c r="A542" s="1">
        <v>42005</v>
      </c>
      <c r="B542" s="1">
        <v>42034</v>
      </c>
      <c r="C542">
        <v>63.9</v>
      </c>
      <c r="D542">
        <v>0.77810000000000001</v>
      </c>
      <c r="E542">
        <v>68.252809572384507</v>
      </c>
      <c r="F542">
        <v>67.833252794508894</v>
      </c>
      <c r="G542">
        <v>68.2</v>
      </c>
      <c r="H542">
        <v>61.4</v>
      </c>
      <c r="I542">
        <v>48.1</v>
      </c>
      <c r="J542">
        <v>16.190000000000001</v>
      </c>
      <c r="K542" s="2">
        <v>2.5</v>
      </c>
      <c r="L542">
        <v>0.11483870967741938</v>
      </c>
      <c r="M542">
        <f t="shared" si="20"/>
        <v>2.3851612903225807</v>
      </c>
      <c r="N542">
        <v>2.1469999999999998</v>
      </c>
      <c r="O542">
        <v>0.5515000000000001</v>
      </c>
      <c r="P542">
        <f t="shared" si="18"/>
        <v>1.5954999999999997</v>
      </c>
      <c r="Q542">
        <v>2.6219999999999999</v>
      </c>
      <c r="R542">
        <v>1.8814999999999997</v>
      </c>
      <c r="S542">
        <f t="shared" si="19"/>
        <v>0.74050000000000016</v>
      </c>
      <c r="T542">
        <v>19.119499999999999</v>
      </c>
      <c r="U542">
        <v>126.9913661804881</v>
      </c>
      <c r="V542">
        <v>108.08183326064646</v>
      </c>
      <c r="W542">
        <v>111.98569488525391</v>
      </c>
      <c r="X542">
        <v>83.50390625</v>
      </c>
      <c r="Y542">
        <v>153.33984375</v>
      </c>
      <c r="Z542">
        <v>8.7950751185417175E-2</v>
      </c>
    </row>
    <row r="543" spans="1:26" x14ac:dyDescent="0.2">
      <c r="A543" s="1">
        <v>42036</v>
      </c>
      <c r="B543" s="1">
        <v>42062</v>
      </c>
      <c r="C543">
        <v>64.099999999999994</v>
      </c>
      <c r="D543">
        <v>0.7792</v>
      </c>
      <c r="E543">
        <v>65.703217957737706</v>
      </c>
      <c r="F543">
        <v>65.130184884320997</v>
      </c>
      <c r="G543">
        <v>62.8</v>
      </c>
      <c r="H543">
        <v>69.099999999999994</v>
      </c>
      <c r="I543">
        <v>57.9</v>
      </c>
      <c r="J543">
        <v>14.2</v>
      </c>
      <c r="K543" s="2">
        <v>2.2799999999999998</v>
      </c>
      <c r="L543">
        <v>0.11071428571428575</v>
      </c>
      <c r="M543">
        <f t="shared" si="20"/>
        <v>2.169285714285714</v>
      </c>
      <c r="N543">
        <v>1.891</v>
      </c>
      <c r="O543">
        <v>0.61894736842105269</v>
      </c>
      <c r="P543">
        <f t="shared" si="18"/>
        <v>1.2720526315789473</v>
      </c>
      <c r="Q543">
        <v>2.4900000000000002</v>
      </c>
      <c r="R543">
        <v>1.9752631578947366</v>
      </c>
      <c r="S543">
        <f t="shared" si="19"/>
        <v>0.5147368421052636</v>
      </c>
      <c r="T543">
        <v>15.90421052631579</v>
      </c>
      <c r="U543">
        <v>113.9329595402655</v>
      </c>
      <c r="V543">
        <v>141.45085183148495</v>
      </c>
      <c r="W543">
        <v>111.92469787597656</v>
      </c>
      <c r="X543">
        <v>118.22520446777344</v>
      </c>
      <c r="Y543">
        <v>107.79053497314453</v>
      </c>
      <c r="Z543">
        <v>0.15051998198032379</v>
      </c>
    </row>
    <row r="544" spans="1:26" x14ac:dyDescent="0.2">
      <c r="A544" s="1">
        <v>42064</v>
      </c>
      <c r="B544" s="1">
        <v>42094</v>
      </c>
      <c r="C544">
        <v>63.3</v>
      </c>
      <c r="D544">
        <v>0.76339999999999997</v>
      </c>
      <c r="E544">
        <v>63.4142273761098</v>
      </c>
      <c r="F544">
        <v>61.902608700436701</v>
      </c>
      <c r="G544">
        <v>58.1</v>
      </c>
      <c r="H544">
        <v>64.8</v>
      </c>
      <c r="I544">
        <v>55.8</v>
      </c>
      <c r="J544">
        <v>13.04</v>
      </c>
      <c r="K544" s="2">
        <v>2.25</v>
      </c>
      <c r="L544">
        <v>0.11290322580645165</v>
      </c>
      <c r="M544">
        <f t="shared" si="20"/>
        <v>2.1370967741935485</v>
      </c>
      <c r="N544">
        <v>1.829</v>
      </c>
      <c r="O544">
        <v>0.6404545454545455</v>
      </c>
      <c r="P544">
        <f t="shared" si="18"/>
        <v>1.1885454545454546</v>
      </c>
      <c r="Q544">
        <v>2.4750000000000001</v>
      </c>
      <c r="R544">
        <v>2.0427272727272729</v>
      </c>
      <c r="S544">
        <f t="shared" si="19"/>
        <v>0.43227272727272714</v>
      </c>
      <c r="T544">
        <v>14.812727272727273</v>
      </c>
      <c r="U544">
        <v>109.9546009851734</v>
      </c>
      <c r="V544">
        <v>53.488063015481089</v>
      </c>
      <c r="W544">
        <v>104.23526763916016</v>
      </c>
      <c r="X544">
        <v>117.48873138427734</v>
      </c>
      <c r="Y544">
        <v>83.632850646972656</v>
      </c>
      <c r="Z544">
        <v>3.295300155878067E-2</v>
      </c>
    </row>
    <row r="545" spans="1:26" x14ac:dyDescent="0.2">
      <c r="A545" s="1">
        <v>42095</v>
      </c>
      <c r="B545" s="1">
        <v>42124</v>
      </c>
      <c r="C545">
        <v>65.3</v>
      </c>
      <c r="D545">
        <v>0.79810000000000003</v>
      </c>
      <c r="E545">
        <v>60.061014280389699</v>
      </c>
      <c r="F545">
        <v>58.436455603879899</v>
      </c>
      <c r="G545">
        <v>52.3</v>
      </c>
      <c r="H545">
        <v>56.2</v>
      </c>
      <c r="I545">
        <v>59.4</v>
      </c>
      <c r="J545">
        <v>10.94</v>
      </c>
      <c r="K545" s="2">
        <v>2.25</v>
      </c>
      <c r="L545">
        <v>0.12466666666666662</v>
      </c>
      <c r="M545">
        <f t="shared" si="20"/>
        <v>2.1253333333333333</v>
      </c>
      <c r="N545">
        <v>1.8340000000000001</v>
      </c>
      <c r="O545">
        <v>0.54</v>
      </c>
      <c r="P545">
        <f t="shared" si="18"/>
        <v>1.294</v>
      </c>
      <c r="Q545">
        <v>2.41</v>
      </c>
      <c r="R545">
        <v>1.9349999999999996</v>
      </c>
      <c r="S545">
        <f t="shared" si="19"/>
        <v>0.47500000000000053</v>
      </c>
      <c r="T545">
        <v>13.494761904761905</v>
      </c>
      <c r="U545">
        <v>99.393626607623744</v>
      </c>
      <c r="V545">
        <v>88.465434395849044</v>
      </c>
      <c r="W545">
        <v>102.19049072265625</v>
      </c>
      <c r="X545">
        <v>110.18872833251953</v>
      </c>
      <c r="Y545">
        <v>95.086456298828125</v>
      </c>
      <c r="Z545">
        <v>8.9274324476718903E-2</v>
      </c>
    </row>
    <row r="546" spans="1:26" x14ac:dyDescent="0.2">
      <c r="A546" s="1">
        <v>42125</v>
      </c>
      <c r="B546" s="1">
        <v>42153</v>
      </c>
      <c r="C546">
        <v>63.7</v>
      </c>
      <c r="D546">
        <v>0.76629999999999998</v>
      </c>
      <c r="E546">
        <v>59.730473284176398</v>
      </c>
      <c r="F546">
        <v>59.001355768339998</v>
      </c>
      <c r="G546">
        <v>60.3</v>
      </c>
      <c r="H546">
        <v>61.2</v>
      </c>
      <c r="I546">
        <v>64.599999999999994</v>
      </c>
      <c r="J546">
        <v>9.34</v>
      </c>
      <c r="K546" s="2">
        <v>2.04</v>
      </c>
      <c r="L546">
        <v>0.12322580645161288</v>
      </c>
      <c r="M546">
        <f t="shared" si="20"/>
        <v>1.9167741935483871</v>
      </c>
      <c r="N546">
        <v>2.0009999999999999</v>
      </c>
      <c r="O546">
        <v>0.60899999999999999</v>
      </c>
      <c r="P546">
        <f t="shared" si="18"/>
        <v>1.3919999999999999</v>
      </c>
      <c r="Q546">
        <v>2.8820000000000001</v>
      </c>
      <c r="R546">
        <v>2.1975000000000002</v>
      </c>
      <c r="S546">
        <f t="shared" si="19"/>
        <v>0.68449999999999989</v>
      </c>
      <c r="T546">
        <v>13.3385</v>
      </c>
      <c r="U546">
        <v>102.952314875813</v>
      </c>
      <c r="V546">
        <v>126.90963944569469</v>
      </c>
      <c r="W546">
        <v>76.2623291015625</v>
      </c>
      <c r="X546">
        <v>77.668731689453125</v>
      </c>
      <c r="Y546">
        <v>72.861885070800781</v>
      </c>
      <c r="Z546">
        <v>4.7030653804540634E-2</v>
      </c>
    </row>
    <row r="547" spans="1:26" x14ac:dyDescent="0.2">
      <c r="A547" s="1">
        <v>42156</v>
      </c>
      <c r="B547" s="1">
        <v>42185</v>
      </c>
      <c r="C547">
        <v>63.8</v>
      </c>
      <c r="D547">
        <v>0.76800000000000002</v>
      </c>
      <c r="E547">
        <v>60.1847427822361</v>
      </c>
      <c r="F547">
        <v>59.895076049195502</v>
      </c>
      <c r="G547">
        <v>62.6</v>
      </c>
      <c r="H547">
        <v>59</v>
      </c>
      <c r="I547">
        <v>62.3</v>
      </c>
      <c r="J547">
        <v>9.19</v>
      </c>
      <c r="K547" s="2">
        <v>2</v>
      </c>
      <c r="L547">
        <v>0.12899999999999995</v>
      </c>
      <c r="M547">
        <f t="shared" si="20"/>
        <v>1.871</v>
      </c>
      <c r="N547">
        <v>1.9930000000000001</v>
      </c>
      <c r="O547">
        <v>0.6886363636363636</v>
      </c>
      <c r="P547">
        <f t="shared" si="18"/>
        <v>1.3043636363636364</v>
      </c>
      <c r="Q547">
        <v>2.9849999999999999</v>
      </c>
      <c r="R547">
        <v>2.3636363636363638</v>
      </c>
      <c r="S547">
        <f t="shared" si="19"/>
        <v>0.62136363636363612</v>
      </c>
      <c r="T547">
        <v>14.339545454545457</v>
      </c>
      <c r="U547">
        <v>117.9446271541501</v>
      </c>
      <c r="V547">
        <v>87.657118650606492</v>
      </c>
      <c r="W547">
        <v>85.905967712402344</v>
      </c>
      <c r="X547">
        <v>81.066085815429688</v>
      </c>
      <c r="Y547">
        <v>88.7894287109375</v>
      </c>
      <c r="Z547">
        <v>9.0940587222576141E-2</v>
      </c>
    </row>
    <row r="548" spans="1:26" x14ac:dyDescent="0.2">
      <c r="A548" s="1">
        <v>42186</v>
      </c>
      <c r="B548" s="1">
        <v>42216</v>
      </c>
      <c r="C548">
        <v>61.4</v>
      </c>
      <c r="D548">
        <v>0.72940000000000005</v>
      </c>
      <c r="E548">
        <v>57.503284545526299</v>
      </c>
      <c r="F548">
        <v>55.918525372293097</v>
      </c>
      <c r="G548">
        <v>52.4</v>
      </c>
      <c r="H548">
        <v>59.9</v>
      </c>
      <c r="I548">
        <v>55.9</v>
      </c>
      <c r="J548">
        <v>9.5</v>
      </c>
      <c r="K548" s="2">
        <v>2</v>
      </c>
      <c r="L548">
        <v>0.13032258064516125</v>
      </c>
      <c r="M548">
        <f t="shared" si="20"/>
        <v>1.8696774193548387</v>
      </c>
      <c r="N548">
        <v>1.9159999999999999</v>
      </c>
      <c r="O548">
        <v>0.66772727272727272</v>
      </c>
      <c r="P548">
        <f t="shared" si="18"/>
        <v>1.2482727272727272</v>
      </c>
      <c r="Q548">
        <v>2.9220000000000002</v>
      </c>
      <c r="R548">
        <v>2.3245454545454547</v>
      </c>
      <c r="S548">
        <f t="shared" si="19"/>
        <v>0.59745454545454546</v>
      </c>
      <c r="T548">
        <v>14.352727272727275</v>
      </c>
      <c r="U548">
        <v>121.8380240019526</v>
      </c>
      <c r="V548">
        <v>110.42176705787423</v>
      </c>
      <c r="W548">
        <v>106.80866241455078</v>
      </c>
      <c r="X548">
        <v>120.84297180175781</v>
      </c>
      <c r="Y548">
        <v>86.168815612792969</v>
      </c>
      <c r="Z548">
        <v>7.7925451099872589E-2</v>
      </c>
    </row>
    <row r="549" spans="1:26" x14ac:dyDescent="0.2">
      <c r="A549" s="1">
        <v>42217</v>
      </c>
      <c r="B549" s="1">
        <v>42247</v>
      </c>
      <c r="C549">
        <v>60.9</v>
      </c>
      <c r="D549">
        <v>0.71489999999999998</v>
      </c>
      <c r="E549">
        <v>56.486318903662998</v>
      </c>
      <c r="F549">
        <v>55.891842782271503</v>
      </c>
      <c r="G549">
        <v>56.2</v>
      </c>
      <c r="H549">
        <v>59.1</v>
      </c>
      <c r="I549">
        <v>47</v>
      </c>
      <c r="J549">
        <v>9.82</v>
      </c>
      <c r="K549" s="2">
        <v>2</v>
      </c>
      <c r="L549">
        <v>0.13806451612903223</v>
      </c>
      <c r="M549">
        <f t="shared" si="20"/>
        <v>1.8619354838709679</v>
      </c>
      <c r="N549">
        <v>1.8779999999999999</v>
      </c>
      <c r="O549">
        <v>0.69761904761904758</v>
      </c>
      <c r="P549">
        <f t="shared" si="18"/>
        <v>1.1803809523809523</v>
      </c>
      <c r="Q549">
        <v>2.738</v>
      </c>
      <c r="R549">
        <v>2.1671428571428568</v>
      </c>
      <c r="S549">
        <f t="shared" si="19"/>
        <v>0.57085714285714317</v>
      </c>
      <c r="T549">
        <v>19.428095238095239</v>
      </c>
      <c r="U549">
        <v>118.49479288215031</v>
      </c>
      <c r="V549">
        <v>77.323166085109975</v>
      </c>
      <c r="W549">
        <v>82.478530883789062</v>
      </c>
      <c r="X549">
        <v>85.338592529296875</v>
      </c>
      <c r="Y549">
        <v>74.028297424316406</v>
      </c>
      <c r="Z549">
        <v>4.7120913863182068E-2</v>
      </c>
    </row>
    <row r="550" spans="1:26" x14ac:dyDescent="0.2">
      <c r="A550" s="1">
        <v>42248</v>
      </c>
      <c r="B550" s="1">
        <v>42277</v>
      </c>
      <c r="C550">
        <v>59.9</v>
      </c>
      <c r="D550">
        <v>0.70099999999999996</v>
      </c>
      <c r="E550">
        <v>56.190459413441701</v>
      </c>
      <c r="F550">
        <v>55.844438416075199</v>
      </c>
      <c r="G550">
        <v>57</v>
      </c>
      <c r="H550">
        <v>57.7</v>
      </c>
      <c r="I550">
        <v>47.2</v>
      </c>
      <c r="J550">
        <v>10.31</v>
      </c>
      <c r="K550" s="2">
        <v>2</v>
      </c>
      <c r="L550">
        <v>0.13600000000000007</v>
      </c>
      <c r="M550">
        <f t="shared" si="20"/>
        <v>1.8639999999999999</v>
      </c>
      <c r="N550">
        <v>1.851</v>
      </c>
      <c r="O550">
        <v>0.71333333333333326</v>
      </c>
      <c r="P550">
        <f t="shared" si="18"/>
        <v>1.1376666666666666</v>
      </c>
      <c r="Q550">
        <v>2.7240000000000002</v>
      </c>
      <c r="R550">
        <v>2.1728571428571435</v>
      </c>
      <c r="S550">
        <f t="shared" si="19"/>
        <v>0.55114285714285671</v>
      </c>
      <c r="T550">
        <v>24.377142857142854</v>
      </c>
      <c r="U550">
        <v>151.9295075407303</v>
      </c>
      <c r="V550">
        <v>100.21469799880261</v>
      </c>
      <c r="W550">
        <v>98.7674560546875</v>
      </c>
      <c r="X550">
        <v>115.88518524169922</v>
      </c>
      <c r="Y550">
        <v>79.345352172851562</v>
      </c>
      <c r="Z550">
        <v>6.9601528346538544E-2</v>
      </c>
    </row>
    <row r="551" spans="1:26" x14ac:dyDescent="0.2">
      <c r="A551" s="1">
        <v>42278</v>
      </c>
      <c r="B551" s="1">
        <v>42307</v>
      </c>
      <c r="C551">
        <v>60.3</v>
      </c>
      <c r="D551">
        <v>0.70989999999999998</v>
      </c>
      <c r="E551">
        <v>55.135302914838903</v>
      </c>
      <c r="F551">
        <v>53.963361982921803</v>
      </c>
      <c r="G551">
        <v>53.1</v>
      </c>
      <c r="H551">
        <v>54.3</v>
      </c>
      <c r="I551">
        <v>48.1</v>
      </c>
      <c r="J551">
        <v>10.11</v>
      </c>
      <c r="K551" s="2">
        <v>2</v>
      </c>
      <c r="L551">
        <v>0.12354838709677417</v>
      </c>
      <c r="M551">
        <f t="shared" si="20"/>
        <v>1.8764516129032258</v>
      </c>
      <c r="N551">
        <v>1.8009999999999999</v>
      </c>
      <c r="O551">
        <v>0.64476190476190476</v>
      </c>
      <c r="P551">
        <f t="shared" si="18"/>
        <v>1.1562380952380953</v>
      </c>
      <c r="Q551">
        <v>2.657</v>
      </c>
      <c r="R551">
        <v>2.0699999999999994</v>
      </c>
      <c r="S551">
        <f t="shared" si="19"/>
        <v>0.58700000000000063</v>
      </c>
      <c r="T551">
        <v>16.789545454545454</v>
      </c>
      <c r="U551">
        <v>114.3840593054632</v>
      </c>
      <c r="V551">
        <v>74.922924419816411</v>
      </c>
      <c r="W551">
        <v>91.931884765625</v>
      </c>
      <c r="X551">
        <v>79.726318359375</v>
      </c>
      <c r="Y551">
        <v>108.51441955566406</v>
      </c>
      <c r="Z551">
        <v>6.4879767596721649E-2</v>
      </c>
    </row>
    <row r="552" spans="1:26" x14ac:dyDescent="0.2">
      <c r="A552" s="1">
        <v>42309</v>
      </c>
      <c r="B552" s="1">
        <v>42338</v>
      </c>
      <c r="C552">
        <v>61.8</v>
      </c>
      <c r="D552">
        <v>0.71889999999999998</v>
      </c>
      <c r="E552">
        <v>52.984468280363799</v>
      </c>
      <c r="F552">
        <v>51.598026106231103</v>
      </c>
      <c r="G552">
        <v>46.9</v>
      </c>
      <c r="H552">
        <v>52.5</v>
      </c>
      <c r="I552">
        <v>44.4</v>
      </c>
      <c r="J552">
        <v>9.52</v>
      </c>
      <c r="K552" s="2">
        <v>2</v>
      </c>
      <c r="L552">
        <v>0.11766666666666672</v>
      </c>
      <c r="M552">
        <f t="shared" si="20"/>
        <v>1.8823333333333332</v>
      </c>
      <c r="N552">
        <v>1.9930000000000001</v>
      </c>
      <c r="O552">
        <v>0.88473684210526304</v>
      </c>
      <c r="P552">
        <f t="shared" si="18"/>
        <v>1.1082631578947371</v>
      </c>
      <c r="Q552">
        <v>2.8889999999999998</v>
      </c>
      <c r="R552">
        <v>2.2631578947368416</v>
      </c>
      <c r="S552">
        <f t="shared" si="19"/>
        <v>0.6258421052631582</v>
      </c>
      <c r="T552">
        <v>16.21</v>
      </c>
      <c r="U552">
        <v>103.41049999762851</v>
      </c>
      <c r="V552">
        <v>48.755548468719859</v>
      </c>
      <c r="W552">
        <v>150.71588134765625</v>
      </c>
      <c r="X552">
        <v>113.04398345947266</v>
      </c>
      <c r="Y552">
        <v>213.99351501464844</v>
      </c>
      <c r="Z552">
        <v>0.1278538852930069</v>
      </c>
    </row>
    <row r="553" spans="1:26" x14ac:dyDescent="0.2">
      <c r="A553" s="1">
        <v>42339</v>
      </c>
      <c r="B553" s="1">
        <v>42369</v>
      </c>
      <c r="C553">
        <v>62.7</v>
      </c>
      <c r="D553">
        <v>0.73060000000000003</v>
      </c>
      <c r="E553">
        <v>50.4750269029553</v>
      </c>
      <c r="F553">
        <v>49.113091782354402</v>
      </c>
      <c r="G553">
        <v>40.5</v>
      </c>
      <c r="H553">
        <v>52.2</v>
      </c>
      <c r="I553">
        <v>37.700000000000003</v>
      </c>
      <c r="J553">
        <v>9.08</v>
      </c>
      <c r="K553" s="2">
        <v>2</v>
      </c>
      <c r="L553">
        <v>0.24064516129032271</v>
      </c>
      <c r="M553">
        <f t="shared" si="20"/>
        <v>1.7593548387096773</v>
      </c>
      <c r="N553">
        <v>2.052</v>
      </c>
      <c r="O553">
        <v>0.98272727272727278</v>
      </c>
      <c r="P553">
        <f t="shared" si="18"/>
        <v>1.0692727272727272</v>
      </c>
      <c r="Q553">
        <v>2.8519999999999999</v>
      </c>
      <c r="R553">
        <v>2.2427272727272736</v>
      </c>
      <c r="S553">
        <f t="shared" si="19"/>
        <v>0.6092727272727263</v>
      </c>
      <c r="T553">
        <v>18.025454545454544</v>
      </c>
      <c r="U553">
        <v>110.71881503922729</v>
      </c>
      <c r="V553">
        <v>67.136796010418493</v>
      </c>
      <c r="W553">
        <v>148.23687744140625</v>
      </c>
      <c r="X553">
        <v>115.224365234375</v>
      </c>
      <c r="Y553">
        <v>204.63127136230469</v>
      </c>
      <c r="Z553">
        <v>9.8367102444171906E-2</v>
      </c>
    </row>
    <row r="554" spans="1:26" x14ac:dyDescent="0.2">
      <c r="A554" s="1">
        <v>42370</v>
      </c>
      <c r="B554" s="1">
        <v>42398</v>
      </c>
      <c r="C554">
        <v>61.5</v>
      </c>
      <c r="D554">
        <v>0.71</v>
      </c>
      <c r="E554">
        <v>49.449040125709601</v>
      </c>
      <c r="F554">
        <v>48.862747460429901</v>
      </c>
      <c r="G554">
        <v>41.9</v>
      </c>
      <c r="H554">
        <v>49</v>
      </c>
      <c r="I554">
        <v>30.8</v>
      </c>
      <c r="J554">
        <v>8.4</v>
      </c>
      <c r="K554" s="2">
        <v>2</v>
      </c>
      <c r="L554">
        <v>0.34290322580645172</v>
      </c>
      <c r="M554">
        <f t="shared" si="20"/>
        <v>1.6570967741935483</v>
      </c>
      <c r="N554">
        <v>1.952</v>
      </c>
      <c r="O554">
        <v>0.89947368421052631</v>
      </c>
      <c r="P554">
        <f t="shared" si="18"/>
        <v>1.0525263157894735</v>
      </c>
      <c r="Q554">
        <v>2.7080000000000002</v>
      </c>
      <c r="R554">
        <v>2.0852631578947372</v>
      </c>
      <c r="S554">
        <f t="shared" si="19"/>
        <v>0.62273684210526303</v>
      </c>
      <c r="T554">
        <v>23.717894736842101</v>
      </c>
      <c r="U554">
        <v>143.1551187867575</v>
      </c>
      <c r="V554">
        <v>67.038762416544685</v>
      </c>
      <c r="W554">
        <v>118.21114349365234</v>
      </c>
      <c r="X554">
        <v>124.23914337158203</v>
      </c>
      <c r="Y554">
        <v>109.52909851074219</v>
      </c>
      <c r="Z554">
        <v>0.10659992694854736</v>
      </c>
    </row>
    <row r="555" spans="1:26" x14ac:dyDescent="0.2">
      <c r="A555" s="1">
        <v>42401</v>
      </c>
      <c r="B555" s="1">
        <v>42429</v>
      </c>
      <c r="C555">
        <v>61.4</v>
      </c>
      <c r="D555">
        <v>0.71399999999999997</v>
      </c>
      <c r="E555">
        <v>50.564446271684403</v>
      </c>
      <c r="F555">
        <v>50.521364563567801</v>
      </c>
      <c r="G555">
        <v>46.8</v>
      </c>
      <c r="H555">
        <v>50.3</v>
      </c>
      <c r="I555">
        <v>33.200000000000003</v>
      </c>
      <c r="J555">
        <v>8.56</v>
      </c>
      <c r="K555" s="2">
        <v>2</v>
      </c>
      <c r="L555">
        <v>0.37517241379310334</v>
      </c>
      <c r="M555">
        <f t="shared" si="20"/>
        <v>1.6248275862068966</v>
      </c>
      <c r="N555">
        <v>1.8160000000000001</v>
      </c>
      <c r="O555">
        <v>0.73350000000000004</v>
      </c>
      <c r="P555">
        <f t="shared" si="18"/>
        <v>1.0825</v>
      </c>
      <c r="Q555">
        <v>2.4649999999999999</v>
      </c>
      <c r="R555">
        <v>1.7794999999999999</v>
      </c>
      <c r="S555">
        <f t="shared" si="19"/>
        <v>0.6855</v>
      </c>
      <c r="T555">
        <v>22.517000000000003</v>
      </c>
      <c r="U555">
        <v>145.44248957111321</v>
      </c>
      <c r="V555">
        <v>97.05064292318724</v>
      </c>
      <c r="W555">
        <v>103.74964904785156</v>
      </c>
      <c r="X555">
        <v>91.322021484375</v>
      </c>
      <c r="Y555">
        <v>117.58201599121094</v>
      </c>
      <c r="Z555">
        <v>6.3607007265090942E-2</v>
      </c>
    </row>
    <row r="556" spans="1:26" x14ac:dyDescent="0.2">
      <c r="A556" s="1">
        <v>42430</v>
      </c>
      <c r="B556" s="1">
        <v>42460</v>
      </c>
      <c r="C556">
        <v>64.400000000000006</v>
      </c>
      <c r="D556">
        <v>0.76570000000000005</v>
      </c>
      <c r="E556">
        <v>53.475487805675598</v>
      </c>
      <c r="F556">
        <v>54.475210411030403</v>
      </c>
      <c r="G556">
        <v>56.2</v>
      </c>
      <c r="H556">
        <v>52.2</v>
      </c>
      <c r="I556">
        <v>39.1</v>
      </c>
      <c r="J556">
        <v>7.74</v>
      </c>
      <c r="K556" s="2">
        <v>2</v>
      </c>
      <c r="L556">
        <v>0.3622580645161288</v>
      </c>
      <c r="M556">
        <f t="shared" si="20"/>
        <v>1.6377419354838711</v>
      </c>
      <c r="N556">
        <v>1.944</v>
      </c>
      <c r="O556">
        <v>0.875</v>
      </c>
      <c r="P556">
        <f t="shared" si="18"/>
        <v>1.069</v>
      </c>
      <c r="Q556">
        <v>2.5609999999999999</v>
      </c>
      <c r="R556">
        <v>1.8890909090909089</v>
      </c>
      <c r="S556">
        <f t="shared" si="19"/>
        <v>0.67190909090909101</v>
      </c>
      <c r="T556">
        <v>15.84909090909091</v>
      </c>
      <c r="U556">
        <v>156.88545366889099</v>
      </c>
      <c r="V556">
        <v>86.075867800942731</v>
      </c>
      <c r="W556">
        <v>109.72029113769531</v>
      </c>
      <c r="X556">
        <v>98.026931762695312</v>
      </c>
      <c r="Y556">
        <v>127.76814270019531</v>
      </c>
      <c r="Z556">
        <v>4.5267302542924881E-2</v>
      </c>
    </row>
    <row r="557" spans="1:26" x14ac:dyDescent="0.2">
      <c r="A557" s="1">
        <v>42461</v>
      </c>
      <c r="B557" s="1">
        <v>42489</v>
      </c>
      <c r="C557">
        <v>63.8</v>
      </c>
      <c r="D557">
        <v>0.76549999999999996</v>
      </c>
      <c r="E557">
        <v>54.392405402785698</v>
      </c>
      <c r="F557">
        <v>55.475954847991801</v>
      </c>
      <c r="G557">
        <v>60.9</v>
      </c>
      <c r="H557">
        <v>50.7</v>
      </c>
      <c r="I557">
        <v>42.3</v>
      </c>
      <c r="J557">
        <v>6.82</v>
      </c>
      <c r="K557" s="2">
        <v>2</v>
      </c>
      <c r="L557">
        <v>0.36533333333333323</v>
      </c>
      <c r="M557">
        <f t="shared" si="20"/>
        <v>1.6346666666666667</v>
      </c>
      <c r="N557">
        <v>1.931</v>
      </c>
      <c r="O557">
        <v>0.76809523809523805</v>
      </c>
      <c r="P557">
        <f t="shared" si="18"/>
        <v>1.1629047619047621</v>
      </c>
      <c r="Q557">
        <v>2.512</v>
      </c>
      <c r="R557">
        <v>1.8052380952380953</v>
      </c>
      <c r="S557">
        <f t="shared" si="19"/>
        <v>0.7067619047619047</v>
      </c>
      <c r="T557">
        <v>14.300476190476191</v>
      </c>
      <c r="U557">
        <v>140.07590006608751</v>
      </c>
      <c r="V557">
        <v>87.019380249165764</v>
      </c>
      <c r="W557">
        <v>85.221450805664062</v>
      </c>
      <c r="X557">
        <v>80.822441101074219</v>
      </c>
      <c r="Y557">
        <v>93.12298583984375</v>
      </c>
      <c r="Z557">
        <v>6.0417342931032181E-2</v>
      </c>
    </row>
    <row r="558" spans="1:26" x14ac:dyDescent="0.2">
      <c r="A558" s="1">
        <v>42491</v>
      </c>
      <c r="B558" s="1">
        <v>42521</v>
      </c>
      <c r="C558">
        <v>61.7</v>
      </c>
      <c r="D558">
        <v>0.72419999999999995</v>
      </c>
      <c r="E558">
        <v>53.589525449383601</v>
      </c>
      <c r="F558">
        <v>53.432803871234803</v>
      </c>
      <c r="G558">
        <v>55.1</v>
      </c>
      <c r="H558">
        <v>51.3</v>
      </c>
      <c r="I558">
        <v>47.1</v>
      </c>
      <c r="J558">
        <v>6.27</v>
      </c>
      <c r="K558" s="2">
        <v>1.77</v>
      </c>
      <c r="L558">
        <v>0.36516129032258049</v>
      </c>
      <c r="M558">
        <f t="shared" si="20"/>
        <v>1.4048387096774195</v>
      </c>
      <c r="N558">
        <v>1.6379999999999999</v>
      </c>
      <c r="O558">
        <v>0.81619047619047624</v>
      </c>
      <c r="P558">
        <f t="shared" si="18"/>
        <v>0.82180952380952366</v>
      </c>
      <c r="Q558">
        <v>2.3220000000000001</v>
      </c>
      <c r="R558">
        <v>1.8061904761904766</v>
      </c>
      <c r="S558">
        <f t="shared" si="19"/>
        <v>0.5158095238095235</v>
      </c>
      <c r="T558">
        <v>14.852857142857141</v>
      </c>
      <c r="U558">
        <v>123.49354568010649</v>
      </c>
      <c r="V558">
        <v>154.54204416210086</v>
      </c>
      <c r="W558">
        <v>88.332420349121094</v>
      </c>
      <c r="X558">
        <v>84.46136474609375</v>
      </c>
      <c r="Y558">
        <v>93.639656066894531</v>
      </c>
      <c r="Z558">
        <v>5.4627396166324615E-2</v>
      </c>
    </row>
    <row r="559" spans="1:26" x14ac:dyDescent="0.2">
      <c r="A559" s="1">
        <v>42522</v>
      </c>
      <c r="B559" s="1">
        <v>42551</v>
      </c>
      <c r="C559">
        <v>62.5</v>
      </c>
      <c r="D559">
        <v>0.74260000000000004</v>
      </c>
      <c r="E559">
        <v>53.349312212520303</v>
      </c>
      <c r="F559">
        <v>53.077227332011901</v>
      </c>
      <c r="G559">
        <v>52</v>
      </c>
      <c r="H559">
        <v>52.9</v>
      </c>
      <c r="I559">
        <v>48.5</v>
      </c>
      <c r="J559">
        <v>6.4</v>
      </c>
      <c r="K559" s="2">
        <v>1.75</v>
      </c>
      <c r="L559">
        <v>0.37766666666666676</v>
      </c>
      <c r="M559">
        <f t="shared" si="20"/>
        <v>1.3723333333333332</v>
      </c>
      <c r="N559">
        <v>1.619</v>
      </c>
      <c r="O559">
        <v>0.73136363636363622</v>
      </c>
      <c r="P559">
        <f t="shared" ref="P559:P622" si="21">N559-O559</f>
        <v>0.88763636363636378</v>
      </c>
      <c r="Q559">
        <v>2.125</v>
      </c>
      <c r="R559">
        <v>1.6440909090909095</v>
      </c>
      <c r="S559">
        <f t="shared" si="19"/>
        <v>0.48090909090909051</v>
      </c>
      <c r="T559">
        <v>17.774545454545457</v>
      </c>
      <c r="U559">
        <v>227.9623617785582</v>
      </c>
      <c r="V559">
        <v>206.14765791306237</v>
      </c>
      <c r="W559">
        <v>90.168128967285156</v>
      </c>
      <c r="X559">
        <v>80.512863159179688</v>
      </c>
      <c r="Y559">
        <v>100.85737609863281</v>
      </c>
      <c r="Z559">
        <v>8.4957756102085114E-2</v>
      </c>
    </row>
    <row r="560" spans="1:26" x14ac:dyDescent="0.2">
      <c r="A560" s="1">
        <v>42552</v>
      </c>
      <c r="B560" s="1">
        <v>42580</v>
      </c>
      <c r="C560">
        <v>63.3</v>
      </c>
      <c r="D560">
        <v>0.75219999999999998</v>
      </c>
      <c r="E560">
        <v>55.749934395633503</v>
      </c>
      <c r="F560">
        <v>57.003255786948998</v>
      </c>
      <c r="G560">
        <v>57.3</v>
      </c>
      <c r="H560">
        <v>61.2</v>
      </c>
      <c r="I560">
        <v>45.1</v>
      </c>
      <c r="J560">
        <v>6.76</v>
      </c>
      <c r="K560" s="2">
        <v>1.75</v>
      </c>
      <c r="L560">
        <v>0.39161290322580672</v>
      </c>
      <c r="M560">
        <f t="shared" si="20"/>
        <v>1.3583870967741933</v>
      </c>
      <c r="N560">
        <v>1.569</v>
      </c>
      <c r="O560">
        <v>0.6725000000000001</v>
      </c>
      <c r="P560">
        <f t="shared" si="21"/>
        <v>0.89649999999999985</v>
      </c>
      <c r="Q560">
        <v>1.9359999999999999</v>
      </c>
      <c r="R560">
        <v>1.504</v>
      </c>
      <c r="S560">
        <f t="shared" si="19"/>
        <v>0.43199999999999994</v>
      </c>
      <c r="T560">
        <v>13.1585</v>
      </c>
      <c r="U560">
        <v>202.2074764846067</v>
      </c>
      <c r="V560">
        <v>328.67583840976801</v>
      </c>
      <c r="W560">
        <v>114.61045074462891</v>
      </c>
      <c r="X560">
        <v>97.098045349121094</v>
      </c>
      <c r="Y560">
        <v>145.14874267578125</v>
      </c>
      <c r="Z560">
        <v>0.10312822461128235</v>
      </c>
    </row>
    <row r="561" spans="1:26" x14ac:dyDescent="0.2">
      <c r="A561" s="1">
        <v>42583</v>
      </c>
      <c r="B561" s="1">
        <v>42613</v>
      </c>
      <c r="C561">
        <v>63.2</v>
      </c>
      <c r="D561">
        <v>0.75139999999999996</v>
      </c>
      <c r="E561">
        <v>57.6562395190468</v>
      </c>
      <c r="F561">
        <v>59.827886747000697</v>
      </c>
      <c r="G561">
        <v>60.9</v>
      </c>
      <c r="H561">
        <v>67.400000000000006</v>
      </c>
      <c r="I561">
        <v>46.1</v>
      </c>
      <c r="J561">
        <v>7.14</v>
      </c>
      <c r="K561" s="2">
        <v>1.52</v>
      </c>
      <c r="L561">
        <v>0.39677419354838728</v>
      </c>
      <c r="M561">
        <f t="shared" si="20"/>
        <v>1.1232258064516127</v>
      </c>
      <c r="N561">
        <v>1.4390000000000001</v>
      </c>
      <c r="O561">
        <v>0.73739130434782607</v>
      </c>
      <c r="P561">
        <f t="shared" si="21"/>
        <v>0.70160869565217399</v>
      </c>
      <c r="Q561">
        <v>1.8919999999999999</v>
      </c>
      <c r="R561">
        <v>1.5565217391304347</v>
      </c>
      <c r="S561">
        <f t="shared" si="19"/>
        <v>0.33547826086956523</v>
      </c>
      <c r="T561">
        <v>12.399565217391308</v>
      </c>
      <c r="U561">
        <v>132.512604601802</v>
      </c>
      <c r="V561">
        <v>62.006282152754203</v>
      </c>
      <c r="W561">
        <v>98.738487243652344</v>
      </c>
      <c r="X561">
        <v>82.440467834472656</v>
      </c>
      <c r="Y561">
        <v>121.45369720458984</v>
      </c>
      <c r="Z561">
        <v>5.6853421032428741E-2</v>
      </c>
    </row>
    <row r="562" spans="1:26" x14ac:dyDescent="0.2">
      <c r="A562" s="1">
        <v>42614</v>
      </c>
      <c r="B562" s="1">
        <v>42643</v>
      </c>
      <c r="C562">
        <v>63.9</v>
      </c>
      <c r="D562">
        <v>0.76300000000000001</v>
      </c>
      <c r="E562">
        <v>58.901328911975902</v>
      </c>
      <c r="F562">
        <v>63.460047571637098</v>
      </c>
      <c r="G562">
        <v>57.8</v>
      </c>
      <c r="H562">
        <v>72.7</v>
      </c>
      <c r="I562">
        <v>46.2</v>
      </c>
      <c r="J562">
        <v>7.54</v>
      </c>
      <c r="K562" s="2">
        <v>1.5</v>
      </c>
      <c r="L562">
        <v>0.39633333333333348</v>
      </c>
      <c r="M562">
        <f t="shared" si="20"/>
        <v>1.1036666666666666</v>
      </c>
      <c r="N562">
        <v>1.5589999999999999</v>
      </c>
      <c r="O562">
        <v>0.77095238095238083</v>
      </c>
      <c r="P562">
        <f t="shared" si="21"/>
        <v>0.78804761904761911</v>
      </c>
      <c r="Q562">
        <v>2.004</v>
      </c>
      <c r="R562">
        <v>1.6304761904761906</v>
      </c>
      <c r="S562">
        <f t="shared" si="19"/>
        <v>0.37352380952380937</v>
      </c>
      <c r="T562">
        <v>14.21952380952381</v>
      </c>
      <c r="U562">
        <v>134.3582244697192</v>
      </c>
      <c r="V562">
        <v>88.086947043467191</v>
      </c>
      <c r="W562">
        <v>104.54522705078125</v>
      </c>
      <c r="X562">
        <v>95.489593505859375</v>
      </c>
      <c r="Y562">
        <v>121.15049743652344</v>
      </c>
      <c r="Z562">
        <v>0.1361161470413208</v>
      </c>
    </row>
    <row r="563" spans="1:26" x14ac:dyDescent="0.2">
      <c r="A563" s="1">
        <v>42644</v>
      </c>
      <c r="B563" s="1">
        <v>42674</v>
      </c>
      <c r="C563">
        <v>65</v>
      </c>
      <c r="D563">
        <v>0.76129999999999998</v>
      </c>
      <c r="E563">
        <v>62.558276482801503</v>
      </c>
      <c r="F563">
        <v>68.626015236695693</v>
      </c>
      <c r="G563">
        <v>59.1</v>
      </c>
      <c r="H563">
        <v>94.2</v>
      </c>
      <c r="I563">
        <v>49.7</v>
      </c>
      <c r="J563">
        <v>7.65</v>
      </c>
      <c r="K563" s="2">
        <v>1.5</v>
      </c>
      <c r="L563">
        <v>0.39645161290322589</v>
      </c>
      <c r="M563">
        <f t="shared" si="20"/>
        <v>1.1035483870967742</v>
      </c>
      <c r="N563">
        <v>1.677</v>
      </c>
      <c r="O563">
        <v>0.84299999999999997</v>
      </c>
      <c r="P563">
        <f t="shared" si="21"/>
        <v>0.83400000000000007</v>
      </c>
      <c r="Q563">
        <v>2.2309999999999999</v>
      </c>
      <c r="R563">
        <v>1.7645000000000004</v>
      </c>
      <c r="S563">
        <f t="shared" si="19"/>
        <v>0.46649999999999947</v>
      </c>
      <c r="T563">
        <v>14.585238095238097</v>
      </c>
      <c r="U563">
        <v>125.00919592609721</v>
      </c>
      <c r="V563">
        <v>49.835441583557284</v>
      </c>
      <c r="W563">
        <v>85.747787475585938</v>
      </c>
      <c r="X563">
        <v>79.648086547851562</v>
      </c>
      <c r="Y563">
        <v>100.30767822265625</v>
      </c>
      <c r="Z563">
        <v>3.9265729486942291E-2</v>
      </c>
    </row>
    <row r="564" spans="1:26" x14ac:dyDescent="0.2">
      <c r="A564" s="1">
        <v>42675</v>
      </c>
      <c r="B564" s="1">
        <v>42704</v>
      </c>
      <c r="C564">
        <v>65.3</v>
      </c>
      <c r="D564">
        <v>0.74739999999999995</v>
      </c>
      <c r="E564">
        <v>71.266629046758595</v>
      </c>
      <c r="F564">
        <v>79.363821663559804</v>
      </c>
      <c r="G564">
        <v>73.099999999999994</v>
      </c>
      <c r="H564">
        <v>103.4</v>
      </c>
      <c r="I564">
        <v>46.4</v>
      </c>
      <c r="J564">
        <v>7.59</v>
      </c>
      <c r="K564" s="2">
        <v>1.5</v>
      </c>
      <c r="L564">
        <v>0.40666666666666679</v>
      </c>
      <c r="M564">
        <f t="shared" si="20"/>
        <v>1.0933333333333333</v>
      </c>
      <c r="N564">
        <v>1.714</v>
      </c>
      <c r="O564">
        <v>0.97950000000000004</v>
      </c>
      <c r="P564">
        <f t="shared" si="21"/>
        <v>0.73449999999999993</v>
      </c>
      <c r="Q564">
        <v>2.5350000000000001</v>
      </c>
      <c r="R564">
        <v>2.1419999999999999</v>
      </c>
      <c r="S564">
        <f t="shared" si="19"/>
        <v>0.39300000000000024</v>
      </c>
      <c r="T564">
        <v>15.236190476190469</v>
      </c>
      <c r="U564">
        <v>226.21669276159361</v>
      </c>
      <c r="V564">
        <v>174.297990881136</v>
      </c>
      <c r="W564">
        <v>82.918754577636719</v>
      </c>
      <c r="X564">
        <v>81.22564697265625</v>
      </c>
      <c r="Y564">
        <v>83.975059509277344</v>
      </c>
      <c r="Z564">
        <v>6.6663250327110291E-2</v>
      </c>
    </row>
    <row r="565" spans="1:26" x14ac:dyDescent="0.2">
      <c r="A565" s="1">
        <v>42705</v>
      </c>
      <c r="B565" s="1">
        <v>42734</v>
      </c>
      <c r="C565">
        <v>63.9</v>
      </c>
      <c r="D565">
        <v>0.72360000000000002</v>
      </c>
      <c r="E565">
        <v>75.268990940125207</v>
      </c>
      <c r="F565">
        <v>80.308205239796393</v>
      </c>
      <c r="G565">
        <v>80</v>
      </c>
      <c r="H565">
        <v>88.2</v>
      </c>
      <c r="I565">
        <v>54.1</v>
      </c>
      <c r="J565">
        <v>7.59</v>
      </c>
      <c r="K565" s="2">
        <v>1.5</v>
      </c>
      <c r="L565">
        <v>0.54</v>
      </c>
      <c r="M565">
        <f t="shared" si="20"/>
        <v>0.96</v>
      </c>
      <c r="N565">
        <v>1.8440000000000001</v>
      </c>
      <c r="O565">
        <v>1.1966666666666665</v>
      </c>
      <c r="P565">
        <f t="shared" si="21"/>
        <v>0.64733333333333354</v>
      </c>
      <c r="Q565">
        <v>2.7989999999999999</v>
      </c>
      <c r="R565">
        <v>2.4919047619047618</v>
      </c>
      <c r="S565">
        <f t="shared" si="19"/>
        <v>0.30709523809523809</v>
      </c>
      <c r="T565">
        <v>12.472380952380954</v>
      </c>
      <c r="U565">
        <v>183.89426069197131</v>
      </c>
      <c r="V565">
        <v>166.67957591732957</v>
      </c>
      <c r="W565">
        <v>102.18046569824219</v>
      </c>
      <c r="X565">
        <v>93.936622619628906</v>
      </c>
      <c r="Y565">
        <v>113.97946166992188</v>
      </c>
      <c r="Z565">
        <v>5.9041380882263184E-2</v>
      </c>
    </row>
    <row r="566" spans="1:26" x14ac:dyDescent="0.2">
      <c r="A566" s="1">
        <v>42736</v>
      </c>
      <c r="B566" s="1">
        <v>42766</v>
      </c>
      <c r="C566">
        <v>65.8</v>
      </c>
      <c r="D566">
        <v>0.75670000000000004</v>
      </c>
      <c r="E566">
        <v>76.220642914992894</v>
      </c>
      <c r="F566">
        <v>76.416222430733995</v>
      </c>
      <c r="G566">
        <v>80.400000000000006</v>
      </c>
      <c r="H566">
        <v>83.7</v>
      </c>
      <c r="I566">
        <v>54.9</v>
      </c>
      <c r="J566">
        <v>8.0399999999999991</v>
      </c>
      <c r="K566" s="2">
        <v>1.5</v>
      </c>
      <c r="L566">
        <v>0.64967741935483869</v>
      </c>
      <c r="M566">
        <f t="shared" si="20"/>
        <v>0.85032258064516131</v>
      </c>
      <c r="N566">
        <v>1.83</v>
      </c>
      <c r="O566">
        <v>1.2064999999999999</v>
      </c>
      <c r="P566">
        <f t="shared" si="21"/>
        <v>0.62350000000000017</v>
      </c>
      <c r="Q566">
        <v>2.7109999999999999</v>
      </c>
      <c r="R566">
        <v>2.4325000000000001</v>
      </c>
      <c r="S566">
        <f t="shared" si="19"/>
        <v>0.27849999999999975</v>
      </c>
      <c r="T566">
        <v>11.608500000000001</v>
      </c>
      <c r="U566">
        <v>246.671374475504</v>
      </c>
      <c r="V566">
        <v>138.90889751777294</v>
      </c>
      <c r="W566">
        <v>105.20123291015625</v>
      </c>
      <c r="X566">
        <v>108.27700042724609</v>
      </c>
      <c r="Y566">
        <v>103.17117309570312</v>
      </c>
      <c r="Z566">
        <v>0.12662073969841003</v>
      </c>
    </row>
    <row r="567" spans="1:26" x14ac:dyDescent="0.2">
      <c r="A567" s="1">
        <v>42767</v>
      </c>
      <c r="B567" s="1">
        <v>42794</v>
      </c>
      <c r="C567">
        <v>66.7</v>
      </c>
      <c r="D567">
        <v>0.76880000000000004</v>
      </c>
      <c r="E567">
        <v>77.739469395180393</v>
      </c>
      <c r="F567">
        <v>77.740401418152999</v>
      </c>
      <c r="G567">
        <v>89.4</v>
      </c>
      <c r="H567">
        <v>80</v>
      </c>
      <c r="I567">
        <v>55.5</v>
      </c>
      <c r="J567">
        <v>8.41</v>
      </c>
      <c r="K567" s="2">
        <v>1.5</v>
      </c>
      <c r="L567">
        <v>0.65678571428571431</v>
      </c>
      <c r="M567">
        <f t="shared" si="20"/>
        <v>0.84321428571428569</v>
      </c>
      <c r="N567">
        <v>1.804</v>
      </c>
      <c r="O567">
        <v>1.2010526315789469</v>
      </c>
      <c r="P567">
        <f t="shared" si="21"/>
        <v>0.60294736842105312</v>
      </c>
      <c r="Q567">
        <v>2.738</v>
      </c>
      <c r="R567">
        <v>2.4189473684210525</v>
      </c>
      <c r="S567">
        <f t="shared" si="19"/>
        <v>0.31905263157894748</v>
      </c>
      <c r="T567">
        <v>11.530526315789473</v>
      </c>
      <c r="U567">
        <v>184.9553738581306</v>
      </c>
      <c r="V567">
        <v>77.741219323476642</v>
      </c>
      <c r="W567">
        <v>114.20635986328125</v>
      </c>
      <c r="X567">
        <v>125.66468048095703</v>
      </c>
      <c r="Y567">
        <v>97.151603698730469</v>
      </c>
      <c r="Z567">
        <v>0.17623086273670197</v>
      </c>
    </row>
    <row r="568" spans="1:26" x14ac:dyDescent="0.2">
      <c r="A568" s="1">
        <v>42795</v>
      </c>
      <c r="B568" s="1">
        <v>42825</v>
      </c>
      <c r="C568">
        <v>66.2</v>
      </c>
      <c r="D568">
        <v>0.76439999999999997</v>
      </c>
      <c r="E568">
        <v>76.531985342343702</v>
      </c>
      <c r="F568">
        <v>75.995065635807194</v>
      </c>
      <c r="G568">
        <v>87.7</v>
      </c>
      <c r="H568">
        <v>80.900000000000006</v>
      </c>
      <c r="I568">
        <v>52</v>
      </c>
      <c r="J568">
        <v>8.25</v>
      </c>
      <c r="K568" s="2">
        <v>1.5</v>
      </c>
      <c r="L568">
        <v>0.78612903225806452</v>
      </c>
      <c r="M568">
        <f t="shared" si="20"/>
        <v>0.71387096774193548</v>
      </c>
      <c r="N568">
        <v>1.8120000000000001</v>
      </c>
      <c r="O568">
        <v>1.3130434782608698</v>
      </c>
      <c r="P568">
        <f t="shared" si="21"/>
        <v>0.4989565217391303</v>
      </c>
      <c r="Q568">
        <v>2.8039999999999998</v>
      </c>
      <c r="R568">
        <v>2.4817391304347827</v>
      </c>
      <c r="S568">
        <f t="shared" si="19"/>
        <v>0.32226086956521716</v>
      </c>
      <c r="T568">
        <v>11.897826086956524</v>
      </c>
      <c r="U568">
        <v>233.11823673348971</v>
      </c>
      <c r="V568">
        <v>90.882098389375017</v>
      </c>
      <c r="W568">
        <v>96.635879516601562</v>
      </c>
      <c r="X568">
        <v>95.838424682617188</v>
      </c>
      <c r="Y568">
        <v>95.674545288085938</v>
      </c>
      <c r="Z568">
        <v>3.8454145193099976E-2</v>
      </c>
    </row>
    <row r="569" spans="1:26" x14ac:dyDescent="0.2">
      <c r="A569" s="1">
        <v>42826</v>
      </c>
      <c r="B569" s="1">
        <v>42853</v>
      </c>
      <c r="C569">
        <v>64.5</v>
      </c>
      <c r="D569">
        <v>0.74750000000000005</v>
      </c>
      <c r="E569">
        <v>72.786195045677005</v>
      </c>
      <c r="F569">
        <v>77.345424834189302</v>
      </c>
      <c r="G569">
        <v>70.2</v>
      </c>
      <c r="H569">
        <v>83.7</v>
      </c>
      <c r="I569">
        <v>53</v>
      </c>
      <c r="J569">
        <v>8.76</v>
      </c>
      <c r="K569" s="2">
        <v>1.5</v>
      </c>
      <c r="L569">
        <v>0.8959999999999998</v>
      </c>
      <c r="M569">
        <f t="shared" si="20"/>
        <v>0.6040000000000002</v>
      </c>
      <c r="N569">
        <v>1.671</v>
      </c>
      <c r="O569">
        <v>1.2410526315789474</v>
      </c>
      <c r="P569">
        <f t="shared" si="21"/>
        <v>0.42994736842105263</v>
      </c>
      <c r="Q569">
        <v>2.5569999999999999</v>
      </c>
      <c r="R569">
        <v>2.2973684210526319</v>
      </c>
      <c r="S569">
        <f t="shared" si="19"/>
        <v>0.25963157894736799</v>
      </c>
      <c r="T569">
        <v>13.136315789473683</v>
      </c>
      <c r="U569">
        <v>174.1963249234804</v>
      </c>
      <c r="V569">
        <v>82.154488698875397</v>
      </c>
      <c r="W569">
        <v>119.45992279052734</v>
      </c>
      <c r="X569">
        <v>127.44654846191406</v>
      </c>
      <c r="Y569">
        <v>108.06884002685547</v>
      </c>
      <c r="Z569">
        <v>0.14710518717765808</v>
      </c>
    </row>
    <row r="570" spans="1:26" x14ac:dyDescent="0.2">
      <c r="A570" s="1">
        <v>42856</v>
      </c>
      <c r="B570" s="1">
        <v>42886</v>
      </c>
      <c r="C570">
        <v>63.8</v>
      </c>
      <c r="D570">
        <v>0.745</v>
      </c>
      <c r="E570">
        <v>69.085486106022003</v>
      </c>
      <c r="F570">
        <v>67.492103780923301</v>
      </c>
      <c r="G570">
        <v>62.4</v>
      </c>
      <c r="H570">
        <v>74.400000000000006</v>
      </c>
      <c r="I570">
        <v>50.9</v>
      </c>
      <c r="J570">
        <v>9.1</v>
      </c>
      <c r="K570" s="2">
        <v>1.5</v>
      </c>
      <c r="L570">
        <v>0.90741935483870961</v>
      </c>
      <c r="M570">
        <f t="shared" si="20"/>
        <v>0.59258064516129039</v>
      </c>
      <c r="N570">
        <v>1.6559999999999999</v>
      </c>
      <c r="O570">
        <v>1.301818181818182</v>
      </c>
      <c r="P570">
        <f t="shared" si="21"/>
        <v>0.35418181818181793</v>
      </c>
      <c r="Q570">
        <v>2.548</v>
      </c>
      <c r="R570">
        <v>2.3036363636363633</v>
      </c>
      <c r="S570">
        <f t="shared" si="19"/>
        <v>0.24436363636363678</v>
      </c>
      <c r="T570">
        <v>10.862272727272728</v>
      </c>
      <c r="U570">
        <v>142.43882662110869</v>
      </c>
      <c r="V570">
        <v>66.112730207552687</v>
      </c>
      <c r="W570">
        <v>102.57996368408203</v>
      </c>
      <c r="X570">
        <v>102.35460662841797</v>
      </c>
      <c r="Y570">
        <v>99.704803466796875</v>
      </c>
      <c r="Z570">
        <v>0.13200649619102478</v>
      </c>
    </row>
    <row r="571" spans="1:26" x14ac:dyDescent="0.2">
      <c r="A571" s="1">
        <v>42887</v>
      </c>
      <c r="B571" s="1">
        <v>42916</v>
      </c>
      <c r="C571">
        <v>65.5</v>
      </c>
      <c r="D571">
        <v>0.76919999999999999</v>
      </c>
      <c r="E571">
        <v>66.9750707264037</v>
      </c>
      <c r="F571">
        <v>64.520521511378803</v>
      </c>
      <c r="G571">
        <v>57.5</v>
      </c>
      <c r="H571">
        <v>81.099999999999994</v>
      </c>
      <c r="I571">
        <v>46.9</v>
      </c>
      <c r="J571">
        <v>8.8800000000000008</v>
      </c>
      <c r="K571" s="2">
        <v>1.5</v>
      </c>
      <c r="L571">
        <v>1.04</v>
      </c>
      <c r="M571">
        <f t="shared" si="20"/>
        <v>0.45999999999999996</v>
      </c>
      <c r="N571">
        <v>1.6559999999999999</v>
      </c>
      <c r="O571">
        <v>1.3422727272727271</v>
      </c>
      <c r="P571">
        <f t="shared" si="21"/>
        <v>0.31372727272727285</v>
      </c>
      <c r="Q571">
        <v>2.4209999999999998</v>
      </c>
      <c r="R571">
        <v>2.186818181818182</v>
      </c>
      <c r="S571">
        <f t="shared" si="19"/>
        <v>0.23418181818181782</v>
      </c>
      <c r="T571">
        <v>10.513636363636364</v>
      </c>
      <c r="U571">
        <v>169.65664039410279</v>
      </c>
      <c r="V571">
        <v>72.203741527630186</v>
      </c>
      <c r="W571">
        <v>126.78901672363281</v>
      </c>
      <c r="X571">
        <v>113.16846466064453</v>
      </c>
      <c r="Y571">
        <v>146.67166137695312</v>
      </c>
      <c r="Z571">
        <v>0.18575851619243622</v>
      </c>
    </row>
    <row r="572" spans="1:26" x14ac:dyDescent="0.2">
      <c r="A572" s="1">
        <v>42917</v>
      </c>
      <c r="B572" s="1">
        <v>42947</v>
      </c>
      <c r="C572">
        <v>67.3</v>
      </c>
      <c r="D572">
        <v>0.79869999999999997</v>
      </c>
      <c r="E572">
        <v>67.726733285061599</v>
      </c>
      <c r="F572">
        <v>68.777073729053299</v>
      </c>
      <c r="G572">
        <v>67.7</v>
      </c>
      <c r="H572">
        <v>87.5</v>
      </c>
      <c r="I572">
        <v>48.7</v>
      </c>
      <c r="J572">
        <v>8.86</v>
      </c>
      <c r="K572" s="2">
        <v>1.5</v>
      </c>
      <c r="L572">
        <v>1.1506451612903223</v>
      </c>
      <c r="M572">
        <f t="shared" si="20"/>
        <v>0.34935483870967765</v>
      </c>
      <c r="N572">
        <v>1.78</v>
      </c>
      <c r="O572">
        <v>1.3724999999999998</v>
      </c>
      <c r="P572">
        <f t="shared" si="21"/>
        <v>0.4075000000000002</v>
      </c>
      <c r="Q572">
        <v>2.6640000000000001</v>
      </c>
      <c r="R572">
        <v>2.3179999999999996</v>
      </c>
      <c r="S572">
        <f t="shared" si="19"/>
        <v>0.34600000000000053</v>
      </c>
      <c r="T572">
        <v>10.2645</v>
      </c>
      <c r="U572">
        <v>162.89621385640601</v>
      </c>
      <c r="V572">
        <v>95.784654512599658</v>
      </c>
      <c r="W572">
        <v>102.81346130371094</v>
      </c>
      <c r="X572">
        <v>125.59920501708984</v>
      </c>
      <c r="Y572">
        <v>71.955055236816406</v>
      </c>
      <c r="Z572">
        <v>4.7687172889709473E-2</v>
      </c>
    </row>
    <row r="573" spans="1:26" x14ac:dyDescent="0.2">
      <c r="A573" s="1">
        <v>42948</v>
      </c>
      <c r="B573" s="1">
        <v>42978</v>
      </c>
      <c r="C573">
        <v>66.3</v>
      </c>
      <c r="D573">
        <v>0.78979999999999995</v>
      </c>
      <c r="E573">
        <v>69.727228246338697</v>
      </c>
      <c r="F573">
        <v>73.853210642739</v>
      </c>
      <c r="G573">
        <v>76.099999999999994</v>
      </c>
      <c r="H573">
        <v>98.6</v>
      </c>
      <c r="I573">
        <v>51.4</v>
      </c>
      <c r="J573">
        <v>8.92</v>
      </c>
      <c r="K573" s="2">
        <v>1.5</v>
      </c>
      <c r="L573">
        <v>1.1570967741935481</v>
      </c>
      <c r="M573">
        <f t="shared" si="20"/>
        <v>0.34290322580645194</v>
      </c>
      <c r="N573">
        <v>1.776</v>
      </c>
      <c r="O573">
        <v>1.3352173913043475</v>
      </c>
      <c r="P573">
        <f t="shared" si="21"/>
        <v>0.44078260869565256</v>
      </c>
      <c r="Q573">
        <v>2.6259999999999999</v>
      </c>
      <c r="R573">
        <v>2.2091304347826091</v>
      </c>
      <c r="S573">
        <f t="shared" si="19"/>
        <v>0.41686956521739083</v>
      </c>
      <c r="T573">
        <v>11.975652173913041</v>
      </c>
      <c r="U573">
        <v>139.12329903994461</v>
      </c>
      <c r="V573">
        <v>50.780499105777032</v>
      </c>
      <c r="W573">
        <v>138.5316162109375</v>
      </c>
      <c r="X573">
        <v>160.02310180664062</v>
      </c>
      <c r="Y573">
        <v>108.43595123291016</v>
      </c>
      <c r="Z573">
        <v>0.24033325910568237</v>
      </c>
    </row>
    <row r="574" spans="1:26" x14ac:dyDescent="0.2">
      <c r="A574" s="1">
        <v>42979</v>
      </c>
      <c r="B574" s="1">
        <v>43007</v>
      </c>
      <c r="C574">
        <v>66.2</v>
      </c>
      <c r="D574">
        <v>0.78390000000000004</v>
      </c>
      <c r="E574">
        <v>70.751009718051094</v>
      </c>
      <c r="F574">
        <v>72.406275483750306</v>
      </c>
      <c r="G574">
        <v>71.5</v>
      </c>
      <c r="H574">
        <v>97.8</v>
      </c>
      <c r="I574">
        <v>55.2</v>
      </c>
      <c r="J574">
        <v>8.64</v>
      </c>
      <c r="K574" s="2">
        <v>1.5</v>
      </c>
      <c r="L574">
        <v>1.1533333333333333</v>
      </c>
      <c r="M574">
        <f t="shared" si="20"/>
        <v>0.34666666666666668</v>
      </c>
      <c r="N574">
        <v>1.8939999999999999</v>
      </c>
      <c r="O574">
        <v>1.3844999999999998</v>
      </c>
      <c r="P574">
        <f t="shared" si="21"/>
        <v>0.50950000000000006</v>
      </c>
      <c r="Q574">
        <v>2.71</v>
      </c>
      <c r="R574">
        <v>2.2020000000000004</v>
      </c>
      <c r="S574">
        <f t="shared" si="19"/>
        <v>0.50799999999999956</v>
      </c>
      <c r="T574">
        <v>10.437999999999999</v>
      </c>
      <c r="U574">
        <v>155.78431698537969</v>
      </c>
      <c r="V574">
        <v>64.231222217169176</v>
      </c>
      <c r="W574">
        <v>115.53444671630859</v>
      </c>
      <c r="X574">
        <v>142.1448974609375</v>
      </c>
      <c r="Y574">
        <v>84.096267700195312</v>
      </c>
      <c r="Z574">
        <v>8.4885403513908386E-2</v>
      </c>
    </row>
    <row r="575" spans="1:26" x14ac:dyDescent="0.2">
      <c r="A575" s="1">
        <v>43009</v>
      </c>
      <c r="B575" s="1">
        <v>43039</v>
      </c>
      <c r="C575">
        <v>64.900000000000006</v>
      </c>
      <c r="D575">
        <v>0.76729999999999998</v>
      </c>
      <c r="E575">
        <v>68.412391819806103</v>
      </c>
      <c r="F575">
        <v>68.438837928724794</v>
      </c>
      <c r="G575">
        <v>61.7</v>
      </c>
      <c r="H575">
        <v>97.1</v>
      </c>
      <c r="I575">
        <v>57.6</v>
      </c>
      <c r="J575">
        <v>8.31</v>
      </c>
      <c r="K575" s="2">
        <v>1.5</v>
      </c>
      <c r="L575">
        <v>1.1538709677419354</v>
      </c>
      <c r="M575">
        <f t="shared" si="20"/>
        <v>0.34612903225806457</v>
      </c>
      <c r="N575">
        <v>1.905</v>
      </c>
      <c r="O575">
        <v>1.5495238095238095</v>
      </c>
      <c r="P575">
        <f t="shared" si="21"/>
        <v>0.3554761904761905</v>
      </c>
      <c r="Q575">
        <v>2.7679999999999998</v>
      </c>
      <c r="R575">
        <v>2.3600000000000003</v>
      </c>
      <c r="S575">
        <f t="shared" si="19"/>
        <v>0.40799999999999947</v>
      </c>
      <c r="T575">
        <v>10.125454545454547</v>
      </c>
      <c r="U575">
        <v>143.38464644781601</v>
      </c>
      <c r="V575">
        <v>75.126444569955311</v>
      </c>
      <c r="W575">
        <v>91.461570739746094</v>
      </c>
      <c r="X575">
        <v>109.23060607910156</v>
      </c>
      <c r="Y575">
        <v>69.156997680664062</v>
      </c>
      <c r="Z575">
        <v>8.1162244081497192E-2</v>
      </c>
    </row>
    <row r="576" spans="1:26" x14ac:dyDescent="0.2">
      <c r="A576" s="1">
        <v>43040</v>
      </c>
      <c r="B576" s="1">
        <v>43069</v>
      </c>
      <c r="C576">
        <v>63.6</v>
      </c>
      <c r="D576">
        <v>0.75849999999999995</v>
      </c>
      <c r="E576">
        <v>69.260903762165995</v>
      </c>
      <c r="F576">
        <v>70.547379773043204</v>
      </c>
      <c r="G576">
        <v>64.2</v>
      </c>
      <c r="H576">
        <v>96.6</v>
      </c>
      <c r="I576">
        <v>62.6</v>
      </c>
      <c r="J576">
        <v>8.4499999999999993</v>
      </c>
      <c r="K576" s="2">
        <v>1.5</v>
      </c>
      <c r="L576">
        <v>1.1569999999999998</v>
      </c>
      <c r="M576">
        <f t="shared" si="20"/>
        <v>0.34300000000000019</v>
      </c>
      <c r="N576">
        <v>1.7849999999999999</v>
      </c>
      <c r="O576">
        <v>1.6966666666666665</v>
      </c>
      <c r="P576">
        <f t="shared" si="21"/>
        <v>8.8333333333333375E-2</v>
      </c>
      <c r="Q576">
        <v>2.5649999999999999</v>
      </c>
      <c r="R576">
        <v>2.3533333333333331</v>
      </c>
      <c r="S576">
        <f t="shared" si="19"/>
        <v>0.21166666666666689</v>
      </c>
      <c r="T576">
        <v>10.540476190476189</v>
      </c>
      <c r="U576">
        <v>158.38645043224909</v>
      </c>
      <c r="V576">
        <v>86.140027073070442</v>
      </c>
      <c r="W576">
        <v>92.596015930175781</v>
      </c>
      <c r="X576">
        <v>103.94397735595703</v>
      </c>
      <c r="Y576">
        <v>80.115875244140625</v>
      </c>
      <c r="Z576">
        <v>2.9456321150064468E-2</v>
      </c>
    </row>
    <row r="577" spans="1:26" x14ac:dyDescent="0.2">
      <c r="A577" s="1">
        <v>43070</v>
      </c>
      <c r="B577" s="1">
        <v>43098</v>
      </c>
      <c r="C577">
        <v>64.900000000000006</v>
      </c>
      <c r="D577">
        <v>0.78</v>
      </c>
      <c r="E577">
        <v>70.975366280900602</v>
      </c>
      <c r="F577">
        <v>76.457118939548295</v>
      </c>
      <c r="G577">
        <v>72.3</v>
      </c>
      <c r="H577">
        <v>100.8</v>
      </c>
      <c r="I577">
        <v>64.2</v>
      </c>
      <c r="J577">
        <v>8.65</v>
      </c>
      <c r="K577" s="2">
        <v>1.5</v>
      </c>
      <c r="L577">
        <v>1.3016129032258068</v>
      </c>
      <c r="M577">
        <f t="shared" si="20"/>
        <v>0.19838709677419319</v>
      </c>
      <c r="N577">
        <v>1.901</v>
      </c>
      <c r="O577">
        <v>1.8440000000000001</v>
      </c>
      <c r="P577">
        <f t="shared" si="21"/>
        <v>5.699999999999994E-2</v>
      </c>
      <c r="Q577">
        <v>2.5830000000000002</v>
      </c>
      <c r="R577">
        <v>2.4024999999999999</v>
      </c>
      <c r="S577">
        <f t="shared" si="19"/>
        <v>0.18050000000000033</v>
      </c>
      <c r="T577">
        <v>10.2645</v>
      </c>
      <c r="U577">
        <v>146.27952752711789</v>
      </c>
      <c r="V577">
        <v>91.922996778066519</v>
      </c>
      <c r="W577">
        <v>82.718254089355469</v>
      </c>
      <c r="X577">
        <v>95.908447265625</v>
      </c>
      <c r="Y577">
        <v>62.657478332519531</v>
      </c>
      <c r="Z577">
        <v>0.1142282709479332</v>
      </c>
    </row>
    <row r="578" spans="1:26" x14ac:dyDescent="0.2">
      <c r="A578" s="1">
        <v>43101</v>
      </c>
      <c r="B578" s="1">
        <v>43131</v>
      </c>
      <c r="C578">
        <v>65.599999999999994</v>
      </c>
      <c r="D578">
        <v>0.80730000000000002</v>
      </c>
      <c r="E578">
        <v>74.572428640842602</v>
      </c>
      <c r="F578">
        <v>79.526497253864306</v>
      </c>
      <c r="G578">
        <v>76.3</v>
      </c>
      <c r="H578">
        <v>106.5</v>
      </c>
      <c r="I578">
        <v>69</v>
      </c>
      <c r="J578">
        <v>9.34</v>
      </c>
      <c r="K578" s="2">
        <v>1.5</v>
      </c>
      <c r="L578">
        <v>1.414516129032259</v>
      </c>
      <c r="M578">
        <f t="shared" si="20"/>
        <v>8.5483870967741016E-2</v>
      </c>
      <c r="N578">
        <v>1.9830000000000001</v>
      </c>
      <c r="O578">
        <v>2.0319047619047623</v>
      </c>
      <c r="P578">
        <f t="shared" si="21"/>
        <v>-4.8904761904762228E-2</v>
      </c>
      <c r="Q578">
        <v>2.7469999999999999</v>
      </c>
      <c r="R578">
        <v>2.5838095238095242</v>
      </c>
      <c r="S578">
        <f t="shared" si="19"/>
        <v>0.16319047619047566</v>
      </c>
      <c r="T578">
        <v>11.062380952380952</v>
      </c>
      <c r="U578">
        <v>175.1911479429767</v>
      </c>
      <c r="V578">
        <v>48.901424003446188</v>
      </c>
      <c r="W578">
        <v>92.426788330078125</v>
      </c>
      <c r="X578">
        <v>107.64431762695312</v>
      </c>
      <c r="Y578">
        <v>75.666290283203125</v>
      </c>
      <c r="Z578">
        <v>9.1106288135051727E-2</v>
      </c>
    </row>
    <row r="579" spans="1:26" x14ac:dyDescent="0.2">
      <c r="A579" s="1">
        <v>43132</v>
      </c>
      <c r="B579" s="1">
        <v>43159</v>
      </c>
      <c r="C579">
        <v>63.6</v>
      </c>
      <c r="D579">
        <v>0.7792</v>
      </c>
      <c r="E579">
        <v>76.228560325033499</v>
      </c>
      <c r="F579">
        <v>79.175663856144297</v>
      </c>
      <c r="G579">
        <v>77.5</v>
      </c>
      <c r="H579">
        <v>106</v>
      </c>
      <c r="I579">
        <v>65.400000000000006</v>
      </c>
      <c r="J579">
        <v>9.83</v>
      </c>
      <c r="K579" s="2">
        <v>1.5</v>
      </c>
      <c r="L579">
        <v>1.4175000000000009</v>
      </c>
      <c r="M579">
        <f t="shared" si="20"/>
        <v>8.249999999999913E-2</v>
      </c>
      <c r="N579">
        <v>1.958</v>
      </c>
      <c r="O579">
        <v>2.175263157894737</v>
      </c>
      <c r="P579">
        <f t="shared" si="21"/>
        <v>-0.21726315789473705</v>
      </c>
      <c r="Q579">
        <v>2.8450000000000002</v>
      </c>
      <c r="R579">
        <v>2.8589473684210525</v>
      </c>
      <c r="S579">
        <f t="shared" ref="S579:S642" si="22">Q579-R579</f>
        <v>-1.3947368421052264E-2</v>
      </c>
      <c r="T579">
        <v>22.464736842105264</v>
      </c>
      <c r="U579">
        <v>124.9334885684971</v>
      </c>
      <c r="V579">
        <v>67.914075321231834</v>
      </c>
      <c r="W579">
        <v>64.491371154785156</v>
      </c>
      <c r="X579">
        <v>74.683113098144531</v>
      </c>
      <c r="Y579">
        <v>52.002201080322266</v>
      </c>
      <c r="Z579">
        <v>2.7899190783500671E-2</v>
      </c>
    </row>
    <row r="580" spans="1:26" x14ac:dyDescent="0.2">
      <c r="A580" s="1">
        <v>43160</v>
      </c>
      <c r="B580" s="1">
        <v>43188</v>
      </c>
      <c r="C580">
        <v>62.3</v>
      </c>
      <c r="D580">
        <v>0.76649999999999996</v>
      </c>
      <c r="E580">
        <v>74.519833805307201</v>
      </c>
      <c r="F580">
        <v>75.075530217892506</v>
      </c>
      <c r="G580">
        <v>70.400000000000006</v>
      </c>
      <c r="H580">
        <v>96.7</v>
      </c>
      <c r="I580">
        <v>66.5</v>
      </c>
      <c r="J580">
        <v>10.11</v>
      </c>
      <c r="K580" s="2">
        <v>1.5</v>
      </c>
      <c r="L580">
        <v>1.5061290322580647</v>
      </c>
      <c r="M580">
        <f t="shared" si="20"/>
        <v>-6.129032258064715E-3</v>
      </c>
      <c r="N580">
        <v>1.984</v>
      </c>
      <c r="O580">
        <v>2.2757142857142854</v>
      </c>
      <c r="P580">
        <f t="shared" si="21"/>
        <v>-0.29171428571428537</v>
      </c>
      <c r="Q580">
        <v>2.7130000000000001</v>
      </c>
      <c r="R580">
        <v>2.8423809523809527</v>
      </c>
      <c r="S580">
        <f t="shared" si="22"/>
        <v>-0.1293809523809526</v>
      </c>
      <c r="T580">
        <v>19.023809523809526</v>
      </c>
      <c r="U580">
        <v>179.3731866077195</v>
      </c>
      <c r="V580">
        <v>84.093319348668288</v>
      </c>
      <c r="W580">
        <v>111.96229553222656</v>
      </c>
      <c r="X580">
        <v>146.92707824707031</v>
      </c>
      <c r="Y580">
        <v>64.557586669921875</v>
      </c>
      <c r="Z580">
        <v>0.15228019654750824</v>
      </c>
    </row>
    <row r="581" spans="1:26" x14ac:dyDescent="0.2">
      <c r="A581" s="1">
        <v>43191</v>
      </c>
      <c r="B581" s="1">
        <v>43220</v>
      </c>
      <c r="C581">
        <v>62.1</v>
      </c>
      <c r="D581">
        <v>0.75700000000000001</v>
      </c>
      <c r="E581">
        <v>72.566883675707999</v>
      </c>
      <c r="F581">
        <v>72.128601612372407</v>
      </c>
      <c r="G581">
        <v>65.8</v>
      </c>
      <c r="H581">
        <v>93.7</v>
      </c>
      <c r="I581">
        <v>71.599999999999994</v>
      </c>
      <c r="J581">
        <v>10.09</v>
      </c>
      <c r="K581" s="2">
        <v>1.5</v>
      </c>
      <c r="L581">
        <v>1.6923333333333344</v>
      </c>
      <c r="M581">
        <f t="shared" si="20"/>
        <v>-0.19233333333333436</v>
      </c>
      <c r="N581">
        <v>2.069</v>
      </c>
      <c r="O581">
        <v>2.3842857142857148</v>
      </c>
      <c r="P581">
        <f t="shared" si="21"/>
        <v>-0.31528571428571484</v>
      </c>
      <c r="Q581">
        <v>2.734</v>
      </c>
      <c r="R581">
        <v>2.8690476190476191</v>
      </c>
      <c r="S581">
        <f t="shared" si="22"/>
        <v>-0.13504761904761908</v>
      </c>
      <c r="T581">
        <v>18.267619047619046</v>
      </c>
      <c r="U581">
        <v>163.3187758624214</v>
      </c>
      <c r="V581">
        <v>48.264544299275556</v>
      </c>
      <c r="W581">
        <v>123.26347351074219</v>
      </c>
      <c r="X581">
        <v>146.39566040039062</v>
      </c>
      <c r="Y581">
        <v>94.305854797363281</v>
      </c>
      <c r="Z581">
        <v>5.1829136908054352E-2</v>
      </c>
    </row>
    <row r="582" spans="1:26" x14ac:dyDescent="0.2">
      <c r="A582" s="1">
        <v>43221</v>
      </c>
      <c r="B582" s="1">
        <v>43251</v>
      </c>
      <c r="C582">
        <v>62.8</v>
      </c>
      <c r="D582">
        <v>0.75639999999999996</v>
      </c>
      <c r="E582">
        <v>74.491167671808597</v>
      </c>
      <c r="F582">
        <v>74.904882467692602</v>
      </c>
      <c r="G582">
        <v>66.099999999999994</v>
      </c>
      <c r="H582">
        <v>105.3</v>
      </c>
      <c r="I582">
        <v>76.7</v>
      </c>
      <c r="J582">
        <v>10.25</v>
      </c>
      <c r="K582" s="2">
        <v>1.5</v>
      </c>
      <c r="L582">
        <v>1.7000000000000008</v>
      </c>
      <c r="M582">
        <f t="shared" si="20"/>
        <v>-0.20000000000000084</v>
      </c>
      <c r="N582">
        <v>2.0289999999999999</v>
      </c>
      <c r="O582">
        <v>2.5118181818181817</v>
      </c>
      <c r="P582">
        <f t="shared" si="21"/>
        <v>-0.48281818181818181</v>
      </c>
      <c r="Q582">
        <v>2.79</v>
      </c>
      <c r="R582">
        <v>2.977727272727273</v>
      </c>
      <c r="S582">
        <f t="shared" si="22"/>
        <v>-0.18772727272727296</v>
      </c>
      <c r="T582">
        <v>14.124545454545455</v>
      </c>
      <c r="U582">
        <v>170.22899062739199</v>
      </c>
      <c r="V582">
        <v>75.622559141978073</v>
      </c>
      <c r="W582">
        <v>125.66661834716797</v>
      </c>
      <c r="X582">
        <v>172.21670532226562</v>
      </c>
      <c r="Y582">
        <v>63.217903137207031</v>
      </c>
      <c r="Z582">
        <v>0.1512732207775116</v>
      </c>
    </row>
    <row r="583" spans="1:26" x14ac:dyDescent="0.2">
      <c r="A583" s="1">
        <v>43252</v>
      </c>
      <c r="B583" s="1">
        <v>43280</v>
      </c>
      <c r="C583">
        <v>62.6</v>
      </c>
      <c r="D583">
        <v>0.73909999999999998</v>
      </c>
      <c r="E583">
        <v>75.0776308400348</v>
      </c>
      <c r="F583">
        <v>77.357869107988193</v>
      </c>
      <c r="G583">
        <v>65</v>
      </c>
      <c r="H583">
        <v>114.3</v>
      </c>
      <c r="I583">
        <v>75.2</v>
      </c>
      <c r="J583">
        <v>10.44</v>
      </c>
      <c r="K583" s="2">
        <v>1.5</v>
      </c>
      <c r="L583">
        <v>1.8196666666666661</v>
      </c>
      <c r="M583">
        <f t="shared" si="20"/>
        <v>-0.3196666666666661</v>
      </c>
      <c r="N583">
        <v>2.048</v>
      </c>
      <c r="O583">
        <v>2.5333333333333341</v>
      </c>
      <c r="P583">
        <f t="shared" si="21"/>
        <v>-0.48533333333333406</v>
      </c>
      <c r="Q583">
        <v>2.6970000000000001</v>
      </c>
      <c r="R583">
        <v>2.9123809523809525</v>
      </c>
      <c r="S583">
        <f t="shared" si="22"/>
        <v>-0.21538095238095245</v>
      </c>
      <c r="T583">
        <v>13.678095238095239</v>
      </c>
      <c r="U583">
        <v>163.28961371676391</v>
      </c>
      <c r="V583">
        <v>92.404876173744313</v>
      </c>
      <c r="W583">
        <v>103.96858978271484</v>
      </c>
      <c r="X583">
        <v>137.02445983886719</v>
      </c>
      <c r="Y583">
        <v>56.640434265136719</v>
      </c>
      <c r="Z583">
        <v>9.0867787599563599E-2</v>
      </c>
    </row>
    <row r="584" spans="1:26" x14ac:dyDescent="0.2">
      <c r="A584" s="1">
        <v>43282</v>
      </c>
      <c r="B584" s="1">
        <v>43312</v>
      </c>
      <c r="C584">
        <v>63.5</v>
      </c>
      <c r="D584">
        <v>0.74309999999999998</v>
      </c>
      <c r="E584">
        <v>75.848209746973197</v>
      </c>
      <c r="F584">
        <v>76.155316206247903</v>
      </c>
      <c r="G584">
        <v>64.599999999999994</v>
      </c>
      <c r="H584">
        <v>119.6</v>
      </c>
      <c r="I584">
        <v>74.400000000000006</v>
      </c>
      <c r="J584">
        <v>10.44</v>
      </c>
      <c r="K584" s="2">
        <v>1.5</v>
      </c>
      <c r="L584">
        <v>1.9099999999999984</v>
      </c>
      <c r="M584">
        <f t="shared" si="20"/>
        <v>-0.40999999999999837</v>
      </c>
      <c r="N584">
        <v>2.0209999999999999</v>
      </c>
      <c r="O584">
        <v>2.6066666666666669</v>
      </c>
      <c r="P584">
        <f t="shared" si="21"/>
        <v>-0.585666666666667</v>
      </c>
      <c r="Q584">
        <v>2.637</v>
      </c>
      <c r="R584">
        <v>2.8890476190476195</v>
      </c>
      <c r="S584">
        <f t="shared" si="22"/>
        <v>-0.25204761904761952</v>
      </c>
      <c r="T584">
        <v>13.147619047619045</v>
      </c>
      <c r="U584">
        <v>225.10138661209371</v>
      </c>
      <c r="V584">
        <v>107.84212287570651</v>
      </c>
      <c r="W584">
        <v>110.02842712402344</v>
      </c>
      <c r="X584">
        <v>129.10234069824219</v>
      </c>
      <c r="Y584">
        <v>84.408470153808594</v>
      </c>
      <c r="Z584">
        <v>0.11100200563669205</v>
      </c>
    </row>
    <row r="585" spans="1:26" x14ac:dyDescent="0.2">
      <c r="A585" s="1">
        <v>43313</v>
      </c>
      <c r="B585" s="1">
        <v>43343</v>
      </c>
      <c r="C585">
        <v>62.2</v>
      </c>
      <c r="D585">
        <v>0.72599999999999998</v>
      </c>
      <c r="E585">
        <v>76.772557277282104</v>
      </c>
      <c r="F585">
        <v>77.195435771134797</v>
      </c>
      <c r="G585">
        <v>67.2</v>
      </c>
      <c r="H585">
        <v>117.3</v>
      </c>
      <c r="I585">
        <v>73.099999999999994</v>
      </c>
      <c r="J585">
        <v>10.88</v>
      </c>
      <c r="K585" s="2">
        <v>1.5</v>
      </c>
      <c r="L585">
        <v>1.91483870967742</v>
      </c>
      <c r="M585">
        <f t="shared" si="20"/>
        <v>-0.41483870967741998</v>
      </c>
      <c r="N585">
        <v>1.9970000000000001</v>
      </c>
      <c r="O585">
        <v>2.6356521739130438</v>
      </c>
      <c r="P585">
        <f t="shared" si="21"/>
        <v>-0.63865217391304374</v>
      </c>
      <c r="Q585">
        <v>2.59</v>
      </c>
      <c r="R585">
        <v>2.8891304347826088</v>
      </c>
      <c r="S585">
        <f t="shared" si="22"/>
        <v>-0.29913043478260892</v>
      </c>
      <c r="T585">
        <v>12.54695652173913</v>
      </c>
      <c r="U585">
        <v>170.62496253259491</v>
      </c>
      <c r="V585">
        <v>87.890720564832506</v>
      </c>
      <c r="W585">
        <v>112.74168395996094</v>
      </c>
      <c r="X585">
        <v>145.11407470703125</v>
      </c>
      <c r="Y585">
        <v>68.575592041015625</v>
      </c>
      <c r="Z585">
        <v>9.8535403609275818E-2</v>
      </c>
    </row>
    <row r="586" spans="1:26" x14ac:dyDescent="0.2">
      <c r="A586" s="1">
        <v>43344</v>
      </c>
      <c r="B586" s="1">
        <v>43371</v>
      </c>
      <c r="C586">
        <v>62.2</v>
      </c>
      <c r="D586">
        <v>0.72219999999999995</v>
      </c>
      <c r="E586">
        <v>78.363466536077595</v>
      </c>
      <c r="F586">
        <v>80.379933543768502</v>
      </c>
      <c r="G586">
        <v>68.400000000000006</v>
      </c>
      <c r="H586">
        <v>114.2</v>
      </c>
      <c r="I586">
        <v>78.900000000000006</v>
      </c>
      <c r="J586">
        <v>11.3</v>
      </c>
      <c r="K586" s="2">
        <v>1.5</v>
      </c>
      <c r="L586">
        <v>1.9546666666666674</v>
      </c>
      <c r="M586">
        <f t="shared" si="20"/>
        <v>-0.45466666666666744</v>
      </c>
      <c r="N586">
        <v>2.0259999999999998</v>
      </c>
      <c r="O586">
        <v>2.7678947368421056</v>
      </c>
      <c r="P586">
        <f t="shared" si="21"/>
        <v>-0.74189473684210583</v>
      </c>
      <c r="Q586">
        <v>2.6309999999999998</v>
      </c>
      <c r="R586">
        <v>3.0042105263157892</v>
      </c>
      <c r="S586">
        <f t="shared" si="22"/>
        <v>-0.37321052631578944</v>
      </c>
      <c r="T586">
        <v>12.910526315789474</v>
      </c>
      <c r="U586">
        <v>191.39904843942051</v>
      </c>
      <c r="V586">
        <v>81.040809268523887</v>
      </c>
      <c r="W586">
        <v>75.053909301757812</v>
      </c>
      <c r="X586">
        <v>88.623641967773438</v>
      </c>
      <c r="Y586">
        <v>51.163917541503906</v>
      </c>
      <c r="Z586">
        <v>4.1999161243438721E-2</v>
      </c>
    </row>
    <row r="587" spans="1:26" x14ac:dyDescent="0.2">
      <c r="A587" s="1">
        <v>43374</v>
      </c>
      <c r="B587" s="1">
        <v>43404</v>
      </c>
      <c r="C587">
        <v>61.9</v>
      </c>
      <c r="D587">
        <v>0.70850000000000002</v>
      </c>
      <c r="E587">
        <v>80.096781265474704</v>
      </c>
      <c r="F587">
        <v>82.547729722081897</v>
      </c>
      <c r="G587">
        <v>73.400000000000006</v>
      </c>
      <c r="H587">
        <v>108.7</v>
      </c>
      <c r="I587">
        <v>80.5</v>
      </c>
      <c r="J587">
        <v>11.66</v>
      </c>
      <c r="K587" s="2">
        <v>1.5</v>
      </c>
      <c r="L587">
        <v>2.1877419354838712</v>
      </c>
      <c r="M587">
        <f t="shared" ref="M587:M650" si="23">K587-L587</f>
        <v>-0.68774193548387119</v>
      </c>
      <c r="N587">
        <v>2.0009999999999999</v>
      </c>
      <c r="O587">
        <v>2.8609090909090913</v>
      </c>
      <c r="P587">
        <f t="shared" si="21"/>
        <v>-0.8599090909090914</v>
      </c>
      <c r="Q587">
        <v>2.6819999999999999</v>
      </c>
      <c r="R587">
        <v>3.1522727272727278</v>
      </c>
      <c r="S587">
        <f t="shared" si="22"/>
        <v>-0.47027272727272784</v>
      </c>
      <c r="T587">
        <v>19.35217391304348</v>
      </c>
      <c r="U587">
        <v>211.72607297503319</v>
      </c>
      <c r="V587">
        <v>75.76948960177458</v>
      </c>
      <c r="W587">
        <v>92.0164794921875</v>
      </c>
      <c r="X587">
        <v>115.21215057373047</v>
      </c>
      <c r="Y587">
        <v>61.150474548339844</v>
      </c>
      <c r="Z587">
        <v>7.4147306382656097E-2</v>
      </c>
    </row>
    <row r="588" spans="1:26" x14ac:dyDescent="0.2">
      <c r="A588" s="1">
        <v>43405</v>
      </c>
      <c r="B588" s="1">
        <v>43434</v>
      </c>
      <c r="C588">
        <v>63.3</v>
      </c>
      <c r="D588">
        <v>0.73160000000000003</v>
      </c>
      <c r="E588">
        <v>80.506122890231097</v>
      </c>
      <c r="F588">
        <v>82.397117271780701</v>
      </c>
      <c r="G588">
        <v>73.3</v>
      </c>
      <c r="H588">
        <v>100.7</v>
      </c>
      <c r="I588">
        <v>65.2</v>
      </c>
      <c r="J588">
        <v>11.7</v>
      </c>
      <c r="K588" s="2">
        <v>1.5</v>
      </c>
      <c r="L588">
        <v>2.197666666666668</v>
      </c>
      <c r="M588">
        <f t="shared" si="23"/>
        <v>-0.69766666666666799</v>
      </c>
      <c r="N588">
        <v>2.0390000000000001</v>
      </c>
      <c r="O588">
        <v>2.8590000000000004</v>
      </c>
      <c r="P588">
        <f t="shared" si="21"/>
        <v>-0.82000000000000028</v>
      </c>
      <c r="Q588">
        <v>2.6829999999999998</v>
      </c>
      <c r="R588">
        <v>3.1170000000000004</v>
      </c>
      <c r="S588">
        <f t="shared" si="22"/>
        <v>-0.43400000000000061</v>
      </c>
      <c r="T588">
        <v>19.389047619047616</v>
      </c>
      <c r="U588">
        <v>245.68164729957829</v>
      </c>
      <c r="V588">
        <v>88.825384752042908</v>
      </c>
      <c r="W588">
        <v>80.407585144042969</v>
      </c>
      <c r="X588">
        <v>105.16685485839844</v>
      </c>
      <c r="Y588">
        <v>47.402168273925781</v>
      </c>
      <c r="Z588">
        <v>8.4770902991294861E-2</v>
      </c>
    </row>
    <row r="589" spans="1:26" x14ac:dyDescent="0.2">
      <c r="A589" s="1">
        <v>43435</v>
      </c>
      <c r="B589" s="1">
        <v>43465</v>
      </c>
      <c r="C589">
        <v>60.7</v>
      </c>
      <c r="D589">
        <v>0.70579999999999998</v>
      </c>
      <c r="E589">
        <v>78.741934300169305</v>
      </c>
      <c r="F589">
        <v>80.652341184876803</v>
      </c>
      <c r="G589">
        <v>69.2</v>
      </c>
      <c r="H589">
        <v>101.4</v>
      </c>
      <c r="I589">
        <v>56.5</v>
      </c>
      <c r="J589">
        <v>12</v>
      </c>
      <c r="K589" s="2">
        <v>1.5</v>
      </c>
      <c r="L589">
        <v>2.2741935483870974</v>
      </c>
      <c r="M589">
        <f t="shared" si="23"/>
        <v>-0.77419354838709742</v>
      </c>
      <c r="N589">
        <v>1.9450000000000001</v>
      </c>
      <c r="O589">
        <v>2.6763157894736844</v>
      </c>
      <c r="P589">
        <f t="shared" si="21"/>
        <v>-0.73131578947368436</v>
      </c>
      <c r="Q589">
        <v>2.431</v>
      </c>
      <c r="R589">
        <v>2.8326315789473688</v>
      </c>
      <c r="S589">
        <f t="shared" si="22"/>
        <v>-0.40163157894736878</v>
      </c>
      <c r="T589">
        <v>24.953157894736844</v>
      </c>
      <c r="U589">
        <v>217.74816343716299</v>
      </c>
      <c r="V589">
        <v>110.49185760858613</v>
      </c>
      <c r="W589">
        <v>90.607666015625</v>
      </c>
      <c r="X589">
        <v>106.06269836425781</v>
      </c>
      <c r="Y589">
        <v>66.240928649902344</v>
      </c>
      <c r="Z589">
        <v>0.16897441446781158</v>
      </c>
    </row>
    <row r="590" spans="1:26" x14ac:dyDescent="0.2">
      <c r="A590" s="1">
        <v>43466</v>
      </c>
      <c r="B590" s="1">
        <v>43496</v>
      </c>
      <c r="C590">
        <v>61.6</v>
      </c>
      <c r="D590">
        <v>0.7268</v>
      </c>
      <c r="E590">
        <v>80.785725387094502</v>
      </c>
      <c r="F590">
        <v>81.399778497349203</v>
      </c>
      <c r="G590">
        <v>76.2</v>
      </c>
      <c r="H590">
        <v>98.6</v>
      </c>
      <c r="I590">
        <v>59.3</v>
      </c>
      <c r="J590">
        <v>12.01</v>
      </c>
      <c r="K590" s="2">
        <v>1.5</v>
      </c>
      <c r="L590">
        <v>2.4000000000000004</v>
      </c>
      <c r="M590">
        <f t="shared" si="23"/>
        <v>-0.90000000000000036</v>
      </c>
      <c r="N590">
        <v>1.8440000000000001</v>
      </c>
      <c r="O590">
        <v>2.5433333333333339</v>
      </c>
      <c r="P590">
        <f t="shared" si="21"/>
        <v>-0.69933333333333381</v>
      </c>
      <c r="Q590">
        <v>2.2709999999999999</v>
      </c>
      <c r="R590">
        <v>2.7138095238095241</v>
      </c>
      <c r="S590">
        <f t="shared" si="22"/>
        <v>-0.44280952380952421</v>
      </c>
      <c r="T590">
        <v>19.57238095238095</v>
      </c>
      <c r="U590">
        <v>241.36839458626349</v>
      </c>
      <c r="V590">
        <v>104.47289778833139</v>
      </c>
      <c r="W590">
        <v>87.424102783203125</v>
      </c>
      <c r="X590">
        <v>112.98045349121094</v>
      </c>
      <c r="Y590">
        <v>55.733509063720703</v>
      </c>
      <c r="Z590">
        <v>0.14874628186225891</v>
      </c>
    </row>
    <row r="591" spans="1:26" x14ac:dyDescent="0.2">
      <c r="A591" s="1">
        <v>43497</v>
      </c>
      <c r="B591" s="1">
        <v>43524</v>
      </c>
      <c r="C591">
        <v>60.7</v>
      </c>
      <c r="D591">
        <v>0.71460000000000001</v>
      </c>
      <c r="E591">
        <v>83.312686733803901</v>
      </c>
      <c r="F591">
        <v>85.641754309204103</v>
      </c>
      <c r="G591">
        <v>88.2</v>
      </c>
      <c r="H591">
        <v>95.4</v>
      </c>
      <c r="I591">
        <v>64.099999999999994</v>
      </c>
      <c r="J591">
        <v>11.81</v>
      </c>
      <c r="K591" s="2">
        <v>1.5</v>
      </c>
      <c r="L591">
        <v>2.3999999999999995</v>
      </c>
      <c r="M591">
        <f t="shared" si="23"/>
        <v>-0.89999999999999947</v>
      </c>
      <c r="N591">
        <v>1.738</v>
      </c>
      <c r="O591">
        <v>2.5042105263157892</v>
      </c>
      <c r="P591">
        <f t="shared" si="21"/>
        <v>-0.76621052631578923</v>
      </c>
      <c r="Q591">
        <v>2.1259999999999999</v>
      </c>
      <c r="R591">
        <v>2.676315789473684</v>
      </c>
      <c r="S591">
        <f t="shared" si="22"/>
        <v>-0.55031578947368409</v>
      </c>
      <c r="T591">
        <v>15.234736842105262</v>
      </c>
      <c r="U591">
        <v>172.53505598930519</v>
      </c>
      <c r="V591">
        <v>140.26930158940172</v>
      </c>
      <c r="W591">
        <v>96.800163269042969</v>
      </c>
      <c r="X591">
        <v>127.857421875</v>
      </c>
      <c r="Y591">
        <v>57.511699676513672</v>
      </c>
      <c r="Z591">
        <v>6.6093854606151581E-2</v>
      </c>
    </row>
    <row r="592" spans="1:26" x14ac:dyDescent="0.2">
      <c r="A592" s="1">
        <v>43525</v>
      </c>
      <c r="B592" s="1">
        <v>43553</v>
      </c>
      <c r="C592">
        <v>60.5</v>
      </c>
      <c r="D592">
        <v>0.7087</v>
      </c>
      <c r="E592">
        <v>83.943243806497904</v>
      </c>
      <c r="F592">
        <v>84.260350472645996</v>
      </c>
      <c r="G592">
        <v>86.5</v>
      </c>
      <c r="H592">
        <v>93.1</v>
      </c>
      <c r="I592">
        <v>66.400000000000006</v>
      </c>
      <c r="J592">
        <v>11.29</v>
      </c>
      <c r="K592" s="2">
        <v>1.5</v>
      </c>
      <c r="L592">
        <v>2.4051612903225803</v>
      </c>
      <c r="M592">
        <f t="shared" si="23"/>
        <v>-0.9051612903225803</v>
      </c>
      <c r="N592">
        <v>1.595</v>
      </c>
      <c r="O592">
        <v>2.4095238095238094</v>
      </c>
      <c r="P592">
        <f t="shared" si="21"/>
        <v>-0.81452380952380943</v>
      </c>
      <c r="Q592">
        <v>1.9570000000000001</v>
      </c>
      <c r="R592">
        <v>2.5709523809523809</v>
      </c>
      <c r="S592">
        <f t="shared" si="22"/>
        <v>-0.61395238095238081</v>
      </c>
      <c r="T592">
        <v>14.485238095238092</v>
      </c>
      <c r="U592">
        <v>238.2293656351633</v>
      </c>
      <c r="V592">
        <v>106.83220029324232</v>
      </c>
      <c r="W592">
        <v>82.328292846679688</v>
      </c>
      <c r="X592">
        <v>90.789596557617188</v>
      </c>
      <c r="Y592">
        <v>66.641204833984375</v>
      </c>
      <c r="Z592">
        <v>0.19187453389167786</v>
      </c>
    </row>
    <row r="593" spans="1:26" x14ac:dyDescent="0.2">
      <c r="A593" s="1">
        <v>43556</v>
      </c>
      <c r="B593" s="1">
        <v>43585</v>
      </c>
      <c r="C593">
        <v>60.5</v>
      </c>
      <c r="D593">
        <v>0.70389999999999997</v>
      </c>
      <c r="E593">
        <v>82.556616158117606</v>
      </c>
      <c r="F593">
        <v>83.536061913346202</v>
      </c>
      <c r="G593">
        <v>93.7</v>
      </c>
      <c r="H593">
        <v>86.8</v>
      </c>
      <c r="I593">
        <v>71.2</v>
      </c>
      <c r="J593">
        <v>10.27</v>
      </c>
      <c r="K593" s="2">
        <v>1.5</v>
      </c>
      <c r="L593">
        <v>2.4236666666666666</v>
      </c>
      <c r="M593">
        <f t="shared" si="23"/>
        <v>-0.92366666666666664</v>
      </c>
      <c r="N593">
        <v>1.458</v>
      </c>
      <c r="O593">
        <v>2.3447619047619046</v>
      </c>
      <c r="P593">
        <f t="shared" si="21"/>
        <v>-0.88676190476190464</v>
      </c>
      <c r="Q593">
        <v>1.865</v>
      </c>
      <c r="R593">
        <v>2.5323809523809522</v>
      </c>
      <c r="S593">
        <f t="shared" si="22"/>
        <v>-0.66738095238095219</v>
      </c>
      <c r="T593">
        <v>12.949047619047617</v>
      </c>
      <c r="U593">
        <v>188.79708522911761</v>
      </c>
      <c r="V593">
        <v>102.84971917052405</v>
      </c>
      <c r="W593">
        <v>79.253448486328125</v>
      </c>
      <c r="X593">
        <v>95.455398559570312</v>
      </c>
      <c r="Y593">
        <v>57.515529632568359</v>
      </c>
      <c r="Z593">
        <v>0.11639358848333359</v>
      </c>
    </row>
    <row r="594" spans="1:26" x14ac:dyDescent="0.2">
      <c r="A594" s="1">
        <v>43586</v>
      </c>
      <c r="B594" s="1">
        <v>43616</v>
      </c>
      <c r="C594">
        <v>60</v>
      </c>
      <c r="D594">
        <v>0.69159999999999999</v>
      </c>
      <c r="E594">
        <v>84.139961560692498</v>
      </c>
      <c r="F594">
        <v>85.355423972987495</v>
      </c>
      <c r="G594">
        <v>100.2</v>
      </c>
      <c r="H594">
        <v>82.3</v>
      </c>
      <c r="I594">
        <v>70.5</v>
      </c>
      <c r="J594">
        <v>10.15</v>
      </c>
      <c r="K594" s="2">
        <v>1.5</v>
      </c>
      <c r="L594">
        <v>2.3909677419354844</v>
      </c>
      <c r="M594">
        <f t="shared" si="23"/>
        <v>-0.89096774193548445</v>
      </c>
      <c r="N594">
        <v>1.234</v>
      </c>
      <c r="O594">
        <v>2.2063636363636361</v>
      </c>
      <c r="P594">
        <f t="shared" si="21"/>
        <v>-0.9723636363636361</v>
      </c>
      <c r="Q594">
        <v>1.655</v>
      </c>
      <c r="R594">
        <v>2.395</v>
      </c>
      <c r="S594">
        <f t="shared" si="22"/>
        <v>-0.74</v>
      </c>
      <c r="T594">
        <v>16.721818181818183</v>
      </c>
      <c r="U594">
        <v>220.9065123676254</v>
      </c>
      <c r="V594">
        <v>186.14723123308121</v>
      </c>
      <c r="W594">
        <v>106.47190093994141</v>
      </c>
      <c r="X594">
        <v>134.97251892089844</v>
      </c>
      <c r="Y594">
        <v>64.663436889648438</v>
      </c>
      <c r="Z594">
        <v>0.16332846879959106</v>
      </c>
    </row>
    <row r="595" spans="1:26" x14ac:dyDescent="0.2">
      <c r="A595" s="1">
        <v>43617</v>
      </c>
      <c r="B595" s="1">
        <v>43644</v>
      </c>
      <c r="C595">
        <v>60.1</v>
      </c>
      <c r="D595">
        <v>0.70130000000000003</v>
      </c>
      <c r="E595">
        <v>84.862147959788501</v>
      </c>
      <c r="F595">
        <v>85.511034489494406</v>
      </c>
      <c r="G595">
        <v>108.9</v>
      </c>
      <c r="H595">
        <v>72.5</v>
      </c>
      <c r="I595">
        <v>63.3</v>
      </c>
      <c r="J595">
        <v>10.039999999999999</v>
      </c>
      <c r="K595" s="2">
        <v>1.28</v>
      </c>
      <c r="L595">
        <v>2.3776666666666677</v>
      </c>
      <c r="M595">
        <f t="shared" si="23"/>
        <v>-1.0976666666666677</v>
      </c>
      <c r="N595">
        <v>1.008</v>
      </c>
      <c r="O595">
        <v>1.8139999999999996</v>
      </c>
      <c r="P595">
        <f t="shared" si="21"/>
        <v>-0.80599999999999961</v>
      </c>
      <c r="Q595">
        <v>1.3859999999999999</v>
      </c>
      <c r="R595">
        <v>2.0739999999999998</v>
      </c>
      <c r="S595">
        <f t="shared" si="22"/>
        <v>-0.68799999999999994</v>
      </c>
      <c r="T595">
        <v>15.835999999999999</v>
      </c>
      <c r="U595">
        <v>317.30082672463948</v>
      </c>
      <c r="V595">
        <v>104.01030577749894</v>
      </c>
      <c r="W595">
        <v>106.58845520019531</v>
      </c>
      <c r="X595">
        <v>142.65348815917969</v>
      </c>
      <c r="Y595">
        <v>53.420639038085938</v>
      </c>
      <c r="Z595">
        <v>0.11217533797025681</v>
      </c>
    </row>
    <row r="596" spans="1:26" x14ac:dyDescent="0.2">
      <c r="A596" s="1">
        <v>43647</v>
      </c>
      <c r="B596" s="1">
        <v>43677</v>
      </c>
      <c r="C596">
        <v>59.5</v>
      </c>
      <c r="D596">
        <v>0.68940000000000001</v>
      </c>
      <c r="E596">
        <v>87.044735469494995</v>
      </c>
      <c r="F596">
        <v>88.533302001309394</v>
      </c>
      <c r="G596">
        <v>120.2</v>
      </c>
      <c r="H596">
        <v>72.099999999999994</v>
      </c>
      <c r="I596">
        <v>64</v>
      </c>
      <c r="J596">
        <v>10.130000000000001</v>
      </c>
      <c r="K596" s="2">
        <v>1.02</v>
      </c>
      <c r="L596">
        <v>2.4029032258064511</v>
      </c>
      <c r="M596">
        <f t="shared" si="23"/>
        <v>-1.3829032258064511</v>
      </c>
      <c r="N596">
        <v>0.93300000000000005</v>
      </c>
      <c r="O596">
        <v>1.8350000000000002</v>
      </c>
      <c r="P596">
        <f t="shared" si="21"/>
        <v>-0.90200000000000014</v>
      </c>
      <c r="Q596">
        <v>1.32</v>
      </c>
      <c r="R596">
        <v>2.0590909090909091</v>
      </c>
      <c r="S596">
        <f t="shared" si="22"/>
        <v>-0.73909090909090902</v>
      </c>
      <c r="T596">
        <v>13.305909090909092</v>
      </c>
      <c r="U596">
        <v>247.12975222670971</v>
      </c>
      <c r="V596">
        <v>87.194295715995395</v>
      </c>
      <c r="W596">
        <v>93.521255493164062</v>
      </c>
      <c r="X596">
        <v>126.93077850341797</v>
      </c>
      <c r="Y596">
        <v>47.418857574462891</v>
      </c>
      <c r="Z596">
        <v>0.15042915940284729</v>
      </c>
    </row>
    <row r="597" spans="1:26" x14ac:dyDescent="0.2">
      <c r="A597" s="1">
        <v>43678</v>
      </c>
      <c r="B597" s="1">
        <v>43707</v>
      </c>
      <c r="C597">
        <v>58.9</v>
      </c>
      <c r="D597">
        <v>0.67179999999999995</v>
      </c>
      <c r="E597">
        <v>83.4954698344973</v>
      </c>
      <c r="F597">
        <v>77.859122383116599</v>
      </c>
      <c r="G597">
        <v>93.1</v>
      </c>
      <c r="H597">
        <v>65.599999999999994</v>
      </c>
      <c r="I597">
        <v>59.3</v>
      </c>
      <c r="J597">
        <v>10.86</v>
      </c>
      <c r="K597" s="2">
        <v>1</v>
      </c>
      <c r="L597">
        <v>2.1258064516129029</v>
      </c>
      <c r="M597">
        <f t="shared" si="23"/>
        <v>-1.1258064516129029</v>
      </c>
      <c r="N597">
        <v>0.73</v>
      </c>
      <c r="O597">
        <v>1.5713636363636363</v>
      </c>
      <c r="P597">
        <f t="shared" si="21"/>
        <v>-0.84136363636363631</v>
      </c>
      <c r="Q597">
        <v>0.95899999999999996</v>
      </c>
      <c r="R597">
        <v>1.6263636363636365</v>
      </c>
      <c r="S597">
        <f t="shared" si="22"/>
        <v>-0.66736363636363649</v>
      </c>
      <c r="T597">
        <v>18.979090909090914</v>
      </c>
      <c r="U597">
        <v>288.16015481350888</v>
      </c>
      <c r="V597">
        <v>195.44833525431088</v>
      </c>
      <c r="W597">
        <v>103.4044189453125</v>
      </c>
      <c r="X597">
        <v>124.72541809082031</v>
      </c>
      <c r="Y597">
        <v>70.097442626953125</v>
      </c>
      <c r="Z597">
        <v>0.18582426011562347</v>
      </c>
    </row>
    <row r="598" spans="1:26" x14ac:dyDescent="0.2">
      <c r="A598" s="1">
        <v>43709</v>
      </c>
      <c r="B598" s="1">
        <v>43738</v>
      </c>
      <c r="C598">
        <v>59.2</v>
      </c>
      <c r="D598">
        <v>0.67490000000000006</v>
      </c>
      <c r="E598">
        <v>81.057588906680294</v>
      </c>
      <c r="F598">
        <v>78.617202049547899</v>
      </c>
      <c r="G598">
        <v>93.1</v>
      </c>
      <c r="H598">
        <v>66</v>
      </c>
      <c r="I598">
        <v>62.3</v>
      </c>
      <c r="J598">
        <v>10.14</v>
      </c>
      <c r="K598" s="2">
        <v>1</v>
      </c>
      <c r="L598">
        <v>2.0429999999999997</v>
      </c>
      <c r="M598">
        <f t="shared" si="23"/>
        <v>-1.0429999999999997</v>
      </c>
      <c r="N598">
        <v>0.80400000000000005</v>
      </c>
      <c r="O598">
        <v>1.6480000000000001</v>
      </c>
      <c r="P598">
        <f t="shared" si="21"/>
        <v>-0.84400000000000008</v>
      </c>
      <c r="Q598">
        <v>1.0349999999999999</v>
      </c>
      <c r="R598">
        <v>1.6994999999999998</v>
      </c>
      <c r="S598">
        <f t="shared" si="22"/>
        <v>-0.66449999999999987</v>
      </c>
      <c r="T598">
        <v>15.558999999999997</v>
      </c>
      <c r="U598">
        <v>235.63480178623311</v>
      </c>
      <c r="V598">
        <v>133.9551547100105</v>
      </c>
      <c r="W598">
        <v>90.367988586425781</v>
      </c>
      <c r="X598">
        <v>110.87094879150391</v>
      </c>
      <c r="Y598">
        <v>67.810234069824219</v>
      </c>
      <c r="Z598">
        <v>0.1062934622168541</v>
      </c>
    </row>
    <row r="599" spans="1:26" x14ac:dyDescent="0.2">
      <c r="A599" s="1">
        <v>43739</v>
      </c>
      <c r="B599" s="1">
        <v>43769</v>
      </c>
      <c r="C599">
        <v>60</v>
      </c>
      <c r="D599">
        <v>0.69259999999999999</v>
      </c>
      <c r="E599">
        <v>77.788970781127205</v>
      </c>
      <c r="F599">
        <v>77.301874680014194</v>
      </c>
      <c r="G599">
        <v>88.5</v>
      </c>
      <c r="H599">
        <v>69.2</v>
      </c>
      <c r="I599">
        <v>59.4</v>
      </c>
      <c r="J599">
        <v>9.98</v>
      </c>
      <c r="K599" s="2">
        <v>0.76</v>
      </c>
      <c r="L599">
        <v>1.8296774193548386</v>
      </c>
      <c r="M599">
        <f t="shared" si="23"/>
        <v>-1.0696774193548386</v>
      </c>
      <c r="N599">
        <v>0.71699999999999997</v>
      </c>
      <c r="O599">
        <v>1.5513636363636367</v>
      </c>
      <c r="P599">
        <f t="shared" si="21"/>
        <v>-0.83436363636363675</v>
      </c>
      <c r="Q599">
        <v>1.0369999999999999</v>
      </c>
      <c r="R599">
        <v>1.706818181818182</v>
      </c>
      <c r="S599">
        <f t="shared" si="22"/>
        <v>-0.66981818181818209</v>
      </c>
      <c r="T599">
        <v>15.466521739130433</v>
      </c>
      <c r="U599">
        <v>200.80726812118979</v>
      </c>
      <c r="V599">
        <v>135.13117575545687</v>
      </c>
      <c r="W599">
        <v>97.83673095703125</v>
      </c>
      <c r="X599">
        <v>121.31104278564453</v>
      </c>
      <c r="Y599">
        <v>69.966583251953125</v>
      </c>
      <c r="Z599">
        <v>8.8287226855754852E-2</v>
      </c>
    </row>
    <row r="600" spans="1:26" x14ac:dyDescent="0.2">
      <c r="A600" s="1">
        <v>43770</v>
      </c>
      <c r="B600" s="1">
        <v>43798</v>
      </c>
      <c r="C600">
        <v>59</v>
      </c>
      <c r="D600">
        <v>0.67769999999999997</v>
      </c>
      <c r="E600">
        <v>77.3278877840619</v>
      </c>
      <c r="F600">
        <v>74.778035401544599</v>
      </c>
      <c r="G600">
        <v>85</v>
      </c>
      <c r="H600">
        <v>67</v>
      </c>
      <c r="I600">
        <v>62.7</v>
      </c>
      <c r="J600">
        <v>10.039999999999999</v>
      </c>
      <c r="K600" s="2">
        <v>0.75</v>
      </c>
      <c r="L600">
        <v>1.5533333333333332</v>
      </c>
      <c r="M600">
        <f t="shared" si="23"/>
        <v>-0.80333333333333323</v>
      </c>
      <c r="N600">
        <v>0.79100000000000004</v>
      </c>
      <c r="O600">
        <v>1.6126315789473686</v>
      </c>
      <c r="P600">
        <f t="shared" si="21"/>
        <v>-0.8216315789473686</v>
      </c>
      <c r="Q600">
        <v>1.1519999999999999</v>
      </c>
      <c r="R600">
        <v>1.8121052631578947</v>
      </c>
      <c r="S600">
        <f t="shared" si="22"/>
        <v>-0.66010526315789475</v>
      </c>
      <c r="T600">
        <v>12.5235</v>
      </c>
      <c r="U600">
        <v>240.63047009038871</v>
      </c>
      <c r="V600">
        <v>115.61842520801117</v>
      </c>
      <c r="W600">
        <v>73.078384399414062</v>
      </c>
      <c r="X600">
        <v>84.587303161621094</v>
      </c>
      <c r="Y600">
        <v>53.03253173828125</v>
      </c>
      <c r="Z600">
        <v>0.11443661898374557</v>
      </c>
    </row>
    <row r="601" spans="1:26" x14ac:dyDescent="0.2">
      <c r="A601" s="1">
        <v>43800</v>
      </c>
      <c r="B601" s="1">
        <v>43830</v>
      </c>
      <c r="C601">
        <v>60.3</v>
      </c>
      <c r="D601">
        <v>0.7006</v>
      </c>
      <c r="E601">
        <v>76.942210091594902</v>
      </c>
      <c r="F601">
        <v>76.786157519150393</v>
      </c>
      <c r="G601">
        <v>92.7</v>
      </c>
      <c r="H601">
        <v>66.2</v>
      </c>
      <c r="I601">
        <v>65.900000000000006</v>
      </c>
      <c r="J601">
        <v>10.06</v>
      </c>
      <c r="K601" s="2">
        <v>0.75</v>
      </c>
      <c r="L601">
        <v>1.550967741935483</v>
      </c>
      <c r="M601">
        <f t="shared" si="23"/>
        <v>-0.80096774193548304</v>
      </c>
      <c r="N601">
        <v>0.79900000000000004</v>
      </c>
      <c r="O601">
        <v>1.6133333333333331</v>
      </c>
      <c r="P601">
        <f t="shared" si="21"/>
        <v>-0.81433333333333302</v>
      </c>
      <c r="Q601">
        <v>1.202</v>
      </c>
      <c r="R601">
        <v>1.862857142857143</v>
      </c>
      <c r="S601">
        <f t="shared" si="22"/>
        <v>-0.66085714285714303</v>
      </c>
      <c r="T601">
        <v>13.756666666666666</v>
      </c>
      <c r="U601">
        <v>230.83284998772581</v>
      </c>
      <c r="V601">
        <v>130.49595885906686</v>
      </c>
      <c r="W601">
        <v>74.279891967773438</v>
      </c>
      <c r="X601">
        <v>80.110771179199219</v>
      </c>
      <c r="Y601">
        <v>63.331352233886719</v>
      </c>
      <c r="Z601">
        <v>0.11163964867591858</v>
      </c>
    </row>
    <row r="602" spans="1:26" x14ac:dyDescent="0.2">
      <c r="A602" s="1">
        <v>43831</v>
      </c>
      <c r="B602" s="1">
        <v>43861</v>
      </c>
      <c r="C602">
        <v>58.1</v>
      </c>
      <c r="D602">
        <v>0.6724</v>
      </c>
      <c r="E602">
        <v>77.548747647131705</v>
      </c>
      <c r="F602">
        <v>78.967305187996303</v>
      </c>
      <c r="G602">
        <v>95.8</v>
      </c>
      <c r="H602">
        <v>69.7</v>
      </c>
      <c r="I602">
        <v>63.6</v>
      </c>
      <c r="J602">
        <v>9.89</v>
      </c>
      <c r="K602" s="2">
        <v>0.75</v>
      </c>
      <c r="L602">
        <v>1.5506451612903218</v>
      </c>
      <c r="M602">
        <f t="shared" si="23"/>
        <v>-0.80064516129032182</v>
      </c>
      <c r="N602">
        <v>0.76300000000000001</v>
      </c>
      <c r="O602">
        <v>1.5190476190476194</v>
      </c>
      <c r="P602">
        <f t="shared" si="21"/>
        <v>-0.75604761904761941</v>
      </c>
      <c r="Q602">
        <v>1.159</v>
      </c>
      <c r="R602">
        <v>1.7576190476190474</v>
      </c>
      <c r="S602">
        <f t="shared" si="22"/>
        <v>-0.59861904761904738</v>
      </c>
      <c r="T602">
        <v>13.940952380952378</v>
      </c>
      <c r="U602">
        <v>190.51088953993971</v>
      </c>
      <c r="V602">
        <v>100.99529933631391</v>
      </c>
      <c r="W602">
        <v>138.42094421386719</v>
      </c>
      <c r="X602">
        <v>190.8443603515625</v>
      </c>
      <c r="Y602">
        <v>81.65093994140625</v>
      </c>
      <c r="Z602">
        <v>0.19413192570209503</v>
      </c>
    </row>
    <row r="603" spans="1:26" x14ac:dyDescent="0.2">
      <c r="A603" s="1">
        <v>43862</v>
      </c>
      <c r="B603" s="1">
        <v>43889</v>
      </c>
      <c r="C603">
        <v>57</v>
      </c>
      <c r="D603">
        <v>0.65239999999999998</v>
      </c>
      <c r="E603">
        <v>77.636955280135695</v>
      </c>
      <c r="F603">
        <v>78.305113306793302</v>
      </c>
      <c r="G603">
        <v>87.7</v>
      </c>
      <c r="H603">
        <v>67.599999999999994</v>
      </c>
      <c r="I603">
        <v>55</v>
      </c>
      <c r="J603">
        <v>9.89</v>
      </c>
      <c r="K603" s="2">
        <v>0.75</v>
      </c>
      <c r="L603">
        <v>1.5831034482758615</v>
      </c>
      <c r="M603">
        <f t="shared" si="23"/>
        <v>-0.83310344827586147</v>
      </c>
      <c r="N603">
        <v>0.69699999999999995</v>
      </c>
      <c r="O603">
        <v>1.3310526315789473</v>
      </c>
      <c r="P603">
        <f t="shared" si="21"/>
        <v>-0.63405263157894731</v>
      </c>
      <c r="Q603">
        <v>0.98399999999999999</v>
      </c>
      <c r="R603">
        <v>1.5042105263157894</v>
      </c>
      <c r="S603">
        <f t="shared" si="22"/>
        <v>-0.52021052631578946</v>
      </c>
      <c r="T603">
        <v>19.628947368421056</v>
      </c>
      <c r="U603">
        <v>194.9254489228282</v>
      </c>
      <c r="V603">
        <v>144.91089044419817</v>
      </c>
      <c r="W603">
        <v>75.955558776855469</v>
      </c>
      <c r="X603">
        <v>87.162452697753906</v>
      </c>
      <c r="Y603">
        <v>56.686050415039062</v>
      </c>
      <c r="Z603">
        <v>8.0249667167663574E-2</v>
      </c>
    </row>
    <row r="604" spans="1:26" x14ac:dyDescent="0.2">
      <c r="A604" s="1">
        <v>43891</v>
      </c>
      <c r="B604" s="1">
        <v>43921</v>
      </c>
      <c r="C604">
        <v>54.7</v>
      </c>
      <c r="D604">
        <v>0.61750000000000005</v>
      </c>
      <c r="E604">
        <v>76.449414659335801</v>
      </c>
      <c r="F604">
        <v>76.900120043242694</v>
      </c>
      <c r="G604">
        <v>89</v>
      </c>
      <c r="H604">
        <v>66.7</v>
      </c>
      <c r="I604">
        <v>33</v>
      </c>
      <c r="J604">
        <v>10.210000000000001</v>
      </c>
      <c r="K604" s="2">
        <v>0.43</v>
      </c>
      <c r="L604">
        <v>0.652258064516129</v>
      </c>
      <c r="M604">
        <f t="shared" si="23"/>
        <v>-0.22225806451612901</v>
      </c>
      <c r="N604">
        <v>0.38600000000000001</v>
      </c>
      <c r="O604">
        <v>0.44818181818181829</v>
      </c>
      <c r="P604">
        <f t="shared" si="21"/>
        <v>-6.2181818181818282E-2</v>
      </c>
      <c r="Q604">
        <v>0.88400000000000001</v>
      </c>
      <c r="R604">
        <v>0.86999999999999966</v>
      </c>
      <c r="S604">
        <f t="shared" si="22"/>
        <v>1.4000000000000346E-2</v>
      </c>
      <c r="T604">
        <v>57.736818181818172</v>
      </c>
      <c r="U604">
        <v>315.02410318626278</v>
      </c>
      <c r="V604">
        <v>311.97371924338995</v>
      </c>
      <c r="W604">
        <v>81.540031433105469</v>
      </c>
      <c r="X604">
        <v>97.090072631835938</v>
      </c>
      <c r="Y604">
        <v>62.902988433837891</v>
      </c>
      <c r="Z604">
        <v>0.12399521470069885</v>
      </c>
    </row>
    <row r="605" spans="1:26" x14ac:dyDescent="0.2">
      <c r="A605" s="1">
        <v>43922</v>
      </c>
      <c r="B605" s="1">
        <v>43951</v>
      </c>
      <c r="C605">
        <v>57.8</v>
      </c>
      <c r="D605">
        <v>0.65659999999999996</v>
      </c>
      <c r="E605">
        <v>74.364823921353903</v>
      </c>
      <c r="F605">
        <v>71.613758939335099</v>
      </c>
      <c r="G605">
        <v>84.7</v>
      </c>
      <c r="H605">
        <v>58.6</v>
      </c>
      <c r="I605">
        <v>23.3</v>
      </c>
      <c r="J605">
        <v>10.01</v>
      </c>
      <c r="K605" s="2">
        <v>0.16</v>
      </c>
      <c r="L605">
        <v>4.900000000000003E-2</v>
      </c>
      <c r="M605">
        <f t="shared" si="23"/>
        <v>0.11099999999999997</v>
      </c>
      <c r="N605">
        <v>0.224</v>
      </c>
      <c r="O605">
        <v>0.22476190476190488</v>
      </c>
      <c r="P605">
        <f t="shared" si="21"/>
        <v>-7.6190476190488021E-4</v>
      </c>
      <c r="Q605">
        <v>0.85399999999999998</v>
      </c>
      <c r="R605">
        <v>0.65761904761904777</v>
      </c>
      <c r="S605">
        <f t="shared" si="22"/>
        <v>0.19638095238095221</v>
      </c>
      <c r="T605">
        <v>41.453809523809525</v>
      </c>
      <c r="U605">
        <v>325.32928980600178</v>
      </c>
      <c r="V605">
        <v>244.80777709213552</v>
      </c>
      <c r="W605">
        <v>69.339401245117188</v>
      </c>
      <c r="X605">
        <v>81.760826110839844</v>
      </c>
      <c r="Y605">
        <v>47.591232299804688</v>
      </c>
      <c r="Z605">
        <v>6.9634653627872467E-2</v>
      </c>
    </row>
    <row r="606" spans="1:26" x14ac:dyDescent="0.2">
      <c r="A606" s="1">
        <v>43952</v>
      </c>
      <c r="B606" s="1">
        <v>43980</v>
      </c>
      <c r="C606">
        <v>58.8</v>
      </c>
      <c r="D606">
        <v>0.66590000000000005</v>
      </c>
      <c r="E606">
        <v>74.927140165097001</v>
      </c>
      <c r="F606">
        <v>72.663190343265299</v>
      </c>
      <c r="G606">
        <v>93.7</v>
      </c>
      <c r="H606">
        <v>52.5</v>
      </c>
      <c r="I606">
        <v>31</v>
      </c>
      <c r="J606">
        <v>10.08</v>
      </c>
      <c r="K606" s="2">
        <v>0.14000000000000001</v>
      </c>
      <c r="L606">
        <v>5.0000000000000024E-2</v>
      </c>
      <c r="M606">
        <f t="shared" si="23"/>
        <v>0.09</v>
      </c>
      <c r="N606">
        <v>0.24399999999999999</v>
      </c>
      <c r="O606">
        <v>0.17049999999999998</v>
      </c>
      <c r="P606">
        <f t="shared" si="21"/>
        <v>7.350000000000001E-2</v>
      </c>
      <c r="Q606">
        <v>0.90300000000000002</v>
      </c>
      <c r="R606">
        <v>0.67399999999999982</v>
      </c>
      <c r="S606">
        <f t="shared" si="22"/>
        <v>0.2290000000000002</v>
      </c>
      <c r="T606">
        <v>30.897000000000002</v>
      </c>
      <c r="U606">
        <v>410.49911316483661</v>
      </c>
      <c r="V606">
        <v>202.09175679064964</v>
      </c>
      <c r="W606">
        <v>68.507217407226562</v>
      </c>
      <c r="X606">
        <v>83.355461120605469</v>
      </c>
      <c r="Y606">
        <v>42.295558929443359</v>
      </c>
      <c r="Z606">
        <v>0.13518385589122772</v>
      </c>
    </row>
    <row r="607" spans="1:26" x14ac:dyDescent="0.2">
      <c r="A607" s="1">
        <v>43983</v>
      </c>
      <c r="B607" s="1">
        <v>44012</v>
      </c>
      <c r="C607">
        <v>60</v>
      </c>
      <c r="D607">
        <v>0.68630000000000002</v>
      </c>
      <c r="E607">
        <v>74.339722302168795</v>
      </c>
      <c r="F607">
        <v>73.976558045471506</v>
      </c>
      <c r="G607">
        <v>103.3</v>
      </c>
      <c r="H607">
        <v>52.2</v>
      </c>
      <c r="I607">
        <v>39.9</v>
      </c>
      <c r="J607">
        <v>8.9700000000000006</v>
      </c>
      <c r="K607" s="2">
        <v>0.14000000000000001</v>
      </c>
      <c r="L607">
        <v>7.7666666666666703E-2</v>
      </c>
      <c r="M607">
        <f t="shared" si="23"/>
        <v>6.233333333333331E-2</v>
      </c>
      <c r="N607">
        <v>0.26500000000000001</v>
      </c>
      <c r="O607">
        <v>0.18499999999999997</v>
      </c>
      <c r="P607">
        <f t="shared" si="21"/>
        <v>8.0000000000000043E-2</v>
      </c>
      <c r="Q607">
        <v>0.92800000000000005</v>
      </c>
      <c r="R607">
        <v>0.72863636363636364</v>
      </c>
      <c r="S607">
        <f t="shared" si="22"/>
        <v>0.19936363636363641</v>
      </c>
      <c r="T607">
        <v>31.119545454545449</v>
      </c>
      <c r="U607">
        <v>306.52792562787471</v>
      </c>
      <c r="V607">
        <v>132.50390990359878</v>
      </c>
      <c r="W607">
        <v>71.227859497070312</v>
      </c>
      <c r="X607">
        <v>85.866607666015625</v>
      </c>
      <c r="Y607">
        <v>49.760887145996094</v>
      </c>
      <c r="Z607">
        <v>0.11074197292327881</v>
      </c>
    </row>
    <row r="608" spans="1:26" x14ac:dyDescent="0.2">
      <c r="A608" s="1">
        <v>44013</v>
      </c>
      <c r="B608" s="1">
        <v>44043</v>
      </c>
      <c r="C608">
        <v>61.9</v>
      </c>
      <c r="D608">
        <v>0.72130000000000005</v>
      </c>
      <c r="E608">
        <v>73.472718384554298</v>
      </c>
      <c r="F608">
        <v>73.486813991119604</v>
      </c>
      <c r="G608">
        <v>108.5</v>
      </c>
      <c r="H608">
        <v>51.6</v>
      </c>
      <c r="I608">
        <v>42.8</v>
      </c>
      <c r="J608">
        <v>7.79</v>
      </c>
      <c r="K608" s="2">
        <v>0.13</v>
      </c>
      <c r="L608">
        <v>9.2580645161290345E-2</v>
      </c>
      <c r="M608">
        <f t="shared" si="23"/>
        <v>3.7419354838709659E-2</v>
      </c>
      <c r="N608">
        <v>0.26100000000000001</v>
      </c>
      <c r="O608">
        <v>0.14818181818181822</v>
      </c>
      <c r="P608">
        <f t="shared" si="21"/>
        <v>0.11281818181818179</v>
      </c>
      <c r="Q608">
        <v>0.89700000000000002</v>
      </c>
      <c r="R608">
        <v>0.62363636363636354</v>
      </c>
      <c r="S608">
        <f t="shared" si="22"/>
        <v>0.27336363636363648</v>
      </c>
      <c r="T608">
        <v>26.840454545454545</v>
      </c>
      <c r="U608">
        <v>309.06954068196598</v>
      </c>
      <c r="V608">
        <v>213.66018526518835</v>
      </c>
      <c r="W608">
        <v>66.473281860351562</v>
      </c>
      <c r="X608">
        <v>88.73797607421875</v>
      </c>
      <c r="Y608">
        <v>36.252082824707031</v>
      </c>
      <c r="Z608">
        <v>0.2700391411781311</v>
      </c>
    </row>
    <row r="609" spans="1:26" x14ac:dyDescent="0.2">
      <c r="A609" s="1">
        <v>44044</v>
      </c>
      <c r="B609" s="1">
        <v>44074</v>
      </c>
      <c r="C609">
        <v>62.6</v>
      </c>
      <c r="D609">
        <v>0.73540000000000005</v>
      </c>
      <c r="E609">
        <v>74.538479682252103</v>
      </c>
      <c r="F609">
        <v>75.687618675701103</v>
      </c>
      <c r="G609">
        <v>121.1</v>
      </c>
      <c r="H609">
        <v>50.1</v>
      </c>
      <c r="I609">
        <v>44.3</v>
      </c>
      <c r="J609">
        <v>6.34</v>
      </c>
      <c r="K609" s="2">
        <v>0.13</v>
      </c>
      <c r="L609">
        <v>9.5161290322580624E-2</v>
      </c>
      <c r="M609">
        <f t="shared" si="23"/>
        <v>3.483870967741938E-2</v>
      </c>
      <c r="N609">
        <v>0.26900000000000002</v>
      </c>
      <c r="O609">
        <v>0.13952380952380958</v>
      </c>
      <c r="P609">
        <f t="shared" si="21"/>
        <v>0.12947619047619044</v>
      </c>
      <c r="Q609">
        <v>0.90500000000000003</v>
      </c>
      <c r="R609">
        <v>0.65</v>
      </c>
      <c r="S609">
        <f t="shared" si="22"/>
        <v>0.255</v>
      </c>
      <c r="T609">
        <v>22.889523809523812</v>
      </c>
      <c r="U609">
        <v>286.01278881603599</v>
      </c>
      <c r="V609">
        <v>196.51241337929454</v>
      </c>
      <c r="W609">
        <v>65.466049194335938</v>
      </c>
      <c r="X609">
        <v>90.009117126464844</v>
      </c>
      <c r="Y609">
        <v>28.454627990722656</v>
      </c>
      <c r="Z609">
        <v>8.0146044492721558E-2</v>
      </c>
    </row>
    <row r="610" spans="1:26" x14ac:dyDescent="0.2">
      <c r="A610" s="1">
        <v>44075</v>
      </c>
      <c r="B610" s="1">
        <v>44104</v>
      </c>
      <c r="C610">
        <v>60.7</v>
      </c>
      <c r="D610">
        <v>0.71079999999999999</v>
      </c>
      <c r="E610">
        <v>75.520813406856306</v>
      </c>
      <c r="F610">
        <v>76.850066274591398</v>
      </c>
      <c r="G610">
        <v>123.8</v>
      </c>
      <c r="H610">
        <v>54.6</v>
      </c>
      <c r="I610">
        <v>41.1</v>
      </c>
      <c r="J610">
        <v>5.88</v>
      </c>
      <c r="K610" s="2">
        <v>0.13</v>
      </c>
      <c r="L610">
        <v>0.09</v>
      </c>
      <c r="M610">
        <f t="shared" si="23"/>
        <v>4.0000000000000008E-2</v>
      </c>
      <c r="N610">
        <v>0.224</v>
      </c>
      <c r="O610">
        <v>0.13476190476190478</v>
      </c>
      <c r="P610">
        <f t="shared" si="21"/>
        <v>8.9238095238095227E-2</v>
      </c>
      <c r="Q610">
        <v>0.89400000000000002</v>
      </c>
      <c r="R610">
        <v>0.67952380952380931</v>
      </c>
      <c r="S610">
        <f t="shared" si="22"/>
        <v>0.21447619047619071</v>
      </c>
      <c r="T610">
        <v>27.647619047619042</v>
      </c>
      <c r="U610">
        <v>305.68771245905492</v>
      </c>
      <c r="V610">
        <v>150.94860891411165</v>
      </c>
      <c r="W610">
        <v>80.37738037109375</v>
      </c>
      <c r="X610">
        <v>101.25764465332031</v>
      </c>
      <c r="Y610">
        <v>49.518081665039062</v>
      </c>
      <c r="Z610">
        <v>0.13891378045082092</v>
      </c>
    </row>
    <row r="611" spans="1:26" x14ac:dyDescent="0.2">
      <c r="A611" s="1">
        <v>44105</v>
      </c>
      <c r="B611" s="1">
        <v>44134</v>
      </c>
      <c r="C611">
        <v>59.5</v>
      </c>
      <c r="D611">
        <v>0.70440000000000003</v>
      </c>
      <c r="E611">
        <v>76.603665448636505</v>
      </c>
      <c r="F611">
        <v>76.683597445232095</v>
      </c>
      <c r="G611">
        <v>119.8</v>
      </c>
      <c r="H611">
        <v>58.4</v>
      </c>
      <c r="I611">
        <v>40.5</v>
      </c>
      <c r="J611">
        <v>6.18</v>
      </c>
      <c r="K611" s="2">
        <v>0.13</v>
      </c>
      <c r="L611">
        <v>8.9999999999999983E-2</v>
      </c>
      <c r="M611">
        <f t="shared" si="23"/>
        <v>4.0000000000000022E-2</v>
      </c>
      <c r="N611">
        <v>0.14000000000000001</v>
      </c>
      <c r="O611">
        <v>0.14952380952380956</v>
      </c>
      <c r="P611">
        <f t="shared" si="21"/>
        <v>-9.5238095238095455E-3</v>
      </c>
      <c r="Q611">
        <v>0.80200000000000005</v>
      </c>
      <c r="R611">
        <v>0.78714285714285703</v>
      </c>
      <c r="S611">
        <f t="shared" si="22"/>
        <v>1.4857142857143013E-2</v>
      </c>
      <c r="T611">
        <v>29.438636363636363</v>
      </c>
      <c r="U611">
        <v>302.84109124202217</v>
      </c>
      <c r="V611">
        <v>188.37811985984382</v>
      </c>
      <c r="W611">
        <v>76.083168029785156</v>
      </c>
      <c r="X611">
        <v>97.652580261230469</v>
      </c>
      <c r="Y611">
        <v>42.681442260742188</v>
      </c>
      <c r="Z611">
        <v>6.7490614950656891E-2</v>
      </c>
    </row>
    <row r="612" spans="1:26" x14ac:dyDescent="0.2">
      <c r="A612" s="1">
        <v>44136</v>
      </c>
      <c r="B612" s="1">
        <v>44165</v>
      </c>
      <c r="C612">
        <v>61.5</v>
      </c>
      <c r="D612">
        <v>0.73929999999999996</v>
      </c>
      <c r="E612">
        <v>79.647130230236598</v>
      </c>
      <c r="F612">
        <v>79.365337264501306</v>
      </c>
      <c r="G612">
        <v>124.4</v>
      </c>
      <c r="H612">
        <v>64.400000000000006</v>
      </c>
      <c r="I612">
        <v>43.2</v>
      </c>
      <c r="J612">
        <v>6.86</v>
      </c>
      <c r="K612" s="2">
        <v>0.06</v>
      </c>
      <c r="L612">
        <v>8.6333333333333359E-2</v>
      </c>
      <c r="M612">
        <f t="shared" si="23"/>
        <v>-2.6333333333333361E-2</v>
      </c>
      <c r="N612">
        <v>9.6000000000000002E-2</v>
      </c>
      <c r="O612">
        <v>0.16578947368421054</v>
      </c>
      <c r="P612">
        <f t="shared" si="21"/>
        <v>-6.978947368421054E-2</v>
      </c>
      <c r="Q612">
        <v>0.85599999999999998</v>
      </c>
      <c r="R612">
        <v>0.87000000000000011</v>
      </c>
      <c r="S612">
        <f t="shared" si="22"/>
        <v>-1.4000000000000123E-2</v>
      </c>
      <c r="T612">
        <v>24.995499999999996</v>
      </c>
      <c r="U612">
        <v>392.26211771412289</v>
      </c>
      <c r="V612">
        <v>192.40132352440946</v>
      </c>
      <c r="W612">
        <v>70.067466735839844</v>
      </c>
      <c r="X612">
        <v>79.036445617675781</v>
      </c>
      <c r="Y612">
        <v>62.313945770263672</v>
      </c>
      <c r="Z612">
        <v>9.1772586107254028E-2</v>
      </c>
    </row>
    <row r="613" spans="1:26" x14ac:dyDescent="0.2">
      <c r="A613" s="1">
        <v>44166</v>
      </c>
      <c r="B613" s="1">
        <v>44196</v>
      </c>
      <c r="C613">
        <v>63.4</v>
      </c>
      <c r="D613">
        <v>0.7702</v>
      </c>
      <c r="E613">
        <v>88.088759381970704</v>
      </c>
      <c r="F613">
        <v>91.098295432967205</v>
      </c>
      <c r="G613">
        <v>155.4</v>
      </c>
      <c r="H613">
        <v>83</v>
      </c>
      <c r="I613">
        <v>49.9</v>
      </c>
      <c r="J613">
        <v>7.66</v>
      </c>
      <c r="K613" s="2">
        <v>0.04</v>
      </c>
      <c r="L613">
        <v>8.9999999999999983E-2</v>
      </c>
      <c r="M613">
        <f t="shared" si="23"/>
        <v>-4.9999999999999982E-2</v>
      </c>
      <c r="N613">
        <v>9.1999999999999998E-2</v>
      </c>
      <c r="O613">
        <v>0.1359090909090909</v>
      </c>
      <c r="P613">
        <f t="shared" si="21"/>
        <v>-4.3909090909090898E-2</v>
      </c>
      <c r="Q613">
        <v>0.97599999999999998</v>
      </c>
      <c r="R613">
        <v>0.9336363636363636</v>
      </c>
      <c r="S613">
        <f t="shared" si="22"/>
        <v>4.2363636363636381E-2</v>
      </c>
      <c r="T613">
        <v>22.37409090909091</v>
      </c>
      <c r="U613">
        <v>298.94212020237649</v>
      </c>
      <c r="V613">
        <v>108.12872812693755</v>
      </c>
      <c r="W613">
        <v>64.067291259765625</v>
      </c>
      <c r="X613">
        <v>86.815277099609375</v>
      </c>
      <c r="Y613">
        <v>31.744428634643555</v>
      </c>
      <c r="Z613">
        <v>0.10387157648801804</v>
      </c>
    </row>
    <row r="614" spans="1:26" x14ac:dyDescent="0.2">
      <c r="A614" s="1">
        <v>44197</v>
      </c>
      <c r="B614" s="1">
        <v>44225</v>
      </c>
      <c r="C614">
        <v>63</v>
      </c>
      <c r="D614">
        <v>0.76449999999999996</v>
      </c>
      <c r="E614">
        <v>94.316911110122305</v>
      </c>
      <c r="F614">
        <v>97.353267737192098</v>
      </c>
      <c r="G614">
        <v>169.6</v>
      </c>
      <c r="H614">
        <v>86.8</v>
      </c>
      <c r="I614">
        <v>54.6</v>
      </c>
      <c r="J614">
        <v>9</v>
      </c>
      <c r="K614" s="2">
        <v>0.03</v>
      </c>
      <c r="L614">
        <v>8.5161290322580643E-2</v>
      </c>
      <c r="M614">
        <f t="shared" si="23"/>
        <v>-5.5161290322580644E-2</v>
      </c>
      <c r="N614">
        <v>7.9000000000000001E-2</v>
      </c>
      <c r="O614">
        <v>0.13105263157894737</v>
      </c>
      <c r="P614">
        <f t="shared" si="21"/>
        <v>-5.2052631578947364E-2</v>
      </c>
      <c r="Q614">
        <v>1.0529999999999999</v>
      </c>
      <c r="R614">
        <v>1.081052631578947</v>
      </c>
      <c r="S614">
        <f t="shared" si="22"/>
        <v>-2.8052631578947107E-2</v>
      </c>
      <c r="T614">
        <v>24.909999999999997</v>
      </c>
      <c r="U614">
        <v>269.40930551266467</v>
      </c>
      <c r="V614">
        <v>144.70795487037668</v>
      </c>
      <c r="W614">
        <v>77.418701171875</v>
      </c>
      <c r="X614">
        <v>98.475624084472656</v>
      </c>
      <c r="Y614">
        <v>48.287487030029297</v>
      </c>
      <c r="Z614">
        <v>9.7306385636329651E-2</v>
      </c>
    </row>
    <row r="615" spans="1:26" x14ac:dyDescent="0.2">
      <c r="A615" s="1">
        <v>44228</v>
      </c>
      <c r="B615" s="1">
        <v>44253</v>
      </c>
      <c r="C615">
        <v>64.5</v>
      </c>
      <c r="D615">
        <v>0.78290000000000004</v>
      </c>
      <c r="E615">
        <v>96.147431310584096</v>
      </c>
      <c r="F615">
        <v>98.891282322551604</v>
      </c>
      <c r="G615">
        <v>163.80000000000001</v>
      </c>
      <c r="H615">
        <v>86.7</v>
      </c>
      <c r="I615">
        <v>62</v>
      </c>
      <c r="J615">
        <v>9.8800000000000008</v>
      </c>
      <c r="K615" s="2">
        <v>0.03</v>
      </c>
      <c r="L615">
        <v>7.5714285714285734E-2</v>
      </c>
      <c r="M615">
        <f t="shared" si="23"/>
        <v>-4.5714285714285735E-2</v>
      </c>
      <c r="N615">
        <v>9.8000000000000004E-2</v>
      </c>
      <c r="O615">
        <v>0.11526315789473686</v>
      </c>
      <c r="P615">
        <f t="shared" si="21"/>
        <v>-1.7263157894736855E-2</v>
      </c>
      <c r="Q615">
        <v>1.3340000000000001</v>
      </c>
      <c r="R615">
        <v>1.2578947368421052</v>
      </c>
      <c r="S615">
        <f t="shared" si="22"/>
        <v>7.6105263157894898E-2</v>
      </c>
      <c r="T615">
        <v>23.140526315789472</v>
      </c>
      <c r="U615">
        <v>193.00107976837711</v>
      </c>
      <c r="V615">
        <v>92.551698491592404</v>
      </c>
      <c r="W615">
        <v>73.956802368164062</v>
      </c>
      <c r="X615">
        <v>94.483558654785156</v>
      </c>
      <c r="Y615">
        <v>46.326778411865234</v>
      </c>
      <c r="Z615">
        <v>0.12081964313983917</v>
      </c>
    </row>
    <row r="616" spans="1:26" x14ac:dyDescent="0.2">
      <c r="A616" s="1">
        <v>44256</v>
      </c>
      <c r="B616" s="1">
        <v>44286</v>
      </c>
      <c r="C616">
        <v>63.9</v>
      </c>
      <c r="D616">
        <v>0.76019999999999999</v>
      </c>
      <c r="E616">
        <v>98.997611804794801</v>
      </c>
      <c r="F616">
        <v>98.524221583375507</v>
      </c>
      <c r="G616">
        <v>168.2</v>
      </c>
      <c r="H616">
        <v>94.9</v>
      </c>
      <c r="I616">
        <v>65.2</v>
      </c>
      <c r="J616">
        <v>7.9</v>
      </c>
      <c r="K616" s="2">
        <v>0.03</v>
      </c>
      <c r="L616">
        <v>6.9677419354838746E-2</v>
      </c>
      <c r="M616">
        <f t="shared" si="23"/>
        <v>-3.9677419354838747E-2</v>
      </c>
      <c r="N616">
        <v>9.0999999999999998E-2</v>
      </c>
      <c r="O616">
        <v>0.14695652173913046</v>
      </c>
      <c r="P616">
        <f t="shared" si="21"/>
        <v>-5.595652173913046E-2</v>
      </c>
      <c r="Q616">
        <v>1.7070000000000001</v>
      </c>
      <c r="R616">
        <v>1.6108695652173912</v>
      </c>
      <c r="S616">
        <f t="shared" si="22"/>
        <v>9.6130434782608853E-2</v>
      </c>
      <c r="T616">
        <v>21.843043478260871</v>
      </c>
      <c r="U616">
        <v>210.0523170675452</v>
      </c>
      <c r="V616">
        <v>67.008527994313624</v>
      </c>
      <c r="W616">
        <v>78.618766784667969</v>
      </c>
      <c r="X616">
        <v>100.85202026367188</v>
      </c>
      <c r="Y616">
        <v>49.418041229248047</v>
      </c>
      <c r="Z616">
        <v>0.20087336003780365</v>
      </c>
    </row>
    <row r="617" spans="1:26" x14ac:dyDescent="0.2">
      <c r="A617" s="1">
        <v>44287</v>
      </c>
      <c r="B617" s="1">
        <v>44316</v>
      </c>
      <c r="C617">
        <v>64.400000000000006</v>
      </c>
      <c r="D617">
        <v>0.77759999999999996</v>
      </c>
      <c r="E617">
        <v>102.475739694078</v>
      </c>
      <c r="F617">
        <v>102.483566763683</v>
      </c>
      <c r="G617">
        <v>179.8</v>
      </c>
      <c r="H617">
        <v>92.2</v>
      </c>
      <c r="I617">
        <v>64.8</v>
      </c>
      <c r="J617">
        <v>8.2799999999999994</v>
      </c>
      <c r="K617" s="2">
        <v>0.03</v>
      </c>
      <c r="L617">
        <v>6.9000000000000034E-2</v>
      </c>
      <c r="M617">
        <f t="shared" si="23"/>
        <v>-3.9000000000000035E-2</v>
      </c>
      <c r="N617">
        <v>7.3999999999999996E-2</v>
      </c>
      <c r="O617">
        <v>0.16318181818181821</v>
      </c>
      <c r="P617">
        <f t="shared" si="21"/>
        <v>-8.9181818181818209E-2</v>
      </c>
      <c r="Q617">
        <v>1.6759999999999999</v>
      </c>
      <c r="R617">
        <v>1.6349999999999996</v>
      </c>
      <c r="S617">
        <f t="shared" si="22"/>
        <v>4.1000000000000369E-2</v>
      </c>
      <c r="T617">
        <v>17.416190476190476</v>
      </c>
      <c r="U617">
        <v>192.0857225447632</v>
      </c>
      <c r="V617">
        <v>105.92303010657287</v>
      </c>
      <c r="W617">
        <v>88.166221618652344</v>
      </c>
      <c r="X617">
        <v>109.58695983886719</v>
      </c>
      <c r="Y617">
        <v>67.873794555664062</v>
      </c>
      <c r="Z617">
        <v>0.13501559197902679</v>
      </c>
    </row>
    <row r="618" spans="1:26" x14ac:dyDescent="0.2">
      <c r="A618" s="1">
        <v>44317</v>
      </c>
      <c r="B618" s="1">
        <v>44347</v>
      </c>
      <c r="C618">
        <v>63.5</v>
      </c>
      <c r="D618">
        <v>0.77249999999999996</v>
      </c>
      <c r="E618">
        <v>108.40618399626899</v>
      </c>
      <c r="F618">
        <v>111.282827210306</v>
      </c>
      <c r="G618">
        <v>207.7</v>
      </c>
      <c r="H618">
        <v>107</v>
      </c>
      <c r="I618">
        <v>68</v>
      </c>
      <c r="J618">
        <v>8.92</v>
      </c>
      <c r="K618" s="2">
        <v>0.03</v>
      </c>
      <c r="L618">
        <v>5.8064516129032295E-2</v>
      </c>
      <c r="M618">
        <f t="shared" si="23"/>
        <v>-2.8064516129032296E-2</v>
      </c>
      <c r="N618">
        <v>7.2999999999999995E-2</v>
      </c>
      <c r="O618">
        <v>0.15499999999999997</v>
      </c>
      <c r="P618">
        <f t="shared" si="21"/>
        <v>-8.1999999999999976E-2</v>
      </c>
      <c r="Q618">
        <v>1.66</v>
      </c>
      <c r="R618">
        <v>1.6209999999999998</v>
      </c>
      <c r="S618">
        <f t="shared" si="22"/>
        <v>3.9000000000000146E-2</v>
      </c>
      <c r="T618">
        <v>19.760499999999997</v>
      </c>
      <c r="U618">
        <v>171.94185845569109</v>
      </c>
      <c r="V618">
        <v>150.19099375369836</v>
      </c>
      <c r="W618">
        <v>93.007133483886719</v>
      </c>
      <c r="X618">
        <v>120.7828369140625</v>
      </c>
      <c r="Y618">
        <v>52.626113891601562</v>
      </c>
      <c r="Z618">
        <v>0.16356201469898224</v>
      </c>
    </row>
    <row r="619" spans="1:26" x14ac:dyDescent="0.2">
      <c r="A619" s="1">
        <v>44348</v>
      </c>
      <c r="B619" s="1">
        <v>44377</v>
      </c>
      <c r="C619">
        <v>62.7</v>
      </c>
      <c r="D619">
        <v>0.75180000000000002</v>
      </c>
      <c r="E619">
        <v>115.11885703034601</v>
      </c>
      <c r="F619">
        <v>121.159359987202</v>
      </c>
      <c r="G619">
        <v>214.4</v>
      </c>
      <c r="H619">
        <v>130</v>
      </c>
      <c r="I619">
        <v>73.099999999999994</v>
      </c>
      <c r="J619">
        <v>9.6199999999999992</v>
      </c>
      <c r="K619" s="2">
        <v>0.03</v>
      </c>
      <c r="L619">
        <v>7.8000000000000055E-2</v>
      </c>
      <c r="M619">
        <f t="shared" si="23"/>
        <v>-4.8000000000000057E-2</v>
      </c>
      <c r="N619">
        <v>4.7E-2</v>
      </c>
      <c r="O619">
        <v>0.20272727272727276</v>
      </c>
      <c r="P619">
        <f t="shared" si="21"/>
        <v>-0.15572727272727277</v>
      </c>
      <c r="Q619">
        <v>1.5309999999999999</v>
      </c>
      <c r="R619">
        <v>1.5190909090909088</v>
      </c>
      <c r="S619">
        <f t="shared" si="22"/>
        <v>1.1909090909091091E-2</v>
      </c>
      <c r="T619">
        <v>16.956818181818182</v>
      </c>
      <c r="U619">
        <v>169.204550195314</v>
      </c>
      <c r="V619">
        <v>100.78250605309402</v>
      </c>
      <c r="W619">
        <v>74.127120971679688</v>
      </c>
      <c r="X619">
        <v>92.546546936035156</v>
      </c>
      <c r="Y619">
        <v>46.348640441894531</v>
      </c>
      <c r="Z619">
        <v>0.15317489206790924</v>
      </c>
    </row>
    <row r="620" spans="1:26" x14ac:dyDescent="0.2">
      <c r="A620" s="1">
        <v>44378</v>
      </c>
      <c r="B620" s="1">
        <v>44407</v>
      </c>
      <c r="C620">
        <v>61.6</v>
      </c>
      <c r="D620">
        <v>0.73809999999999998</v>
      </c>
      <c r="E620">
        <v>118.757185717071</v>
      </c>
      <c r="F620">
        <v>125.475237324909</v>
      </c>
      <c r="G620">
        <v>214.1</v>
      </c>
      <c r="H620">
        <v>152</v>
      </c>
      <c r="I620">
        <v>74.400000000000006</v>
      </c>
      <c r="J620">
        <v>10.36</v>
      </c>
      <c r="K620" s="2">
        <v>0.03</v>
      </c>
      <c r="L620">
        <v>9.8064516129032289E-2</v>
      </c>
      <c r="M620">
        <f t="shared" si="23"/>
        <v>-6.806451612903229E-2</v>
      </c>
      <c r="N620">
        <v>4.3999999999999997E-2</v>
      </c>
      <c r="O620">
        <v>0.21952380952380959</v>
      </c>
      <c r="P620">
        <f t="shared" si="21"/>
        <v>-0.17552380952380958</v>
      </c>
      <c r="Q620">
        <v>1.254</v>
      </c>
      <c r="R620">
        <v>1.3185714285714287</v>
      </c>
      <c r="S620">
        <f t="shared" si="22"/>
        <v>-6.4571428571428724E-2</v>
      </c>
      <c r="T620">
        <v>17.603333333333332</v>
      </c>
      <c r="U620">
        <v>187.2361273456867</v>
      </c>
      <c r="V620">
        <v>80.372966202634572</v>
      </c>
      <c r="W620">
        <v>58.420768737792969</v>
      </c>
      <c r="X620">
        <v>64.03631591796875</v>
      </c>
      <c r="Y620">
        <v>50.715831756591797</v>
      </c>
      <c r="Z620">
        <v>7.1703866124153137E-2</v>
      </c>
    </row>
    <row r="621" spans="1:26" x14ac:dyDescent="0.2">
      <c r="A621" s="1">
        <v>44409</v>
      </c>
      <c r="B621" s="1">
        <v>44439</v>
      </c>
      <c r="C621">
        <v>61.2</v>
      </c>
      <c r="D621">
        <v>0.73350000000000004</v>
      </c>
      <c r="E621">
        <v>109.11447855526001</v>
      </c>
      <c r="F621">
        <v>111.749891363823</v>
      </c>
      <c r="G621">
        <v>162.19999999999999</v>
      </c>
      <c r="H621">
        <v>169.6</v>
      </c>
      <c r="I621">
        <v>70</v>
      </c>
      <c r="J621">
        <v>10.8</v>
      </c>
      <c r="K621" s="2">
        <v>0.03</v>
      </c>
      <c r="L621">
        <v>9.2258064516129043E-2</v>
      </c>
      <c r="M621">
        <f t="shared" si="23"/>
        <v>-6.2258064516129044E-2</v>
      </c>
      <c r="N621">
        <v>2.5999999999999999E-2</v>
      </c>
      <c r="O621">
        <v>0.21727272727272728</v>
      </c>
      <c r="P621">
        <f t="shared" si="21"/>
        <v>-0.19127272727272729</v>
      </c>
      <c r="Q621">
        <v>1.135</v>
      </c>
      <c r="R621">
        <v>1.283181818181818</v>
      </c>
      <c r="S621">
        <f t="shared" si="22"/>
        <v>-0.14818181818181797</v>
      </c>
      <c r="T621">
        <v>17.472727272727269</v>
      </c>
      <c r="U621">
        <v>198.87557124792531</v>
      </c>
      <c r="V621">
        <v>102.98961238285229</v>
      </c>
      <c r="W621">
        <v>89.486549377441406</v>
      </c>
      <c r="X621">
        <v>103.20159149169922</v>
      </c>
      <c r="Y621">
        <v>76.482856750488281</v>
      </c>
      <c r="Z621">
        <v>6.2756456434726715E-2</v>
      </c>
    </row>
    <row r="622" spans="1:26" x14ac:dyDescent="0.2">
      <c r="A622" s="1">
        <v>44440</v>
      </c>
      <c r="B622" s="1">
        <v>44469</v>
      </c>
      <c r="C622">
        <v>60.8</v>
      </c>
      <c r="D622">
        <v>0.72060000000000002</v>
      </c>
      <c r="E622">
        <v>101.269941687786</v>
      </c>
      <c r="F622">
        <v>108.93005955239499</v>
      </c>
      <c r="G622">
        <v>124.5</v>
      </c>
      <c r="H622">
        <v>185.7</v>
      </c>
      <c r="I622">
        <v>74.599999999999994</v>
      </c>
      <c r="J622">
        <v>11.44</v>
      </c>
      <c r="K622" s="2">
        <v>0.03</v>
      </c>
      <c r="L622">
        <v>7.9333333333333353E-2</v>
      </c>
      <c r="M622">
        <f t="shared" si="23"/>
        <v>-4.9333333333333354E-2</v>
      </c>
      <c r="N622">
        <v>1.0999999999999999E-2</v>
      </c>
      <c r="O622">
        <v>0.24095238095238095</v>
      </c>
      <c r="P622">
        <f t="shared" si="21"/>
        <v>-0.22995238095238094</v>
      </c>
      <c r="Q622">
        <v>1.282</v>
      </c>
      <c r="R622">
        <v>1.3747619047619046</v>
      </c>
      <c r="S622">
        <f t="shared" si="22"/>
        <v>-9.2761904761904601E-2</v>
      </c>
      <c r="T622">
        <v>19.824761904761903</v>
      </c>
      <c r="U622">
        <v>209.31645271061899</v>
      </c>
      <c r="V622">
        <v>126.27228212873112</v>
      </c>
      <c r="W622">
        <v>80.696968078613281</v>
      </c>
      <c r="X622">
        <v>92.047317504882812</v>
      </c>
      <c r="Y622">
        <v>67.940277099609375</v>
      </c>
      <c r="Z622">
        <v>0.44943821430206299</v>
      </c>
    </row>
    <row r="623" spans="1:26" x14ac:dyDescent="0.2">
      <c r="A623" s="1">
        <v>44470</v>
      </c>
      <c r="B623" s="1">
        <v>44498</v>
      </c>
      <c r="C623">
        <v>63.1</v>
      </c>
      <c r="D623">
        <v>0.75460000000000005</v>
      </c>
      <c r="E623">
        <v>105.458192461522</v>
      </c>
      <c r="F623">
        <v>117.81930102837499</v>
      </c>
      <c r="G623">
        <v>122.9</v>
      </c>
      <c r="H623">
        <v>224.5</v>
      </c>
      <c r="I623">
        <v>83.7</v>
      </c>
      <c r="J623">
        <v>12.38</v>
      </c>
      <c r="K623" s="2">
        <v>0.03</v>
      </c>
      <c r="L623">
        <v>7.9032258064516137E-2</v>
      </c>
      <c r="M623">
        <f t="shared" si="23"/>
        <v>-4.9032258064516138E-2</v>
      </c>
      <c r="N623">
        <v>0.16500000000000001</v>
      </c>
      <c r="O623">
        <v>0.39250000000000007</v>
      </c>
      <c r="P623">
        <f t="shared" ref="P623:P681" si="24">N623-O623</f>
        <v>-0.22750000000000006</v>
      </c>
      <c r="Q623">
        <v>1.71</v>
      </c>
      <c r="R623">
        <v>1.5825</v>
      </c>
      <c r="S623">
        <f t="shared" si="22"/>
        <v>0.12749999999999995</v>
      </c>
      <c r="T623">
        <v>17.871428571428574</v>
      </c>
      <c r="U623">
        <v>185.61668666381041</v>
      </c>
      <c r="V623">
        <v>94.796051827145931</v>
      </c>
      <c r="W623">
        <v>79.02923583984375</v>
      </c>
      <c r="X623">
        <v>93.808029174804688</v>
      </c>
      <c r="Y623">
        <v>61.149112701416016</v>
      </c>
      <c r="Z623">
        <v>0.2195635586977005</v>
      </c>
    </row>
    <row r="624" spans="1:26" x14ac:dyDescent="0.2">
      <c r="A624" s="1">
        <v>44501</v>
      </c>
      <c r="B624" s="1">
        <v>44530</v>
      </c>
      <c r="C624">
        <v>60.2</v>
      </c>
      <c r="D624">
        <v>0.71440000000000003</v>
      </c>
      <c r="E624">
        <v>110.244510723861</v>
      </c>
      <c r="F624">
        <v>111.62257407417199</v>
      </c>
      <c r="G624">
        <v>96.2</v>
      </c>
      <c r="H624">
        <v>157.5</v>
      </c>
      <c r="I624">
        <v>80.8</v>
      </c>
      <c r="J624">
        <v>15.25</v>
      </c>
      <c r="K624" s="2">
        <v>0.04</v>
      </c>
      <c r="L624">
        <v>7.9666666666666691E-2</v>
      </c>
      <c r="M624">
        <f t="shared" si="23"/>
        <v>-3.966666666666669E-2</v>
      </c>
      <c r="N624">
        <v>0.56699999999999995</v>
      </c>
      <c r="O624">
        <v>0.5079999999999999</v>
      </c>
      <c r="P624">
        <f t="shared" si="24"/>
        <v>5.9000000000000052E-2</v>
      </c>
      <c r="Q624">
        <v>1.806</v>
      </c>
      <c r="R624">
        <v>1.5594999999999999</v>
      </c>
      <c r="S624">
        <f t="shared" si="22"/>
        <v>0.24650000000000016</v>
      </c>
      <c r="T624">
        <v>18.500476190476189</v>
      </c>
      <c r="U624">
        <v>227.15093846016211</v>
      </c>
      <c r="V624">
        <v>106.49597947614484</v>
      </c>
      <c r="W624">
        <v>86.569145202636719</v>
      </c>
      <c r="X624">
        <v>121.50095367431641</v>
      </c>
      <c r="Y624">
        <v>39.742691040039062</v>
      </c>
      <c r="Z624">
        <v>0.26060175895690918</v>
      </c>
    </row>
    <row r="625" spans="1:26" x14ac:dyDescent="0.2">
      <c r="A625" s="1">
        <v>44531</v>
      </c>
      <c r="B625" s="1">
        <v>44561</v>
      </c>
      <c r="C625">
        <v>61.1</v>
      </c>
      <c r="D625">
        <v>0.72560000000000002</v>
      </c>
      <c r="E625">
        <v>111.497973419514</v>
      </c>
      <c r="F625">
        <v>116.08769314695</v>
      </c>
      <c r="G625">
        <v>117</v>
      </c>
      <c r="H625">
        <v>169.7</v>
      </c>
      <c r="I625">
        <v>74.3</v>
      </c>
      <c r="J625">
        <v>15.32</v>
      </c>
      <c r="K625" s="2">
        <v>0.04</v>
      </c>
      <c r="L625">
        <v>7.9677419354838727E-2</v>
      </c>
      <c r="M625">
        <f t="shared" si="23"/>
        <v>-3.9677419354838726E-2</v>
      </c>
      <c r="N625">
        <v>0.52700000000000002</v>
      </c>
      <c r="O625">
        <v>0.67999999999999983</v>
      </c>
      <c r="P625">
        <f t="shared" si="24"/>
        <v>-0.1529999999999998</v>
      </c>
      <c r="Q625">
        <v>1.609</v>
      </c>
      <c r="R625">
        <v>1.4650000000000001</v>
      </c>
      <c r="S625">
        <f t="shared" si="22"/>
        <v>0.14399999999999991</v>
      </c>
      <c r="T625">
        <v>21.354545454545452</v>
      </c>
      <c r="U625">
        <v>255.11765242065039</v>
      </c>
      <c r="V625">
        <v>101.67900149683476</v>
      </c>
      <c r="W625">
        <v>105.34542083740234</v>
      </c>
      <c r="X625">
        <v>155.31025695800781</v>
      </c>
      <c r="Y625">
        <v>47.654933929443359</v>
      </c>
      <c r="Z625">
        <v>0.12836337089538574</v>
      </c>
    </row>
    <row r="626" spans="1:26" x14ac:dyDescent="0.2">
      <c r="A626" s="1">
        <v>44562</v>
      </c>
      <c r="B626" s="1">
        <v>44592</v>
      </c>
      <c r="C626">
        <v>59.3</v>
      </c>
      <c r="D626">
        <v>0.70109999999999995</v>
      </c>
      <c r="E626">
        <v>119.75836800095399</v>
      </c>
      <c r="F626">
        <v>130.489883941507</v>
      </c>
      <c r="G626">
        <v>132.5</v>
      </c>
      <c r="H626">
        <v>197</v>
      </c>
      <c r="I626">
        <v>85.5</v>
      </c>
      <c r="J626">
        <v>14.69</v>
      </c>
      <c r="K626" s="2">
        <v>0.05</v>
      </c>
      <c r="L626">
        <v>7.9354838709677453E-2</v>
      </c>
      <c r="M626">
        <f t="shared" si="23"/>
        <v>-2.935483870967745E-2</v>
      </c>
      <c r="N626">
        <v>0.71799999999999997</v>
      </c>
      <c r="O626">
        <v>0.98049999999999993</v>
      </c>
      <c r="P626">
        <f t="shared" si="24"/>
        <v>-0.26249999999999996</v>
      </c>
      <c r="Q626">
        <v>1.8879999999999999</v>
      </c>
      <c r="R626">
        <v>1.7639999999999998</v>
      </c>
      <c r="S626">
        <f t="shared" si="22"/>
        <v>0.12400000000000011</v>
      </c>
      <c r="T626">
        <v>23.181000000000001</v>
      </c>
      <c r="U626">
        <v>219.4461014359251</v>
      </c>
      <c r="V626">
        <v>66.055407838128943</v>
      </c>
      <c r="W626">
        <v>138.67498779296875</v>
      </c>
      <c r="X626">
        <v>199.48751831054688</v>
      </c>
      <c r="Y626">
        <v>63.251529693603516</v>
      </c>
      <c r="Z626">
        <v>0.21330231428146362</v>
      </c>
    </row>
    <row r="627" spans="1:26" x14ac:dyDescent="0.2">
      <c r="A627" s="1">
        <v>44593</v>
      </c>
      <c r="B627" s="1">
        <v>44620</v>
      </c>
      <c r="C627">
        <v>60.6</v>
      </c>
      <c r="D627">
        <v>0.71819999999999995</v>
      </c>
      <c r="E627">
        <v>126.34766711399</v>
      </c>
      <c r="F627">
        <v>137.24764000549001</v>
      </c>
      <c r="G627">
        <v>142.80000000000001</v>
      </c>
      <c r="H627">
        <v>219.8</v>
      </c>
      <c r="I627">
        <v>95.8</v>
      </c>
      <c r="J627">
        <v>17</v>
      </c>
      <c r="K627" s="2">
        <v>0.05</v>
      </c>
      <c r="L627">
        <v>8.0000000000000029E-2</v>
      </c>
      <c r="M627">
        <f t="shared" si="23"/>
        <v>-3.0000000000000027E-2</v>
      </c>
      <c r="N627">
        <v>1.016</v>
      </c>
      <c r="O627">
        <v>1.4352631578947366</v>
      </c>
      <c r="P627">
        <f t="shared" si="24"/>
        <v>-0.41926315789473656</v>
      </c>
      <c r="Q627">
        <v>2.1110000000000002</v>
      </c>
      <c r="R627">
        <v>1.9342105263157894</v>
      </c>
      <c r="S627">
        <f t="shared" si="22"/>
        <v>0.17678947368421083</v>
      </c>
      <c r="T627">
        <v>25.748421052631578</v>
      </c>
      <c r="U627">
        <v>174.4912748810745</v>
      </c>
      <c r="V627">
        <v>96.934197437339648</v>
      </c>
      <c r="W627">
        <v>216.15901184082031</v>
      </c>
      <c r="X627">
        <v>320.60586547851562</v>
      </c>
      <c r="Y627">
        <v>105.21830749511719</v>
      </c>
      <c r="Z627">
        <v>0.36242827773094177</v>
      </c>
    </row>
    <row r="628" spans="1:26" x14ac:dyDescent="0.2">
      <c r="A628" s="1">
        <v>44621</v>
      </c>
      <c r="B628" s="1">
        <v>44651</v>
      </c>
      <c r="C628">
        <v>63.6</v>
      </c>
      <c r="D628">
        <v>0.74819999999999998</v>
      </c>
      <c r="E628">
        <v>139.08915536400801</v>
      </c>
      <c r="F628">
        <v>157.75054077123599</v>
      </c>
      <c r="G628">
        <v>152.1</v>
      </c>
      <c r="H628">
        <v>314</v>
      </c>
      <c r="I628">
        <v>115.6</v>
      </c>
      <c r="J628">
        <v>15.11</v>
      </c>
      <c r="K628" s="2">
        <v>0.05</v>
      </c>
      <c r="L628">
        <v>0.20096774193548389</v>
      </c>
      <c r="M628">
        <f t="shared" si="23"/>
        <v>-0.1509677419354839</v>
      </c>
      <c r="N628">
        <v>1.339</v>
      </c>
      <c r="O628">
        <v>1.9095652173913045</v>
      </c>
      <c r="P628">
        <f t="shared" si="24"/>
        <v>-0.5705652173913045</v>
      </c>
      <c r="Q628">
        <v>2.5</v>
      </c>
      <c r="R628">
        <v>2.1278260869565218</v>
      </c>
      <c r="S628">
        <f t="shared" si="22"/>
        <v>0.37217391304347824</v>
      </c>
      <c r="T628">
        <v>26.968695652173906</v>
      </c>
      <c r="U628">
        <v>294.54930714650101</v>
      </c>
      <c r="V628">
        <v>269.94689818113255</v>
      </c>
      <c r="W628">
        <v>318.95492553710938</v>
      </c>
      <c r="X628">
        <v>403.713623046875</v>
      </c>
      <c r="Y628">
        <v>250.95585632324219</v>
      </c>
      <c r="Z628">
        <v>0.51516610383987427</v>
      </c>
    </row>
    <row r="629" spans="1:26" x14ac:dyDescent="0.2">
      <c r="A629" s="1">
        <v>44652</v>
      </c>
      <c r="B629" s="1">
        <v>44680</v>
      </c>
      <c r="C629">
        <v>63.1</v>
      </c>
      <c r="D629">
        <v>0.71479999999999999</v>
      </c>
      <c r="E629">
        <v>151.71911699262299</v>
      </c>
      <c r="F629">
        <v>155.46411000540201</v>
      </c>
      <c r="G629">
        <v>151.30000000000001</v>
      </c>
      <c r="H629">
        <v>310.89999999999998</v>
      </c>
      <c r="I629">
        <v>105.8</v>
      </c>
      <c r="J629">
        <v>16.29</v>
      </c>
      <c r="K629" s="2">
        <v>0.06</v>
      </c>
      <c r="L629">
        <v>0.33</v>
      </c>
      <c r="M629">
        <f t="shared" si="23"/>
        <v>-0.27</v>
      </c>
      <c r="N629">
        <v>2.1480000000000001</v>
      </c>
      <c r="O629">
        <v>2.5380000000000003</v>
      </c>
      <c r="P629">
        <f t="shared" si="24"/>
        <v>-0.39000000000000012</v>
      </c>
      <c r="Q629">
        <v>3.008</v>
      </c>
      <c r="R629">
        <v>2.7475000000000005</v>
      </c>
      <c r="S629">
        <f t="shared" si="22"/>
        <v>0.26049999999999951</v>
      </c>
      <c r="T629">
        <v>24.373499999999996</v>
      </c>
      <c r="U629">
        <v>266.7292056070433</v>
      </c>
      <c r="V629">
        <v>214.49607899231808</v>
      </c>
      <c r="W629">
        <v>191.14309692382812</v>
      </c>
      <c r="X629">
        <v>221.91055297851562</v>
      </c>
      <c r="Y629">
        <v>184.41781616210938</v>
      </c>
      <c r="Z629">
        <v>0.32660678029060364</v>
      </c>
    </row>
    <row r="630" spans="1:26" x14ac:dyDescent="0.2">
      <c r="A630" s="1">
        <v>44682</v>
      </c>
      <c r="B630" s="1">
        <v>44712</v>
      </c>
      <c r="C630">
        <v>63.2</v>
      </c>
      <c r="D630">
        <v>0.71870000000000001</v>
      </c>
      <c r="E630">
        <v>147.829291440265</v>
      </c>
      <c r="F630">
        <v>155.440524651277</v>
      </c>
      <c r="G630">
        <v>131.19999999999999</v>
      </c>
      <c r="H630">
        <v>371.9</v>
      </c>
      <c r="I630">
        <v>112.4</v>
      </c>
      <c r="J630">
        <v>16.68</v>
      </c>
      <c r="K630" s="2">
        <v>0.28999999999999998</v>
      </c>
      <c r="L630">
        <v>0.7654838709677414</v>
      </c>
      <c r="M630">
        <f t="shared" si="23"/>
        <v>-0.47548387096774142</v>
      </c>
      <c r="N630">
        <v>2.6019999999999999</v>
      </c>
      <c r="O630">
        <v>2.6166666666666667</v>
      </c>
      <c r="P630">
        <f t="shared" si="24"/>
        <v>-1.4666666666666828E-2</v>
      </c>
      <c r="Q630">
        <v>3.3809999999999998</v>
      </c>
      <c r="R630">
        <v>2.8980952380952383</v>
      </c>
      <c r="S630">
        <f t="shared" si="22"/>
        <v>0.4829047619047615</v>
      </c>
      <c r="T630">
        <v>29.313636363636366</v>
      </c>
      <c r="U630">
        <v>272.07663680410269</v>
      </c>
      <c r="V630">
        <v>170.18847712744284</v>
      </c>
      <c r="W630">
        <v>142.25848388671875</v>
      </c>
      <c r="X630">
        <v>166.424560546875</v>
      </c>
      <c r="Y630">
        <v>140.13734436035156</v>
      </c>
      <c r="Z630">
        <v>0.24899552762508392</v>
      </c>
    </row>
    <row r="631" spans="1:26" x14ac:dyDescent="0.2">
      <c r="A631" s="1">
        <v>44713</v>
      </c>
      <c r="B631" s="1">
        <v>44742</v>
      </c>
      <c r="C631">
        <v>61.8</v>
      </c>
      <c r="D631">
        <v>0.68889999999999996</v>
      </c>
      <c r="E631">
        <v>148.481667053861</v>
      </c>
      <c r="F631">
        <v>147.335960006032</v>
      </c>
      <c r="G631">
        <v>130.69999999999999</v>
      </c>
      <c r="H631">
        <v>374.1</v>
      </c>
      <c r="I631">
        <v>120.1</v>
      </c>
      <c r="J631">
        <v>15.53</v>
      </c>
      <c r="K631" s="2">
        <v>0.69</v>
      </c>
      <c r="L631">
        <v>1.2049999999999992</v>
      </c>
      <c r="M631">
        <f t="shared" si="23"/>
        <v>-0.51499999999999924</v>
      </c>
      <c r="N631">
        <v>2.9340000000000002</v>
      </c>
      <c r="O631">
        <v>2.9980952380952384</v>
      </c>
      <c r="P631">
        <f t="shared" si="24"/>
        <v>-6.4095238095238205E-2</v>
      </c>
      <c r="Q631">
        <v>3.7669999999999999</v>
      </c>
      <c r="R631">
        <v>3.1433333333333344</v>
      </c>
      <c r="S631">
        <f t="shared" si="22"/>
        <v>0.62366666666666548</v>
      </c>
      <c r="T631">
        <v>28.233181818181819</v>
      </c>
      <c r="U631">
        <v>244.3804256646736</v>
      </c>
      <c r="V631">
        <v>97.941232215371471</v>
      </c>
      <c r="W631">
        <v>130.70732116699219</v>
      </c>
      <c r="X631">
        <v>160.72695922851562</v>
      </c>
      <c r="Y631">
        <v>114.81468963623047</v>
      </c>
      <c r="Z631">
        <v>0.14716270565986633</v>
      </c>
    </row>
    <row r="632" spans="1:26" x14ac:dyDescent="0.2">
      <c r="A632" s="1">
        <v>44743</v>
      </c>
      <c r="B632" s="1">
        <v>44771</v>
      </c>
      <c r="C632">
        <v>63.1</v>
      </c>
      <c r="D632">
        <v>0.70069999999999999</v>
      </c>
      <c r="E632">
        <v>143.05308724969001</v>
      </c>
      <c r="F632">
        <v>135.75500032866199</v>
      </c>
      <c r="G632">
        <v>108.6</v>
      </c>
      <c r="H632">
        <v>402.2</v>
      </c>
      <c r="I632">
        <v>108.9</v>
      </c>
      <c r="J632">
        <v>18.88</v>
      </c>
      <c r="K632" s="2">
        <v>1.24</v>
      </c>
      <c r="L632">
        <v>1.6758064516129023</v>
      </c>
      <c r="M632">
        <f t="shared" si="23"/>
        <v>-0.43580645161290232</v>
      </c>
      <c r="N632">
        <v>2.6829999999999998</v>
      </c>
      <c r="O632">
        <v>3.036</v>
      </c>
      <c r="P632">
        <f t="shared" si="24"/>
        <v>-0.3530000000000002</v>
      </c>
      <c r="Q632">
        <v>3.4289999999999998</v>
      </c>
      <c r="R632">
        <v>2.8959999999999999</v>
      </c>
      <c r="S632">
        <f t="shared" si="22"/>
        <v>0.53299999999999992</v>
      </c>
      <c r="T632">
        <v>24.995238095238101</v>
      </c>
      <c r="U632">
        <v>289.0957544188351</v>
      </c>
      <c r="V632">
        <v>94.442583999853795</v>
      </c>
      <c r="W632">
        <v>117.17676544189453</v>
      </c>
      <c r="X632">
        <v>141.24293518066406</v>
      </c>
      <c r="Y632">
        <v>97.838729858398438</v>
      </c>
      <c r="Z632">
        <v>0.18589520454406738</v>
      </c>
    </row>
    <row r="633" spans="1:26" x14ac:dyDescent="0.2">
      <c r="A633" s="1">
        <v>44774</v>
      </c>
      <c r="B633" s="1">
        <v>44804</v>
      </c>
      <c r="C633">
        <v>63.3</v>
      </c>
      <c r="D633">
        <v>0.69020000000000004</v>
      </c>
      <c r="E633">
        <v>139.65055382386299</v>
      </c>
      <c r="F633">
        <v>139.20036630740401</v>
      </c>
      <c r="G633">
        <v>108.9</v>
      </c>
      <c r="H633">
        <v>407</v>
      </c>
      <c r="I633">
        <v>98.6</v>
      </c>
      <c r="J633">
        <v>21.21</v>
      </c>
      <c r="K633" s="2">
        <v>1.77</v>
      </c>
      <c r="L633">
        <v>2.3299999999999987</v>
      </c>
      <c r="M633">
        <f t="shared" si="23"/>
        <v>-0.55999999999999872</v>
      </c>
      <c r="N633">
        <v>2.8860000000000001</v>
      </c>
      <c r="O633">
        <v>3.25</v>
      </c>
      <c r="P633">
        <f t="shared" si="24"/>
        <v>-0.36399999999999988</v>
      </c>
      <c r="Q633">
        <v>3.3610000000000002</v>
      </c>
      <c r="R633">
        <v>2.8978260869565213</v>
      </c>
      <c r="S633">
        <f t="shared" si="22"/>
        <v>0.46317391304347888</v>
      </c>
      <c r="T633">
        <v>22.169565217391305</v>
      </c>
      <c r="U633">
        <v>233.4607486603733</v>
      </c>
      <c r="V633">
        <v>132.91160593914691</v>
      </c>
      <c r="W633">
        <v>132.86322021484375</v>
      </c>
      <c r="X633">
        <v>159.38302612304688</v>
      </c>
      <c r="Y633">
        <v>111.15857696533203</v>
      </c>
      <c r="Z633">
        <v>0.24277593195438385</v>
      </c>
    </row>
    <row r="634" spans="1:26" x14ac:dyDescent="0.2">
      <c r="A634" s="1">
        <v>44805</v>
      </c>
      <c r="B634" s="1">
        <v>44834</v>
      </c>
      <c r="C634">
        <v>61.5</v>
      </c>
      <c r="D634">
        <v>0.6502</v>
      </c>
      <c r="E634">
        <v>144.26831438978201</v>
      </c>
      <c r="F634">
        <v>145.133389805212</v>
      </c>
      <c r="G634">
        <v>99.8</v>
      </c>
      <c r="H634">
        <v>430.8</v>
      </c>
      <c r="I634">
        <v>90.2</v>
      </c>
      <c r="J634">
        <v>23.73</v>
      </c>
      <c r="K634" s="2">
        <v>2.21</v>
      </c>
      <c r="L634">
        <v>2.5549999999999988</v>
      </c>
      <c r="M634">
        <f t="shared" si="23"/>
        <v>-0.34499999999999886</v>
      </c>
      <c r="N634">
        <v>3.2469999999999999</v>
      </c>
      <c r="O634">
        <v>3.8566666666666656</v>
      </c>
      <c r="P634">
        <f t="shared" si="24"/>
        <v>-0.60966666666666569</v>
      </c>
      <c r="Q634">
        <v>3.7469999999999999</v>
      </c>
      <c r="R634">
        <v>3.5190476190476194</v>
      </c>
      <c r="S634">
        <f t="shared" si="22"/>
        <v>0.22795238095238046</v>
      </c>
      <c r="T634">
        <v>27.341818181818187</v>
      </c>
      <c r="U634">
        <v>246.58276194650921</v>
      </c>
      <c r="V634">
        <v>133.81392517530583</v>
      </c>
      <c r="W634">
        <v>131.98587036132812</v>
      </c>
      <c r="X634">
        <v>170.31179809570312</v>
      </c>
      <c r="Y634">
        <v>108.62807464599609</v>
      </c>
      <c r="Z634">
        <v>0.18262150883674622</v>
      </c>
    </row>
    <row r="635" spans="1:26" x14ac:dyDescent="0.2">
      <c r="A635" s="1">
        <v>44835</v>
      </c>
      <c r="B635" s="1">
        <v>44865</v>
      </c>
      <c r="C635">
        <v>61.3</v>
      </c>
      <c r="D635">
        <v>0.64200000000000002</v>
      </c>
      <c r="E635">
        <v>140.84912499547301</v>
      </c>
      <c r="F635">
        <v>140.94128945377</v>
      </c>
      <c r="G635">
        <v>92.6</v>
      </c>
      <c r="H635">
        <v>389.8</v>
      </c>
      <c r="I635">
        <v>93.1</v>
      </c>
      <c r="J635">
        <v>21.84</v>
      </c>
      <c r="K635" s="2">
        <v>2.54</v>
      </c>
      <c r="L635">
        <v>3.0799999999999987</v>
      </c>
      <c r="M635">
        <f t="shared" si="23"/>
        <v>-0.5399999999999987</v>
      </c>
      <c r="N635">
        <v>3.3069999999999999</v>
      </c>
      <c r="O635">
        <v>4.375</v>
      </c>
      <c r="P635">
        <f t="shared" si="24"/>
        <v>-1.0680000000000001</v>
      </c>
      <c r="Q635">
        <v>3.919</v>
      </c>
      <c r="R635">
        <v>3.9834999999999994</v>
      </c>
      <c r="S635">
        <f t="shared" si="22"/>
        <v>-6.4499999999999336E-2</v>
      </c>
      <c r="T635">
        <v>30.005714285714287</v>
      </c>
      <c r="U635">
        <v>262.00949426100328</v>
      </c>
      <c r="V635">
        <v>277.7887554474749</v>
      </c>
      <c r="W635">
        <v>143.16241455078125</v>
      </c>
      <c r="X635">
        <v>185.2843017578125</v>
      </c>
      <c r="Y635">
        <v>112.67502593994141</v>
      </c>
      <c r="Z635">
        <v>0.11359763890504837</v>
      </c>
    </row>
    <row r="636" spans="1:26" x14ac:dyDescent="0.2">
      <c r="A636" s="1">
        <v>44866</v>
      </c>
      <c r="B636" s="1">
        <v>44895</v>
      </c>
      <c r="C636">
        <v>62.1</v>
      </c>
      <c r="D636">
        <v>0.66979999999999995</v>
      </c>
      <c r="E636">
        <v>136.00672147063401</v>
      </c>
      <c r="F636">
        <v>132.89393569587099</v>
      </c>
      <c r="G636">
        <v>93.3</v>
      </c>
      <c r="H636">
        <v>342.2</v>
      </c>
      <c r="I636">
        <v>91.1</v>
      </c>
      <c r="J636">
        <v>19.59</v>
      </c>
      <c r="K636" s="2">
        <v>2.8</v>
      </c>
      <c r="L636">
        <v>3.7799999999999989</v>
      </c>
      <c r="M636">
        <f t="shared" si="23"/>
        <v>-0.97999999999999909</v>
      </c>
      <c r="N636">
        <v>3.1930000000000001</v>
      </c>
      <c r="O636">
        <v>4.5034999999999989</v>
      </c>
      <c r="P636">
        <f t="shared" si="24"/>
        <v>-1.3104999999999989</v>
      </c>
      <c r="Q636">
        <v>3.6960000000000002</v>
      </c>
      <c r="R636">
        <v>3.8910000000000005</v>
      </c>
      <c r="S636">
        <f t="shared" si="22"/>
        <v>-0.19500000000000028</v>
      </c>
      <c r="T636">
        <v>23.299090909090911</v>
      </c>
      <c r="U636">
        <v>306.97108236773681</v>
      </c>
      <c r="V636">
        <v>143.30967795142996</v>
      </c>
      <c r="W636">
        <v>116.71628570556641</v>
      </c>
      <c r="X636">
        <v>143.04655456542969</v>
      </c>
      <c r="Y636">
        <v>98.682609558105469</v>
      </c>
      <c r="Z636">
        <v>0.11973316967487335</v>
      </c>
    </row>
    <row r="637" spans="1:26" x14ac:dyDescent="0.2">
      <c r="A637" s="1">
        <v>44896</v>
      </c>
      <c r="B637" s="1">
        <v>44925</v>
      </c>
      <c r="C637">
        <v>61.4</v>
      </c>
      <c r="D637">
        <v>0.67749999999999999</v>
      </c>
      <c r="E637">
        <v>135.69783162720799</v>
      </c>
      <c r="F637">
        <v>138.700977655543</v>
      </c>
      <c r="G637">
        <v>111.8</v>
      </c>
      <c r="H637">
        <v>379.2</v>
      </c>
      <c r="I637">
        <v>80.900000000000006</v>
      </c>
      <c r="J637">
        <v>20.58</v>
      </c>
      <c r="K637" s="2">
        <v>3.01</v>
      </c>
      <c r="L637">
        <v>4.1041935483870953</v>
      </c>
      <c r="M637">
        <f t="shared" si="23"/>
        <v>-1.0941935483870955</v>
      </c>
      <c r="N637">
        <v>3.1080000000000001</v>
      </c>
      <c r="O637">
        <v>4.2885714285714283</v>
      </c>
      <c r="P637">
        <f t="shared" si="24"/>
        <v>-1.1805714285714282</v>
      </c>
      <c r="Q637">
        <v>3.5510000000000002</v>
      </c>
      <c r="R637">
        <v>3.6161904761904755</v>
      </c>
      <c r="S637">
        <f t="shared" si="22"/>
        <v>-6.5190476190475355E-2</v>
      </c>
      <c r="T637">
        <v>21.784285714285716</v>
      </c>
      <c r="U637">
        <v>236.6894037532056</v>
      </c>
      <c r="V637">
        <v>174.28197428611421</v>
      </c>
      <c r="W637">
        <v>111.19593811035156</v>
      </c>
      <c r="X637">
        <v>119.13852691650391</v>
      </c>
      <c r="Y637">
        <v>109.772216796875</v>
      </c>
      <c r="Z637">
        <v>0.19217655062675476</v>
      </c>
    </row>
    <row r="638" spans="1:26" x14ac:dyDescent="0.2">
      <c r="A638" s="1">
        <v>44927</v>
      </c>
      <c r="B638" s="1">
        <v>44957</v>
      </c>
      <c r="C638">
        <v>62.4</v>
      </c>
      <c r="D638">
        <v>0.70369999999999999</v>
      </c>
      <c r="E638">
        <v>137.15337880595001</v>
      </c>
      <c r="F638">
        <v>142.45292538186999</v>
      </c>
      <c r="G638">
        <v>122.2</v>
      </c>
      <c r="H638">
        <v>318</v>
      </c>
      <c r="I638">
        <v>83.1</v>
      </c>
      <c r="J638">
        <v>20.190000000000001</v>
      </c>
      <c r="K638" s="2">
        <v>3.07</v>
      </c>
      <c r="L638">
        <v>4.33</v>
      </c>
      <c r="M638">
        <f t="shared" si="23"/>
        <v>-1.2600000000000002</v>
      </c>
      <c r="N638">
        <v>3.1560000000000001</v>
      </c>
      <c r="O638">
        <v>4.2074999999999996</v>
      </c>
      <c r="P638">
        <f t="shared" si="24"/>
        <v>-1.0514999999999994</v>
      </c>
      <c r="Q638">
        <v>3.6040000000000001</v>
      </c>
      <c r="R638">
        <v>3.5315000000000003</v>
      </c>
      <c r="S638">
        <f t="shared" si="22"/>
        <v>7.2499999999999787E-2</v>
      </c>
      <c r="T638">
        <v>20.169047619047621</v>
      </c>
      <c r="U638">
        <v>215.8431913288959</v>
      </c>
      <c r="V638">
        <v>115.35894422850224</v>
      </c>
      <c r="W638">
        <v>104.26704406738281</v>
      </c>
      <c r="X638">
        <v>113.02135467529297</v>
      </c>
      <c r="Y638">
        <v>94.629936218261719</v>
      </c>
      <c r="Z638">
        <v>0.13267627358436584</v>
      </c>
    </row>
    <row r="639" spans="1:26" x14ac:dyDescent="0.2">
      <c r="A639" s="1">
        <v>44958</v>
      </c>
      <c r="B639" s="1">
        <v>44985</v>
      </c>
      <c r="C639">
        <v>61.4</v>
      </c>
      <c r="D639">
        <v>0.67300000000000004</v>
      </c>
      <c r="E639">
        <v>135.898154796233</v>
      </c>
      <c r="F639">
        <v>134.65990980924801</v>
      </c>
      <c r="G639">
        <v>127.6</v>
      </c>
      <c r="H639">
        <v>207.5</v>
      </c>
      <c r="I639">
        <v>82.7</v>
      </c>
      <c r="J639">
        <v>18.420000000000002</v>
      </c>
      <c r="K639" s="2">
        <v>3.26</v>
      </c>
      <c r="L639">
        <v>4.5699999999999985</v>
      </c>
      <c r="M639">
        <f t="shared" si="23"/>
        <v>-1.3099999999999987</v>
      </c>
      <c r="N639">
        <v>3.3519999999999999</v>
      </c>
      <c r="O639">
        <v>4.5336842105263155</v>
      </c>
      <c r="P639">
        <f t="shared" si="24"/>
        <v>-1.1816842105263157</v>
      </c>
      <c r="Q639">
        <v>3.702</v>
      </c>
      <c r="R639">
        <v>3.7468421052631586</v>
      </c>
      <c r="S639">
        <f t="shared" si="22"/>
        <v>-4.4842105263158683E-2</v>
      </c>
      <c r="T639">
        <v>20.1205</v>
      </c>
      <c r="U639">
        <v>238.64580295121601</v>
      </c>
      <c r="V639">
        <v>206.17351742842459</v>
      </c>
      <c r="W639">
        <v>120.99437713623047</v>
      </c>
      <c r="X639">
        <v>147.05015563964844</v>
      </c>
      <c r="Y639">
        <v>103.02875518798828</v>
      </c>
      <c r="Z639">
        <v>0.16010673344135284</v>
      </c>
    </row>
    <row r="640" spans="1:26" x14ac:dyDescent="0.2">
      <c r="A640" s="1">
        <v>44986</v>
      </c>
      <c r="B640" s="1">
        <v>45016</v>
      </c>
      <c r="C640">
        <v>60.3</v>
      </c>
      <c r="D640">
        <v>0.67120000000000002</v>
      </c>
      <c r="E640">
        <v>128.791161270001</v>
      </c>
      <c r="F640">
        <v>127.065334585768</v>
      </c>
      <c r="G640">
        <v>128.4</v>
      </c>
      <c r="H640">
        <v>187.2</v>
      </c>
      <c r="I640">
        <v>78.5</v>
      </c>
      <c r="J640">
        <v>16.03</v>
      </c>
      <c r="K640" s="2">
        <v>3.51</v>
      </c>
      <c r="L640">
        <v>4.6490322580645174</v>
      </c>
      <c r="M640">
        <f t="shared" si="23"/>
        <v>-1.1390322580645176</v>
      </c>
      <c r="N640">
        <v>3.077</v>
      </c>
      <c r="O640">
        <v>4.3026086956521743</v>
      </c>
      <c r="P640">
        <f t="shared" si="24"/>
        <v>-1.2256086956521743</v>
      </c>
      <c r="Q640">
        <v>3.468</v>
      </c>
      <c r="R640">
        <v>3.6630434782608687</v>
      </c>
      <c r="S640">
        <f t="shared" si="22"/>
        <v>-0.19504347826086876</v>
      </c>
      <c r="T640">
        <v>21.644347826086957</v>
      </c>
      <c r="U640">
        <v>309.59774655225277</v>
      </c>
      <c r="V640">
        <v>190.02877899262202</v>
      </c>
      <c r="W640">
        <v>105.37997436523438</v>
      </c>
      <c r="X640">
        <v>125.08584594726562</v>
      </c>
      <c r="Y640">
        <v>86.754043579101562</v>
      </c>
      <c r="Z640">
        <v>0.21818611025810242</v>
      </c>
    </row>
    <row r="641" spans="1:26" x14ac:dyDescent="0.2">
      <c r="A641" s="1">
        <v>45017</v>
      </c>
      <c r="B641" s="1">
        <v>45044</v>
      </c>
      <c r="C641">
        <v>59.8</v>
      </c>
      <c r="D641">
        <v>0.66100000000000003</v>
      </c>
      <c r="E641">
        <v>121.565135178657</v>
      </c>
      <c r="F641">
        <v>115.920687855062</v>
      </c>
      <c r="G641">
        <v>117.4</v>
      </c>
      <c r="H641">
        <v>194.3</v>
      </c>
      <c r="I641">
        <v>84.1</v>
      </c>
      <c r="J641">
        <v>14.37</v>
      </c>
      <c r="K641" s="2">
        <v>3.57</v>
      </c>
      <c r="L641">
        <v>4.83</v>
      </c>
      <c r="M641">
        <f t="shared" si="23"/>
        <v>-1.2600000000000002</v>
      </c>
      <c r="N641">
        <v>2.9129999999999998</v>
      </c>
      <c r="O641">
        <v>4.016</v>
      </c>
      <c r="P641">
        <f t="shared" si="24"/>
        <v>-1.1030000000000002</v>
      </c>
      <c r="Q641">
        <v>3.343</v>
      </c>
      <c r="R641">
        <v>3.46</v>
      </c>
      <c r="S641">
        <f t="shared" si="22"/>
        <v>-0.11699999999999999</v>
      </c>
      <c r="T641">
        <v>17.817894736842103</v>
      </c>
      <c r="U641">
        <v>252.6827725769821</v>
      </c>
      <c r="V641">
        <v>194.65927673162645</v>
      </c>
      <c r="W641">
        <v>106.80965423583984</v>
      </c>
      <c r="X641">
        <v>118.16682434082031</v>
      </c>
      <c r="Y641">
        <v>93.2484130859375</v>
      </c>
      <c r="Z641">
        <v>0.12321659922599792</v>
      </c>
    </row>
    <row r="642" spans="1:26" x14ac:dyDescent="0.2">
      <c r="A642" s="1">
        <v>45047</v>
      </c>
      <c r="B642" s="1">
        <v>45077</v>
      </c>
      <c r="C642">
        <v>59.8</v>
      </c>
      <c r="D642">
        <v>0.64949999999999997</v>
      </c>
      <c r="E642">
        <v>113.52242389204901</v>
      </c>
      <c r="F642">
        <v>106.79452432502499</v>
      </c>
      <c r="G642">
        <v>105.2</v>
      </c>
      <c r="H642">
        <v>160.5</v>
      </c>
      <c r="I642">
        <v>75.7</v>
      </c>
      <c r="J642">
        <v>13.43</v>
      </c>
      <c r="K642" s="2">
        <v>3.8</v>
      </c>
      <c r="L642">
        <v>5.0558064516129049</v>
      </c>
      <c r="M642">
        <f t="shared" si="23"/>
        <v>-1.2558064516129051</v>
      </c>
      <c r="N642">
        <v>3.2280000000000002</v>
      </c>
      <c r="O642">
        <v>4.1318181818181827</v>
      </c>
      <c r="P642">
        <f t="shared" si="24"/>
        <v>-0.90381818181818252</v>
      </c>
      <c r="Q642">
        <v>3.5</v>
      </c>
      <c r="R642">
        <v>3.5736363636363637</v>
      </c>
      <c r="S642">
        <f t="shared" si="22"/>
        <v>-7.3636363636363722E-2</v>
      </c>
      <c r="T642">
        <v>17.636086956521734</v>
      </c>
      <c r="U642">
        <v>208.39705214256571</v>
      </c>
      <c r="V642">
        <v>148.29759846976256</v>
      </c>
      <c r="W642">
        <v>108.46768188476562</v>
      </c>
      <c r="X642">
        <v>122.47150421142578</v>
      </c>
      <c r="Y642">
        <v>92.759437561035156</v>
      </c>
      <c r="Z642">
        <v>0.1635768860578537</v>
      </c>
    </row>
    <row r="643" spans="1:26" x14ac:dyDescent="0.2">
      <c r="A643" s="1">
        <v>45078</v>
      </c>
      <c r="B643" s="1">
        <v>45107</v>
      </c>
      <c r="C643">
        <v>61.7</v>
      </c>
      <c r="D643">
        <v>0.66300000000000003</v>
      </c>
      <c r="E643">
        <v>109.285970959396</v>
      </c>
      <c r="F643">
        <v>106.33754750406899</v>
      </c>
      <c r="G643">
        <v>113.5</v>
      </c>
      <c r="H643">
        <v>139.4</v>
      </c>
      <c r="I643">
        <v>74.900000000000006</v>
      </c>
      <c r="J643">
        <v>12.68</v>
      </c>
      <c r="K643" s="2">
        <v>4.0199999999999996</v>
      </c>
      <c r="L643">
        <v>5.0763333333333316</v>
      </c>
      <c r="M643">
        <f t="shared" si="23"/>
        <v>-1.056333333333332</v>
      </c>
      <c r="N643">
        <v>3.9510000000000001</v>
      </c>
      <c r="O643">
        <v>4.6395238095238094</v>
      </c>
      <c r="P643">
        <f t="shared" si="24"/>
        <v>-0.68852380952380932</v>
      </c>
      <c r="Q643">
        <v>3.9159999999999999</v>
      </c>
      <c r="R643">
        <v>3.7480952380952379</v>
      </c>
      <c r="S643">
        <f t="shared" ref="S643:S681" si="25">Q643-R643</f>
        <v>0.167904761904762</v>
      </c>
      <c r="T643">
        <v>14.003181818181817</v>
      </c>
      <c r="U643">
        <v>219.39460727008279</v>
      </c>
      <c r="V643">
        <v>113.89248010194395</v>
      </c>
      <c r="W643">
        <v>110.52894592285156</v>
      </c>
      <c r="X643">
        <v>129.40652465820312</v>
      </c>
      <c r="Y643">
        <v>95.278907775878906</v>
      </c>
      <c r="Z643">
        <v>0.12844821810722351</v>
      </c>
    </row>
    <row r="644" spans="1:26" x14ac:dyDescent="0.2">
      <c r="A644" s="1">
        <v>45108</v>
      </c>
      <c r="B644" s="1">
        <v>45138</v>
      </c>
      <c r="C644">
        <v>61.3</v>
      </c>
      <c r="D644">
        <v>0.66820000000000002</v>
      </c>
      <c r="E644">
        <v>108.839408564381</v>
      </c>
      <c r="F644">
        <v>106.764905909566</v>
      </c>
      <c r="G644">
        <v>114.4</v>
      </c>
      <c r="H644">
        <v>140.6</v>
      </c>
      <c r="I644">
        <v>80.099999999999994</v>
      </c>
      <c r="J644">
        <v>12.99</v>
      </c>
      <c r="K644" s="2">
        <v>4.07</v>
      </c>
      <c r="L644">
        <v>5.120000000000001</v>
      </c>
      <c r="M644">
        <f t="shared" si="23"/>
        <v>-1.0500000000000007</v>
      </c>
      <c r="N644">
        <v>4.0720000000000001</v>
      </c>
      <c r="O644">
        <v>4.8285</v>
      </c>
      <c r="P644">
        <f t="shared" si="24"/>
        <v>-0.75649999999999995</v>
      </c>
      <c r="Q644">
        <v>4.0359999999999996</v>
      </c>
      <c r="R644">
        <v>3.8994999999999997</v>
      </c>
      <c r="S644">
        <f t="shared" si="25"/>
        <v>0.13649999999999984</v>
      </c>
      <c r="T644">
        <v>13.932380952380951</v>
      </c>
      <c r="U644">
        <v>189.57295628612081</v>
      </c>
      <c r="V644">
        <v>149.32894400081091</v>
      </c>
      <c r="W644">
        <v>107.44878387451172</v>
      </c>
      <c r="X644">
        <v>123.80915069580078</v>
      </c>
      <c r="Y644">
        <v>91.76800537109375</v>
      </c>
      <c r="Z644">
        <v>0.16145056486129761</v>
      </c>
    </row>
    <row r="645" spans="1:26" x14ac:dyDescent="0.2">
      <c r="A645" s="1">
        <v>45139</v>
      </c>
      <c r="B645" s="1">
        <v>45169</v>
      </c>
      <c r="C645">
        <v>60.6</v>
      </c>
      <c r="D645">
        <v>0.64849999999999997</v>
      </c>
      <c r="E645">
        <v>106.622630735512</v>
      </c>
      <c r="F645">
        <v>106.246051142665</v>
      </c>
      <c r="G645">
        <v>110.2</v>
      </c>
      <c r="H645">
        <v>152.6</v>
      </c>
      <c r="I645">
        <v>86.2</v>
      </c>
      <c r="J645">
        <v>12.54</v>
      </c>
      <c r="K645" s="2">
        <v>4.07</v>
      </c>
      <c r="L645">
        <v>5.3300000000000018</v>
      </c>
      <c r="M645">
        <f t="shared" si="23"/>
        <v>-1.2600000000000016</v>
      </c>
      <c r="N645">
        <v>3.8969999999999998</v>
      </c>
      <c r="O645">
        <v>4.901739130434783</v>
      </c>
      <c r="P645">
        <f t="shared" si="24"/>
        <v>-1.0047391304347832</v>
      </c>
      <c r="Q645">
        <v>4.1280000000000001</v>
      </c>
      <c r="R645">
        <v>4.1678260869565227</v>
      </c>
      <c r="S645">
        <f t="shared" si="25"/>
        <v>-3.9826086956522566E-2</v>
      </c>
      <c r="T645">
        <v>15.853913043478258</v>
      </c>
      <c r="U645">
        <v>172.96862367994211</v>
      </c>
      <c r="V645">
        <v>117.49858723549302</v>
      </c>
      <c r="W645">
        <v>101.14118194580078</v>
      </c>
      <c r="X645">
        <v>117.60943603515625</v>
      </c>
      <c r="Y645">
        <v>83.605049133300781</v>
      </c>
      <c r="Z645">
        <v>0.10314282029867172</v>
      </c>
    </row>
    <row r="646" spans="1:26" x14ac:dyDescent="0.2">
      <c r="A646" s="1">
        <v>45170</v>
      </c>
      <c r="B646" s="1">
        <v>45198</v>
      </c>
      <c r="C646">
        <v>61.1</v>
      </c>
      <c r="D646">
        <v>0.64580000000000004</v>
      </c>
      <c r="E646">
        <v>108.658612303973</v>
      </c>
      <c r="F646">
        <v>112.950799900227</v>
      </c>
      <c r="G646">
        <v>121</v>
      </c>
      <c r="H646">
        <v>162.5</v>
      </c>
      <c r="I646">
        <v>94</v>
      </c>
      <c r="J646">
        <v>12.21</v>
      </c>
      <c r="K646" s="2">
        <v>4.07</v>
      </c>
      <c r="L646">
        <v>5.330000000000001</v>
      </c>
      <c r="M646">
        <f t="shared" si="23"/>
        <v>-1.2600000000000007</v>
      </c>
      <c r="N646">
        <v>3.94</v>
      </c>
      <c r="O646">
        <v>5.0220000000000002</v>
      </c>
      <c r="P646">
        <f t="shared" si="24"/>
        <v>-1.0820000000000003</v>
      </c>
      <c r="Q646">
        <v>4.2110000000000003</v>
      </c>
      <c r="R646">
        <v>4.3790000000000004</v>
      </c>
      <c r="S646">
        <f t="shared" si="25"/>
        <v>-0.16800000000000015</v>
      </c>
      <c r="T646">
        <v>15.17333333333333</v>
      </c>
      <c r="U646">
        <v>198.00871483808189</v>
      </c>
      <c r="V646">
        <v>103.31368567803803</v>
      </c>
      <c r="W646">
        <v>98.634811401367188</v>
      </c>
      <c r="X646">
        <v>125.65179443359375</v>
      </c>
      <c r="Y646">
        <v>68.465919494628906</v>
      </c>
      <c r="Z646">
        <v>0.1875491589307785</v>
      </c>
    </row>
    <row r="647" spans="1:26" x14ac:dyDescent="0.2">
      <c r="A647" s="1">
        <v>45200</v>
      </c>
      <c r="B647" s="1">
        <v>45230</v>
      </c>
      <c r="C647">
        <v>60.2</v>
      </c>
      <c r="D647">
        <v>0.63460000000000005</v>
      </c>
      <c r="E647">
        <v>108.992090142771</v>
      </c>
      <c r="F647">
        <v>112.454209848796</v>
      </c>
      <c r="G647">
        <v>119</v>
      </c>
      <c r="H647">
        <v>142.1</v>
      </c>
      <c r="I647">
        <v>91.1</v>
      </c>
      <c r="J647">
        <v>12.62</v>
      </c>
      <c r="K647" s="2">
        <v>4.07</v>
      </c>
      <c r="L647">
        <v>5.3300000000000018</v>
      </c>
      <c r="M647">
        <f t="shared" si="23"/>
        <v>-1.2600000000000016</v>
      </c>
      <c r="N647">
        <v>4.1900000000000004</v>
      </c>
      <c r="O647">
        <v>5.067619047619047</v>
      </c>
      <c r="P647">
        <f t="shared" si="24"/>
        <v>-0.87761904761904663</v>
      </c>
      <c r="Q647">
        <v>4.633</v>
      </c>
      <c r="R647">
        <v>4.7980952380952377</v>
      </c>
      <c r="S647">
        <f t="shared" si="25"/>
        <v>-0.16509523809523774</v>
      </c>
      <c r="T647">
        <v>18.887727272727272</v>
      </c>
      <c r="U647">
        <v>188.2813040745269</v>
      </c>
      <c r="V647">
        <v>125.96085493064477</v>
      </c>
      <c r="W647">
        <v>197.88700866699219</v>
      </c>
      <c r="X647">
        <v>205.04005432128906</v>
      </c>
      <c r="Y647">
        <v>221.80393981933594</v>
      </c>
      <c r="Z647">
        <v>0.20899266004562378</v>
      </c>
    </row>
    <row r="648" spans="1:26" x14ac:dyDescent="0.2">
      <c r="A648" s="1">
        <v>45231</v>
      </c>
      <c r="B648" s="1">
        <v>45260</v>
      </c>
      <c r="C648">
        <v>61.5</v>
      </c>
      <c r="D648">
        <v>0.66479999999999995</v>
      </c>
      <c r="E648">
        <v>112.839114374853</v>
      </c>
      <c r="F648">
        <v>112.857500988266</v>
      </c>
      <c r="G648">
        <v>131.1</v>
      </c>
      <c r="H648">
        <v>126.8</v>
      </c>
      <c r="I648">
        <v>83.2</v>
      </c>
      <c r="J648">
        <v>12.72</v>
      </c>
      <c r="K648" s="2">
        <v>4.26</v>
      </c>
      <c r="L648">
        <v>5.330000000000001</v>
      </c>
      <c r="M648">
        <f t="shared" si="23"/>
        <v>-1.0700000000000012</v>
      </c>
      <c r="N648">
        <v>4.2539999999999996</v>
      </c>
      <c r="O648">
        <v>4.8823809523809523</v>
      </c>
      <c r="P648">
        <f t="shared" si="24"/>
        <v>-0.62838095238095271</v>
      </c>
      <c r="Q648">
        <v>4.5780000000000003</v>
      </c>
      <c r="R648">
        <v>4.5028571428571427</v>
      </c>
      <c r="S648">
        <f t="shared" si="25"/>
        <v>7.5142857142857622E-2</v>
      </c>
      <c r="T648">
        <v>14.019090909090909</v>
      </c>
      <c r="U648">
        <v>205.63377976264431</v>
      </c>
      <c r="V648">
        <v>111.33332329479228</v>
      </c>
      <c r="W648">
        <v>156.69613647460938</v>
      </c>
      <c r="X648">
        <v>143.49435424804688</v>
      </c>
      <c r="Y648">
        <v>189.55439758300781</v>
      </c>
      <c r="Z648">
        <v>0.15019713342189789</v>
      </c>
    </row>
    <row r="649" spans="1:26" x14ac:dyDescent="0.2">
      <c r="A649" s="1">
        <v>45261</v>
      </c>
      <c r="B649" s="1">
        <v>45289</v>
      </c>
      <c r="C649">
        <v>62.6</v>
      </c>
      <c r="D649">
        <v>0.68400000000000005</v>
      </c>
      <c r="E649">
        <v>113.437055125066</v>
      </c>
      <c r="F649">
        <v>115.145468643274</v>
      </c>
      <c r="G649">
        <v>137.1</v>
      </c>
      <c r="H649">
        <v>141.80000000000001</v>
      </c>
      <c r="I649">
        <v>77.900000000000006</v>
      </c>
      <c r="J649">
        <v>14.44</v>
      </c>
      <c r="K649" s="2">
        <v>4.32</v>
      </c>
      <c r="L649">
        <v>5.3300000000000018</v>
      </c>
      <c r="M649">
        <f t="shared" si="23"/>
        <v>-1.0100000000000016</v>
      </c>
      <c r="N649">
        <v>3.8959999999999999</v>
      </c>
      <c r="O649">
        <v>4.4570000000000007</v>
      </c>
      <c r="P649">
        <f t="shared" si="24"/>
        <v>-0.56100000000000083</v>
      </c>
      <c r="Q649">
        <v>4.1870000000000003</v>
      </c>
      <c r="R649">
        <v>4.0200000000000005</v>
      </c>
      <c r="S649">
        <f t="shared" si="25"/>
        <v>0.16699999999999982</v>
      </c>
      <c r="T649">
        <v>12.718499999999999</v>
      </c>
      <c r="U649">
        <v>219.84109514289031</v>
      </c>
      <c r="V649">
        <v>89.377957212793675</v>
      </c>
      <c r="W649">
        <v>142.27946472167969</v>
      </c>
      <c r="X649">
        <v>136.17839050292969</v>
      </c>
      <c r="Y649">
        <v>173.96380615234375</v>
      </c>
      <c r="Z649">
        <v>0.12873326241970062</v>
      </c>
    </row>
    <row r="650" spans="1:26" x14ac:dyDescent="0.2">
      <c r="A650" s="1">
        <v>45292</v>
      </c>
      <c r="B650" s="1">
        <v>45322</v>
      </c>
      <c r="C650">
        <v>61.4</v>
      </c>
      <c r="D650">
        <v>0.65739999999999998</v>
      </c>
      <c r="E650">
        <v>115.537728034088</v>
      </c>
      <c r="F650">
        <v>115.43643793907199</v>
      </c>
      <c r="G650">
        <v>135.80000000000001</v>
      </c>
      <c r="H650">
        <v>124.9</v>
      </c>
      <c r="I650">
        <v>80.2</v>
      </c>
      <c r="J650">
        <v>14.34</v>
      </c>
      <c r="K650" s="2">
        <v>4.32</v>
      </c>
      <c r="L650">
        <v>5.3300000000000018</v>
      </c>
      <c r="M650">
        <f t="shared" si="23"/>
        <v>-1.0100000000000016</v>
      </c>
      <c r="N650">
        <v>3.827</v>
      </c>
      <c r="O650">
        <v>4.322857142857143</v>
      </c>
      <c r="P650">
        <f t="shared" si="24"/>
        <v>-0.495857142857143</v>
      </c>
      <c r="Q650">
        <v>4.1479999999999997</v>
      </c>
      <c r="R650">
        <v>4.0580952380952384</v>
      </c>
      <c r="S650">
        <f t="shared" si="25"/>
        <v>8.9904761904761266E-2</v>
      </c>
      <c r="T650">
        <v>13.388636363636364</v>
      </c>
      <c r="U650">
        <v>236.3050410118459</v>
      </c>
      <c r="V650">
        <v>84.726926186994518</v>
      </c>
      <c r="W650">
        <v>160.3736572265625</v>
      </c>
      <c r="X650">
        <v>140.83609008789062</v>
      </c>
      <c r="Y650">
        <v>208.47114562988281</v>
      </c>
      <c r="Z650">
        <v>0.31316548585891724</v>
      </c>
    </row>
    <row r="651" spans="1:26" x14ac:dyDescent="0.2">
      <c r="A651" s="1">
        <v>45323</v>
      </c>
      <c r="B651" s="1">
        <v>45351</v>
      </c>
      <c r="C651">
        <v>61.1</v>
      </c>
      <c r="D651">
        <v>0.65190000000000003</v>
      </c>
      <c r="E651">
        <v>113.189965794602</v>
      </c>
      <c r="F651">
        <v>110.82540836738499</v>
      </c>
      <c r="G651">
        <v>124.4</v>
      </c>
      <c r="H651">
        <v>124.2</v>
      </c>
      <c r="I651">
        <v>83.8</v>
      </c>
      <c r="J651">
        <v>13.64</v>
      </c>
      <c r="K651" s="2">
        <v>4.32</v>
      </c>
      <c r="L651">
        <v>5.330000000000001</v>
      </c>
      <c r="M651">
        <f t="shared" ref="M651:M681" si="26">K651-L651</f>
        <v>-1.0100000000000007</v>
      </c>
      <c r="N651">
        <v>3.7749999999999999</v>
      </c>
      <c r="O651">
        <v>4.5440000000000005</v>
      </c>
      <c r="P651">
        <f t="shared" si="24"/>
        <v>-0.76900000000000057</v>
      </c>
      <c r="Q651">
        <v>4.141</v>
      </c>
      <c r="R651">
        <v>4.2075000000000005</v>
      </c>
      <c r="S651">
        <f t="shared" si="25"/>
        <v>-6.6500000000000448E-2</v>
      </c>
      <c r="T651">
        <v>13.980476190476189</v>
      </c>
      <c r="U651">
        <v>165.0627596436648</v>
      </c>
      <c r="V651">
        <v>122.72165121739225</v>
      </c>
      <c r="W651">
        <v>146.59817504882812</v>
      </c>
      <c r="X651">
        <v>140.24467468261719</v>
      </c>
      <c r="Y651">
        <v>171.18118286132812</v>
      </c>
      <c r="Z651">
        <v>0.21592618525028229</v>
      </c>
    </row>
    <row r="652" spans="1:26" x14ac:dyDescent="0.2">
      <c r="A652" s="1">
        <v>45352</v>
      </c>
      <c r="B652" s="1">
        <v>45379</v>
      </c>
      <c r="C652">
        <v>61.5</v>
      </c>
      <c r="D652">
        <v>0.6532</v>
      </c>
      <c r="E652">
        <v>106.989350358865</v>
      </c>
      <c r="F652">
        <v>102.96921768127901</v>
      </c>
      <c r="G652">
        <v>109.8</v>
      </c>
      <c r="H652">
        <v>131.5</v>
      </c>
      <c r="I652">
        <v>85.4</v>
      </c>
      <c r="J652">
        <v>13.19</v>
      </c>
      <c r="K652" s="2">
        <v>4.32</v>
      </c>
      <c r="L652">
        <v>5.3300000000000018</v>
      </c>
      <c r="M652">
        <f t="shared" si="26"/>
        <v>-1.0100000000000016</v>
      </c>
      <c r="N652">
        <v>3.7189999999999999</v>
      </c>
      <c r="O652">
        <v>4.588000000000001</v>
      </c>
      <c r="P652">
        <f t="shared" si="24"/>
        <v>-0.8690000000000011</v>
      </c>
      <c r="Q652">
        <v>4.0449999999999999</v>
      </c>
      <c r="R652">
        <v>4.208499999999999</v>
      </c>
      <c r="S652">
        <f t="shared" si="25"/>
        <v>-0.16349999999999909</v>
      </c>
      <c r="T652">
        <v>13.787499999999998</v>
      </c>
      <c r="U652">
        <v>176.22177767829569</v>
      </c>
      <c r="V652">
        <v>122.73562141965806</v>
      </c>
      <c r="W652">
        <v>133.21316528320312</v>
      </c>
      <c r="X652">
        <v>121.53968048095703</v>
      </c>
      <c r="Y652">
        <v>151.81399536132812</v>
      </c>
      <c r="Z652">
        <v>0.15367592871189117</v>
      </c>
    </row>
    <row r="653" spans="1:26" x14ac:dyDescent="0.2">
      <c r="A653" s="1">
        <v>45383</v>
      </c>
      <c r="B653" s="1">
        <v>45412</v>
      </c>
      <c r="C653">
        <v>62.2</v>
      </c>
      <c r="D653">
        <v>0.65249999999999997</v>
      </c>
      <c r="E653">
        <v>104.639279748975</v>
      </c>
      <c r="F653">
        <v>103.70271061943799</v>
      </c>
      <c r="G653">
        <v>112.8</v>
      </c>
      <c r="H653">
        <v>135</v>
      </c>
      <c r="I653">
        <v>90.1</v>
      </c>
      <c r="J653">
        <v>11.88</v>
      </c>
      <c r="K653" s="2">
        <v>4.32</v>
      </c>
      <c r="L653">
        <v>5.330000000000001</v>
      </c>
      <c r="M653">
        <f t="shared" si="26"/>
        <v>-1.0100000000000007</v>
      </c>
      <c r="N653">
        <v>3.9079999999999999</v>
      </c>
      <c r="O653">
        <v>4.8731818181818181</v>
      </c>
      <c r="P653">
        <f t="shared" si="24"/>
        <v>-0.96518181818181814</v>
      </c>
      <c r="Q653">
        <v>4.2679999999999998</v>
      </c>
      <c r="R653">
        <v>4.53909090909091</v>
      </c>
      <c r="S653">
        <f t="shared" si="25"/>
        <v>-0.27109090909091016</v>
      </c>
      <c r="T653">
        <v>16.137727272727275</v>
      </c>
      <c r="U653">
        <v>168.60658230086739</v>
      </c>
      <c r="V653">
        <v>67.490973498676013</v>
      </c>
      <c r="W653">
        <v>163.94734191894531</v>
      </c>
      <c r="X653">
        <v>170.697998046875</v>
      </c>
      <c r="Y653">
        <v>165.99069213867188</v>
      </c>
      <c r="Z653">
        <v>0.31010696291923523</v>
      </c>
    </row>
    <row r="654" spans="1:26" x14ac:dyDescent="0.2">
      <c r="A654" s="1">
        <v>45413</v>
      </c>
      <c r="B654" s="1">
        <v>45443</v>
      </c>
      <c r="C654">
        <v>63.1</v>
      </c>
      <c r="D654">
        <v>0.66369999999999996</v>
      </c>
      <c r="E654">
        <v>105.763898757169</v>
      </c>
      <c r="F654">
        <v>107.335920906954</v>
      </c>
      <c r="G654">
        <v>118.9</v>
      </c>
      <c r="H654">
        <v>142</v>
      </c>
      <c r="I654">
        <v>82</v>
      </c>
      <c r="J654">
        <v>12.16</v>
      </c>
      <c r="K654" s="2">
        <v>4.32</v>
      </c>
      <c r="L654">
        <v>5.3300000000000018</v>
      </c>
      <c r="M654">
        <f t="shared" si="26"/>
        <v>-1.0100000000000016</v>
      </c>
      <c r="N654">
        <v>4.0270000000000001</v>
      </c>
      <c r="O654">
        <v>4.8563636363636355</v>
      </c>
      <c r="P654">
        <f t="shared" si="24"/>
        <v>-0.82936363636363541</v>
      </c>
      <c r="Q654">
        <v>4.3250000000000002</v>
      </c>
      <c r="R654">
        <v>4.4822727272727274</v>
      </c>
      <c r="S654">
        <f t="shared" si="25"/>
        <v>-0.15727272727272723</v>
      </c>
      <c r="T654">
        <v>13.058695652173913</v>
      </c>
      <c r="U654">
        <v>180.92892514017811</v>
      </c>
      <c r="V654">
        <v>106.5562585804758</v>
      </c>
      <c r="W654">
        <v>130.52186584472656</v>
      </c>
      <c r="X654">
        <v>131.44712829589844</v>
      </c>
      <c r="Y654">
        <v>133.154296875</v>
      </c>
      <c r="Z654">
        <v>0.21409346163272858</v>
      </c>
    </row>
    <row r="655" spans="1:26" x14ac:dyDescent="0.2">
      <c r="A655" s="1">
        <v>45444</v>
      </c>
      <c r="B655" s="1">
        <v>45471</v>
      </c>
      <c r="C655">
        <v>63.3</v>
      </c>
      <c r="D655">
        <v>0.66239999999999999</v>
      </c>
      <c r="E655">
        <v>104.238784205572</v>
      </c>
      <c r="F655">
        <v>102.80948337189901</v>
      </c>
      <c r="G655">
        <v>107.5</v>
      </c>
      <c r="H655">
        <v>135.1</v>
      </c>
      <c r="I655">
        <v>82.6</v>
      </c>
      <c r="J655">
        <v>12.13</v>
      </c>
      <c r="K655" s="2">
        <v>4.32</v>
      </c>
      <c r="L655">
        <v>5.330000000000001</v>
      </c>
      <c r="M655">
        <f t="shared" si="26"/>
        <v>-1.0100000000000007</v>
      </c>
      <c r="N655">
        <v>4.0110000000000001</v>
      </c>
      <c r="O655">
        <v>4.7368421052631575</v>
      </c>
      <c r="P655">
        <f t="shared" si="24"/>
        <v>-0.7258421052631574</v>
      </c>
      <c r="Q655">
        <v>4.242</v>
      </c>
      <c r="R655">
        <v>4.3052631578947373</v>
      </c>
      <c r="S655">
        <f t="shared" si="25"/>
        <v>-6.3263157894737354E-2</v>
      </c>
      <c r="T655">
        <v>12.667</v>
      </c>
      <c r="U655">
        <v>171.66799489305461</v>
      </c>
      <c r="V655">
        <v>91.008201125495646</v>
      </c>
      <c r="W655">
        <v>113.09279632568359</v>
      </c>
      <c r="X655">
        <v>125.71302795410156</v>
      </c>
      <c r="Y655">
        <v>109.73841094970703</v>
      </c>
      <c r="Z655">
        <v>0.13948769867420197</v>
      </c>
    </row>
    <row r="656" spans="1:26" x14ac:dyDescent="0.2">
      <c r="A656" s="1">
        <v>45474</v>
      </c>
      <c r="B656" s="1">
        <v>45504</v>
      </c>
      <c r="C656">
        <v>61.4</v>
      </c>
      <c r="D656">
        <v>0.64910000000000001</v>
      </c>
      <c r="E656">
        <v>104.42882844652</v>
      </c>
      <c r="F656">
        <v>103.43540159414199</v>
      </c>
      <c r="G656">
        <v>106.9</v>
      </c>
      <c r="H656">
        <v>137.6</v>
      </c>
      <c r="I656">
        <v>85.3</v>
      </c>
      <c r="J656">
        <v>12.49</v>
      </c>
      <c r="K656" s="2">
        <v>4.34</v>
      </c>
      <c r="L656">
        <v>5.3300000000000018</v>
      </c>
      <c r="M656">
        <f t="shared" si="26"/>
        <v>-0.99000000000000199</v>
      </c>
      <c r="N656">
        <v>4.1120000000000001</v>
      </c>
      <c r="O656">
        <v>4.4959090909090911</v>
      </c>
      <c r="P656">
        <f t="shared" si="24"/>
        <v>-0.38390909090909098</v>
      </c>
      <c r="Q656">
        <v>4.3259999999999996</v>
      </c>
      <c r="R656">
        <v>4.2486363636363649</v>
      </c>
      <c r="S656">
        <f t="shared" si="25"/>
        <v>7.7363636363634747E-2</v>
      </c>
      <c r="T656">
        <v>14.373913043478263</v>
      </c>
      <c r="U656">
        <v>224.18731222742579</v>
      </c>
      <c r="V656">
        <v>97.255854812424872</v>
      </c>
      <c r="W656">
        <v>92.394874572753906</v>
      </c>
      <c r="X656">
        <v>95.1602783203125</v>
      </c>
      <c r="Y656">
        <v>95.110298156738281</v>
      </c>
      <c r="Z656">
        <v>7.3900729417800903E-2</v>
      </c>
    </row>
    <row r="657" spans="1:26" x14ac:dyDescent="0.2">
      <c r="A657" s="1">
        <v>45505</v>
      </c>
      <c r="B657" s="1">
        <v>45534</v>
      </c>
      <c r="C657">
        <v>62.6</v>
      </c>
      <c r="D657">
        <v>0.68059999999999998</v>
      </c>
      <c r="E657">
        <v>100.097574788515</v>
      </c>
      <c r="F657">
        <v>99.094177257571005</v>
      </c>
      <c r="G657">
        <v>99.9</v>
      </c>
      <c r="H657">
        <v>145.80000000000001</v>
      </c>
      <c r="I657">
        <v>80.900000000000006</v>
      </c>
      <c r="J657">
        <v>13.32</v>
      </c>
      <c r="K657" s="2">
        <v>4.34</v>
      </c>
      <c r="L657">
        <v>5.3300000000000018</v>
      </c>
      <c r="M657">
        <f t="shared" si="26"/>
        <v>-0.99000000000000199</v>
      </c>
      <c r="N657">
        <v>3.645</v>
      </c>
      <c r="O657">
        <v>3.9654545454545458</v>
      </c>
      <c r="P657">
        <f t="shared" si="24"/>
        <v>-0.32045454545454577</v>
      </c>
      <c r="Q657">
        <v>3.976</v>
      </c>
      <c r="R657">
        <v>3.8709090909090906</v>
      </c>
      <c r="S657">
        <f t="shared" si="25"/>
        <v>0.10509090909090935</v>
      </c>
      <c r="T657">
        <v>19.312272727272724</v>
      </c>
      <c r="U657">
        <v>189.15920351944769</v>
      </c>
      <c r="V657">
        <v>155.75782689303406</v>
      </c>
      <c r="W657">
        <v>140.97506713867188</v>
      </c>
      <c r="X657">
        <v>124.80498504638672</v>
      </c>
      <c r="Y657">
        <v>165.17947387695312</v>
      </c>
      <c r="Z657">
        <v>0.17090770602226257</v>
      </c>
    </row>
    <row r="658" spans="1:26" x14ac:dyDescent="0.2">
      <c r="A658" s="1">
        <v>45536</v>
      </c>
      <c r="B658" s="1">
        <v>45565</v>
      </c>
      <c r="C658">
        <v>62.8</v>
      </c>
      <c r="D658">
        <v>0.69320000000000004</v>
      </c>
      <c r="E658">
        <v>96.905624774868301</v>
      </c>
      <c r="F658">
        <v>95.793648857785797</v>
      </c>
      <c r="G658">
        <v>92.8</v>
      </c>
      <c r="H658">
        <v>139.19999999999999</v>
      </c>
      <c r="I658">
        <v>74.3</v>
      </c>
      <c r="J658">
        <v>12.97</v>
      </c>
      <c r="K658" s="2">
        <v>4.34</v>
      </c>
      <c r="L658">
        <v>5.1300000000000008</v>
      </c>
      <c r="M658">
        <f t="shared" si="26"/>
        <v>-0.79000000000000092</v>
      </c>
      <c r="N658">
        <v>3.5680000000000001</v>
      </c>
      <c r="O658">
        <v>3.6224999999999996</v>
      </c>
      <c r="P658">
        <f t="shared" si="24"/>
        <v>-5.4499999999999549E-2</v>
      </c>
      <c r="Q658">
        <v>3.9220000000000002</v>
      </c>
      <c r="R658">
        <v>3.7235</v>
      </c>
      <c r="S658">
        <f t="shared" si="25"/>
        <v>0.19850000000000012</v>
      </c>
      <c r="T658">
        <v>17.66333333333333</v>
      </c>
      <c r="U658">
        <v>199.99633207903489</v>
      </c>
      <c r="V658">
        <v>129.10126347479402</v>
      </c>
      <c r="W658">
        <v>130.35877990722656</v>
      </c>
      <c r="X658">
        <v>134.03704833984375</v>
      </c>
      <c r="Y658">
        <v>135.55461120605469</v>
      </c>
      <c r="Z658">
        <v>8.4574848413467407E-2</v>
      </c>
    </row>
    <row r="659" spans="1:26" x14ac:dyDescent="0.2">
      <c r="A659" s="1">
        <v>45566</v>
      </c>
      <c r="B659" s="1">
        <v>45596</v>
      </c>
      <c r="C659">
        <v>61.5</v>
      </c>
      <c r="D659">
        <v>0.65690000000000004</v>
      </c>
      <c r="E659">
        <v>100.376503810553</v>
      </c>
      <c r="F659">
        <v>102.492137503999</v>
      </c>
      <c r="G659">
        <v>101.4</v>
      </c>
      <c r="H659">
        <v>146.6</v>
      </c>
      <c r="I659">
        <v>75.7</v>
      </c>
      <c r="J659">
        <v>12.54</v>
      </c>
      <c r="K659" s="2">
        <v>4.34</v>
      </c>
      <c r="L659">
        <v>4.830000000000001</v>
      </c>
      <c r="M659">
        <f t="shared" si="26"/>
        <v>-0.4900000000000011</v>
      </c>
      <c r="N659">
        <v>3.843</v>
      </c>
      <c r="O659">
        <v>3.9722727272727281</v>
      </c>
      <c r="P659">
        <f t="shared" si="24"/>
        <v>-0.12927272727272809</v>
      </c>
      <c r="Q659">
        <v>4.2670000000000003</v>
      </c>
      <c r="R659">
        <v>4.0954545454545448</v>
      </c>
      <c r="S659">
        <f t="shared" si="25"/>
        <v>0.17154545454545556</v>
      </c>
      <c r="T659">
        <v>19.960869565217394</v>
      </c>
      <c r="U659">
        <v>202.388779669657</v>
      </c>
      <c r="V659">
        <v>108.79619034290519</v>
      </c>
      <c r="W659">
        <v>130.689208984375</v>
      </c>
      <c r="X659">
        <v>128.40969848632812</v>
      </c>
      <c r="Y659">
        <v>142.81838989257812</v>
      </c>
      <c r="Z659">
        <v>0.11128972470760345</v>
      </c>
    </row>
    <row r="660" spans="1:26" x14ac:dyDescent="0.2">
      <c r="A660" s="1">
        <v>45597</v>
      </c>
      <c r="B660" s="1">
        <v>45625</v>
      </c>
      <c r="C660">
        <v>61.5</v>
      </c>
      <c r="D660">
        <v>0.65169999999999995</v>
      </c>
      <c r="E660">
        <v>102.07658244211299</v>
      </c>
      <c r="F660">
        <v>103.337498495887</v>
      </c>
      <c r="G660">
        <v>100.5</v>
      </c>
      <c r="H660">
        <v>142.1</v>
      </c>
      <c r="I660">
        <v>74.400000000000006</v>
      </c>
      <c r="J660">
        <v>12.82</v>
      </c>
      <c r="K660" s="2">
        <v>4.34</v>
      </c>
      <c r="L660">
        <v>4.6383333333333336</v>
      </c>
      <c r="M660">
        <f t="shared" si="26"/>
        <v>-0.29833333333333378</v>
      </c>
      <c r="N660">
        <v>4.0720000000000001</v>
      </c>
      <c r="O660">
        <v>4.2573684210526315</v>
      </c>
      <c r="P660">
        <f t="shared" si="24"/>
        <v>-0.1853684210526314</v>
      </c>
      <c r="Q660">
        <v>4.5439999999999996</v>
      </c>
      <c r="R660">
        <v>4.3557894736842098</v>
      </c>
      <c r="S660">
        <f t="shared" si="25"/>
        <v>0.18821052631578983</v>
      </c>
      <c r="T660">
        <v>16.015238095238097</v>
      </c>
      <c r="U660">
        <v>279.04268052374988</v>
      </c>
      <c r="V660">
        <v>196.17726396257714</v>
      </c>
      <c r="W660">
        <v>128.90164184570312</v>
      </c>
      <c r="X660">
        <v>139.14866638183594</v>
      </c>
      <c r="Y660">
        <v>127.42887115478516</v>
      </c>
      <c r="Z660">
        <v>0.11334298551082611</v>
      </c>
    </row>
    <row r="661" spans="1:26" x14ac:dyDescent="0.2">
      <c r="A661" s="1">
        <v>45627</v>
      </c>
      <c r="B661" s="1">
        <v>45657</v>
      </c>
      <c r="C661">
        <v>59.7</v>
      </c>
      <c r="D661">
        <v>0.62170000000000003</v>
      </c>
      <c r="E661">
        <v>104.884342718219</v>
      </c>
      <c r="F661">
        <v>105.079581752162</v>
      </c>
      <c r="G661">
        <v>102.2</v>
      </c>
      <c r="H661">
        <v>129.80000000000001</v>
      </c>
      <c r="I661">
        <v>73.8</v>
      </c>
      <c r="J661">
        <v>12.64</v>
      </c>
      <c r="K661" s="2">
        <v>4.34</v>
      </c>
      <c r="L661">
        <v>4.4751612903225801</v>
      </c>
      <c r="M661">
        <f t="shared" si="26"/>
        <v>-0.13516129032258029</v>
      </c>
      <c r="N661">
        <v>3.8690000000000002</v>
      </c>
      <c r="O661">
        <v>4.2257142857142851</v>
      </c>
      <c r="P661">
        <f t="shared" si="24"/>
        <v>-0.35671428571428487</v>
      </c>
      <c r="Q661">
        <v>4.3129999999999997</v>
      </c>
      <c r="R661">
        <v>4.3914285714285715</v>
      </c>
      <c r="S661">
        <f t="shared" si="25"/>
        <v>-7.8428571428571736E-2</v>
      </c>
      <c r="T661">
        <v>15.866190476190479</v>
      </c>
      <c r="U661">
        <v>322.97739723615121</v>
      </c>
      <c r="V661">
        <v>220.84072303010007</v>
      </c>
      <c r="W661">
        <v>142.36643981933594</v>
      </c>
      <c r="X661">
        <v>128.26246643066406</v>
      </c>
      <c r="Y661">
        <v>164.81373596191406</v>
      </c>
      <c r="Z661">
        <v>0.1112733855843544</v>
      </c>
    </row>
    <row r="662" spans="1:26" x14ac:dyDescent="0.2">
      <c r="A662" s="1">
        <v>45658</v>
      </c>
      <c r="B662" s="1">
        <v>45688</v>
      </c>
      <c r="C662">
        <v>59.6</v>
      </c>
      <c r="D662">
        <v>0.62250000000000005</v>
      </c>
      <c r="E662">
        <v>103.433593976034</v>
      </c>
      <c r="F662">
        <v>102.98951927752501</v>
      </c>
      <c r="G662">
        <v>99.6</v>
      </c>
      <c r="H662">
        <v>118.6</v>
      </c>
      <c r="I662">
        <v>79.2</v>
      </c>
      <c r="J662">
        <v>13.19</v>
      </c>
      <c r="K662" s="2">
        <v>4.34</v>
      </c>
      <c r="L662">
        <v>4.33</v>
      </c>
      <c r="M662">
        <f t="shared" si="26"/>
        <v>9.9999999999997868E-3</v>
      </c>
      <c r="N662">
        <v>3.8879999999999999</v>
      </c>
      <c r="O662">
        <v>4.2719047619047608</v>
      </c>
      <c r="P662">
        <f t="shared" si="24"/>
        <v>-0.38390476190476086</v>
      </c>
      <c r="Q662">
        <v>4.4809999999999999</v>
      </c>
      <c r="R662">
        <v>4.6290476190476184</v>
      </c>
      <c r="S662">
        <f t="shared" si="25"/>
        <v>-0.14804761904761854</v>
      </c>
      <c r="T662">
        <v>16.763636363636365</v>
      </c>
      <c r="U662">
        <v>306.56283166814097</v>
      </c>
      <c r="V662">
        <v>133.69045551801779</v>
      </c>
      <c r="W662">
        <v>113.233154296875</v>
      </c>
      <c r="X662">
        <v>117.08644104003906</v>
      </c>
      <c r="Y662">
        <v>109.50493621826172</v>
      </c>
      <c r="Z662">
        <v>8.1310980021953583E-2</v>
      </c>
    </row>
    <row r="663" spans="1:26" x14ac:dyDescent="0.2">
      <c r="A663" s="1">
        <v>45689</v>
      </c>
      <c r="B663" s="1">
        <v>45716</v>
      </c>
      <c r="C663">
        <v>59.5</v>
      </c>
      <c r="D663">
        <v>0.62139999999999995</v>
      </c>
      <c r="E663">
        <v>103.528246588871</v>
      </c>
      <c r="F663">
        <v>103.642914414125</v>
      </c>
      <c r="G663">
        <v>105.1</v>
      </c>
      <c r="H663">
        <v>106.9</v>
      </c>
      <c r="I663">
        <v>75.2</v>
      </c>
      <c r="J663">
        <v>12.78</v>
      </c>
      <c r="K663" s="2">
        <v>4.24</v>
      </c>
      <c r="L663">
        <v>4.3299999999999992</v>
      </c>
      <c r="M663">
        <f t="shared" si="26"/>
        <v>-8.999999999999897E-2</v>
      </c>
      <c r="N663">
        <v>3.806</v>
      </c>
      <c r="O663">
        <v>4.21</v>
      </c>
      <c r="P663">
        <f t="shared" si="24"/>
        <v>-0.40399999999999991</v>
      </c>
      <c r="Q663">
        <v>4.423</v>
      </c>
      <c r="R663">
        <v>4.4510526315789471</v>
      </c>
      <c r="S663">
        <f t="shared" si="25"/>
        <v>-2.8052631578947107E-2</v>
      </c>
      <c r="T663">
        <v>16.968</v>
      </c>
      <c r="U663">
        <v>328.77359121576211</v>
      </c>
      <c r="V663">
        <v>253.6662118751257</v>
      </c>
      <c r="W663">
        <v>136.9805908203125</v>
      </c>
      <c r="X663">
        <v>138.76765441894531</v>
      </c>
      <c r="Y663">
        <v>140.78715515136719</v>
      </c>
      <c r="Z663">
        <v>0.18185491859912872</v>
      </c>
    </row>
    <row r="664" spans="1:26" x14ac:dyDescent="0.2">
      <c r="A664" s="1">
        <v>45717</v>
      </c>
      <c r="B664" s="1">
        <v>45747</v>
      </c>
      <c r="C664">
        <v>59.6</v>
      </c>
      <c r="D664">
        <v>0.628</v>
      </c>
      <c r="E664">
        <v>98.809820412823498</v>
      </c>
      <c r="F664">
        <v>97.516588157233898</v>
      </c>
      <c r="G664">
        <v>100.1</v>
      </c>
      <c r="H664">
        <v>104</v>
      </c>
      <c r="I664">
        <v>72.599999999999994</v>
      </c>
      <c r="J664">
        <v>12.55</v>
      </c>
      <c r="K664" s="2">
        <v>4.09</v>
      </c>
      <c r="L664">
        <v>4.33</v>
      </c>
      <c r="M664">
        <f t="shared" si="26"/>
        <v>-0.24000000000000021</v>
      </c>
      <c r="N664">
        <v>3.7480000000000002</v>
      </c>
      <c r="O664">
        <v>3.97</v>
      </c>
      <c r="P664">
        <f t="shared" si="24"/>
        <v>-0.22199999999999998</v>
      </c>
      <c r="Q664">
        <v>4.4210000000000003</v>
      </c>
      <c r="R664">
        <v>4.2804761904761905</v>
      </c>
      <c r="S664">
        <f t="shared" si="25"/>
        <v>0.14052380952380972</v>
      </c>
      <c r="T664">
        <v>21.841428571428569</v>
      </c>
      <c r="U664">
        <v>469.37941158404561</v>
      </c>
      <c r="V664">
        <v>381.93298938216685</v>
      </c>
      <c r="W664">
        <v>175.901123046875</v>
      </c>
      <c r="X664">
        <v>195.67752075195312</v>
      </c>
      <c r="Y664">
        <v>159.82244873046875</v>
      </c>
      <c r="Z664">
        <v>0.17191298305988312</v>
      </c>
    </row>
    <row r="665" spans="1:26" x14ac:dyDescent="0.2">
      <c r="A665" s="1">
        <v>45748</v>
      </c>
      <c r="B665" s="1">
        <v>45777</v>
      </c>
      <c r="C665">
        <v>59.9</v>
      </c>
      <c r="D665">
        <v>0.64159999999999995</v>
      </c>
      <c r="E665">
        <v>95.602245957389997</v>
      </c>
      <c r="F665">
        <v>96.352481430188107</v>
      </c>
      <c r="G665">
        <v>97.2</v>
      </c>
      <c r="H665">
        <v>98.6</v>
      </c>
      <c r="I665">
        <v>67.7</v>
      </c>
      <c r="J665">
        <v>12.68</v>
      </c>
      <c r="K665" s="2">
        <v>4.09</v>
      </c>
      <c r="L665">
        <v>4.3299999999999992</v>
      </c>
      <c r="M665">
        <f t="shared" si="26"/>
        <v>-0.23999999999999932</v>
      </c>
      <c r="N665">
        <v>3.3330000000000002</v>
      </c>
      <c r="O665">
        <v>3.7776190476190474</v>
      </c>
      <c r="P665">
        <f t="shared" si="24"/>
        <v>-0.44461904761904725</v>
      </c>
      <c r="Q665">
        <v>4.2670000000000003</v>
      </c>
      <c r="R665">
        <v>4.2790476190476188</v>
      </c>
      <c r="S665">
        <f t="shared" si="25"/>
        <v>-1.2047619047618419E-2</v>
      </c>
      <c r="T665">
        <v>31.96619047619048</v>
      </c>
      <c r="U665">
        <v>620.88338193019206</v>
      </c>
      <c r="V665">
        <v>617.23626336447887</v>
      </c>
      <c r="W665">
        <v>141.18452453613281</v>
      </c>
      <c r="X665">
        <v>159.26712036132812</v>
      </c>
      <c r="Y665">
        <v>132.46760559082031</v>
      </c>
      <c r="Z665">
        <v>9.7069710493087769E-2</v>
      </c>
    </row>
    <row r="666" spans="1:26" x14ac:dyDescent="0.2">
      <c r="A666" s="1">
        <v>45778</v>
      </c>
      <c r="B666" s="1">
        <v>45807</v>
      </c>
      <c r="C666">
        <v>59.6</v>
      </c>
      <c r="D666">
        <v>0.64359999999999995</v>
      </c>
      <c r="E666">
        <v>95.362846466434902</v>
      </c>
      <c r="F666">
        <v>96.306985752997605</v>
      </c>
      <c r="G666">
        <v>97</v>
      </c>
      <c r="H666">
        <v>104.4</v>
      </c>
      <c r="I666">
        <v>64.2</v>
      </c>
      <c r="J666">
        <v>12.32</v>
      </c>
      <c r="K666" s="2">
        <v>4</v>
      </c>
      <c r="L666">
        <v>4.33</v>
      </c>
      <c r="M666">
        <f t="shared" si="26"/>
        <v>-0.33000000000000007</v>
      </c>
      <c r="N666">
        <v>3.4060000000000001</v>
      </c>
      <c r="O666">
        <v>3.9199999999999995</v>
      </c>
      <c r="P666">
        <f t="shared" si="24"/>
        <v>-0.51399999999999935</v>
      </c>
      <c r="Q666">
        <v>4.3499999999999996</v>
      </c>
      <c r="R666">
        <v>4.4238095238095259</v>
      </c>
      <c r="S666">
        <f t="shared" si="25"/>
        <v>-7.3809523809526212E-2</v>
      </c>
      <c r="T666">
        <v>20.462272727272726</v>
      </c>
      <c r="U666">
        <v>505.16840967206059</v>
      </c>
      <c r="V666">
        <v>471.05636057508917</v>
      </c>
      <c r="W666">
        <v>167.42288208007812</v>
      </c>
      <c r="X666">
        <v>206.15826416015625</v>
      </c>
      <c r="Y666">
        <v>149.22117614746094</v>
      </c>
      <c r="Z666">
        <v>0.187287837266922</v>
      </c>
    </row>
    <row r="667" spans="1:26" x14ac:dyDescent="0.2">
      <c r="A667" s="1">
        <v>45809</v>
      </c>
      <c r="B667" s="1">
        <v>45838</v>
      </c>
      <c r="C667">
        <v>60.1</v>
      </c>
      <c r="D667">
        <v>0.65500000000000003</v>
      </c>
      <c r="E667">
        <v>94.493789617657995</v>
      </c>
      <c r="F667">
        <v>93.959065506384206</v>
      </c>
      <c r="G667">
        <v>92.3</v>
      </c>
      <c r="H667">
        <v>109</v>
      </c>
      <c r="I667">
        <v>71.5</v>
      </c>
      <c r="J667">
        <v>12.17</v>
      </c>
      <c r="K667" s="2">
        <v>3.84</v>
      </c>
      <c r="L667">
        <v>4.3299999999999992</v>
      </c>
      <c r="M667">
        <f t="shared" si="26"/>
        <v>-0.48999999999999932</v>
      </c>
      <c r="N667">
        <v>3.274</v>
      </c>
      <c r="O667">
        <v>3.8890000000000002</v>
      </c>
      <c r="P667">
        <f t="shared" si="24"/>
        <v>-0.61500000000000021</v>
      </c>
      <c r="Q667">
        <v>4.2080000000000002</v>
      </c>
      <c r="R667">
        <v>4.3834999999999997</v>
      </c>
      <c r="S667">
        <f t="shared" si="25"/>
        <v>-0.17549999999999955</v>
      </c>
      <c r="T667">
        <v>18.403333333333336</v>
      </c>
      <c r="U667">
        <v>365.62647762115159</v>
      </c>
      <c r="V667">
        <v>274.18937081233764</v>
      </c>
      <c r="W667">
        <v>222.58563232421875</v>
      </c>
      <c r="X667">
        <v>288.16049194335938</v>
      </c>
      <c r="Y667">
        <v>183.72996520996094</v>
      </c>
      <c r="Z667">
        <v>0.29837757349014282</v>
      </c>
    </row>
    <row r="668" spans="1:26" x14ac:dyDescent="0.2">
      <c r="A668" s="1">
        <v>45839</v>
      </c>
      <c r="B668" s="1">
        <v>45869</v>
      </c>
      <c r="C668">
        <v>60.3</v>
      </c>
      <c r="D668">
        <v>0.64690000000000003</v>
      </c>
      <c r="E668">
        <v>94.3834365723514</v>
      </c>
      <c r="F668">
        <v>96.088292226602903</v>
      </c>
      <c r="G668">
        <v>97.3</v>
      </c>
      <c r="H668">
        <v>112.9</v>
      </c>
      <c r="I668">
        <v>71</v>
      </c>
      <c r="J668">
        <v>11.91</v>
      </c>
      <c r="K668" s="2">
        <v>3.84</v>
      </c>
      <c r="L668">
        <v>4.33</v>
      </c>
      <c r="M668">
        <f t="shared" si="26"/>
        <v>-0.49000000000000021</v>
      </c>
      <c r="N668">
        <v>3.339</v>
      </c>
      <c r="O668">
        <v>3.8822727272727273</v>
      </c>
      <c r="P668">
        <f t="shared" si="24"/>
        <v>-0.54327272727272735</v>
      </c>
      <c r="Q668">
        <v>4.2910000000000004</v>
      </c>
      <c r="R668">
        <v>4.3918181818181825</v>
      </c>
      <c r="S668">
        <f t="shared" si="25"/>
        <v>-0.10081818181818214</v>
      </c>
      <c r="T668">
        <v>16.381304347826084</v>
      </c>
      <c r="U668">
        <v>401.52362341640873</v>
      </c>
      <c r="V668">
        <v>300.00260777380606</v>
      </c>
      <c r="W668">
        <v>134.64071655273438</v>
      </c>
      <c r="X668">
        <v>156.79753112792969</v>
      </c>
      <c r="Y668">
        <v>119.74867248535156</v>
      </c>
      <c r="Z668">
        <v>0.12072920799255371</v>
      </c>
    </row>
    <row r="669" spans="1:26" x14ac:dyDescent="0.2">
      <c r="A669" s="1">
        <v>45870</v>
      </c>
      <c r="B669" s="1">
        <v>45898</v>
      </c>
      <c r="C669">
        <v>60.5</v>
      </c>
      <c r="D669">
        <v>0.65380000000000005</v>
      </c>
      <c r="E669">
        <v>96.915325108091096</v>
      </c>
      <c r="F669">
        <v>98.085878300172197</v>
      </c>
      <c r="G669">
        <v>99.7</v>
      </c>
      <c r="H669">
        <v>112.2</v>
      </c>
      <c r="I669">
        <v>68.2</v>
      </c>
      <c r="J669">
        <v>11.79</v>
      </c>
      <c r="K669" s="2">
        <v>3.69</v>
      </c>
      <c r="L669">
        <v>4.33</v>
      </c>
      <c r="M669">
        <f t="shared" si="26"/>
        <v>-0.64000000000000012</v>
      </c>
      <c r="N669">
        <v>3.3319999999999999</v>
      </c>
      <c r="O669">
        <v>3.7038095238095243</v>
      </c>
      <c r="P669">
        <f t="shared" si="24"/>
        <v>-0.37180952380952448</v>
      </c>
      <c r="Q669">
        <v>4.2750000000000004</v>
      </c>
      <c r="R669">
        <v>4.2647619047619045</v>
      </c>
      <c r="S669">
        <f t="shared" si="25"/>
        <v>1.0238095238095823E-2</v>
      </c>
      <c r="T669">
        <v>15.750000000000005</v>
      </c>
      <c r="U669">
        <v>338.50697208684579</v>
      </c>
      <c r="V669">
        <v>162.16413470614185</v>
      </c>
      <c r="W669">
        <v>138.98846435546875</v>
      </c>
      <c r="X669">
        <v>160.41519165039062</v>
      </c>
      <c r="Y669">
        <v>121.73105621337891</v>
      </c>
      <c r="Z669">
        <v>0.21739129722118378</v>
      </c>
    </row>
    <row r="670" spans="1:26" x14ac:dyDescent="0.2">
      <c r="A670" s="1">
        <v>45901</v>
      </c>
      <c r="B670" s="1">
        <v>45930</v>
      </c>
      <c r="C670">
        <v>61.3</v>
      </c>
      <c r="D670">
        <v>0.66020000000000001</v>
      </c>
      <c r="E670">
        <v>98.8926497376101</v>
      </c>
      <c r="F670">
        <v>99.657832033591902</v>
      </c>
      <c r="G670">
        <v>103.3</v>
      </c>
      <c r="H670">
        <v>106.3</v>
      </c>
      <c r="I670">
        <v>68</v>
      </c>
      <c r="J670">
        <v>11.47</v>
      </c>
      <c r="K670" s="2">
        <v>3.6</v>
      </c>
      <c r="L670">
        <v>4.2246666666666668</v>
      </c>
      <c r="M670">
        <f t="shared" si="26"/>
        <v>-0.6246666666666667</v>
      </c>
      <c r="N670">
        <v>3.3969999999999998</v>
      </c>
      <c r="O670">
        <v>3.5685714285714276</v>
      </c>
      <c r="P670">
        <f t="shared" si="24"/>
        <v>-0.17157142857142782</v>
      </c>
      <c r="Q670">
        <v>4.298</v>
      </c>
      <c r="R670">
        <v>4.1204761904761895</v>
      </c>
      <c r="S670">
        <f t="shared" si="25"/>
        <v>0.17752380952381053</v>
      </c>
      <c r="T670">
        <v>15.789090909090909</v>
      </c>
      <c r="U670">
        <v>304.98540125969282</v>
      </c>
      <c r="V670">
        <v>115.19972042830042</v>
      </c>
      <c r="W670">
        <v>125.86952209472656</v>
      </c>
      <c r="X670">
        <v>141.80610656738281</v>
      </c>
      <c r="Y670">
        <v>114.78914642333984</v>
      </c>
      <c r="Z670">
        <v>0.25473546981811523</v>
      </c>
    </row>
    <row r="671" spans="1:26" x14ac:dyDescent="0.2">
      <c r="A671" s="1">
        <v>45931</v>
      </c>
      <c r="B671" s="1">
        <v>45961</v>
      </c>
      <c r="C671">
        <v>61.2</v>
      </c>
      <c r="D671">
        <v>0.65510000000000002</v>
      </c>
      <c r="E671">
        <v>100.556385160253</v>
      </c>
      <c r="F671">
        <v>101.159794766855</v>
      </c>
      <c r="G671">
        <v>103.5</v>
      </c>
      <c r="H671">
        <v>107.5</v>
      </c>
      <c r="I671">
        <v>64.7</v>
      </c>
      <c r="J671">
        <v>11.1</v>
      </c>
      <c r="K671" s="2">
        <v>3.6</v>
      </c>
      <c r="L671">
        <v>4.088064516129033</v>
      </c>
      <c r="M671">
        <f t="shared" si="26"/>
        <v>-0.4880645161290329</v>
      </c>
      <c r="N671">
        <v>3.4369999999999998</v>
      </c>
      <c r="O671">
        <v>3.5213636363636365</v>
      </c>
      <c r="P671">
        <f t="shared" si="24"/>
        <v>-8.436363636363664E-2</v>
      </c>
      <c r="Q671">
        <v>4.234</v>
      </c>
      <c r="R671">
        <v>4.0618181818181816</v>
      </c>
      <c r="S671">
        <f t="shared" si="25"/>
        <v>0.17218181818181844</v>
      </c>
      <c r="T671">
        <v>18.08652173913044</v>
      </c>
      <c r="U671">
        <v>397.59965610821388</v>
      </c>
      <c r="V671">
        <v>183.7332890958572</v>
      </c>
      <c r="W671">
        <v>153.47993469238281</v>
      </c>
      <c r="X671">
        <v>166.62300109863281</v>
      </c>
      <c r="Y671">
        <v>151.14178466796875</v>
      </c>
      <c r="Z671">
        <v>0.21265949308872223</v>
      </c>
    </row>
    <row r="672" spans="1:26" x14ac:dyDescent="0.2">
      <c r="A672" s="1">
        <v>45962</v>
      </c>
      <c r="B672" s="1">
        <v>45989</v>
      </c>
      <c r="C672">
        <v>61.2</v>
      </c>
      <c r="D672">
        <v>0.65329999999999999</v>
      </c>
      <c r="E672">
        <v>102.76897754782</v>
      </c>
      <c r="F672">
        <v>103.647806547223</v>
      </c>
      <c r="G672">
        <v>102.5</v>
      </c>
      <c r="H672">
        <v>112.6</v>
      </c>
      <c r="I672">
        <v>63.6</v>
      </c>
      <c r="J672">
        <v>11.15</v>
      </c>
      <c r="K672" s="2">
        <v>3.6</v>
      </c>
      <c r="L672">
        <v>3.8763333333333323</v>
      </c>
      <c r="M672">
        <f t="shared" si="26"/>
        <v>-0.27633333333333221</v>
      </c>
      <c r="N672">
        <v>3.669</v>
      </c>
      <c r="O672">
        <v>3.5499999999999994</v>
      </c>
      <c r="P672">
        <f t="shared" si="24"/>
        <v>0.11900000000000066</v>
      </c>
      <c r="Q672">
        <v>4.4160000000000004</v>
      </c>
      <c r="R672">
        <v>4.0938888888888885</v>
      </c>
      <c r="S672">
        <f t="shared" si="25"/>
        <v>0.3221111111111119</v>
      </c>
      <c r="T672">
        <v>19.769500000000001</v>
      </c>
      <c r="U672">
        <v>364.97500828626983</v>
      </c>
      <c r="V672">
        <v>147.29577137366138</v>
      </c>
      <c r="W672">
        <v>103.939208984375</v>
      </c>
      <c r="X672">
        <v>118.00856781005859</v>
      </c>
      <c r="Y672">
        <v>88.702896118164062</v>
      </c>
      <c r="Z672">
        <v>6.9138906896114349E-2</v>
      </c>
    </row>
    <row r="673" spans="1:26" x14ac:dyDescent="0.2">
      <c r="A673" s="1">
        <v>45992</v>
      </c>
      <c r="B673" s="1">
        <v>46022</v>
      </c>
      <c r="C673">
        <v>62.2</v>
      </c>
      <c r="D673">
        <v>0.66930000000000001</v>
      </c>
      <c r="E673">
        <v>102.912479953369</v>
      </c>
      <c r="F673">
        <v>104.17182646424099</v>
      </c>
      <c r="G673">
        <v>104.6</v>
      </c>
      <c r="H673">
        <v>107.7</v>
      </c>
      <c r="I673">
        <v>62.7</v>
      </c>
      <c r="J673">
        <v>11.32</v>
      </c>
      <c r="K673" s="2">
        <v>3.6</v>
      </c>
      <c r="L673">
        <v>3.7206451612903226</v>
      </c>
      <c r="M673">
        <f t="shared" si="26"/>
        <v>-0.12064516129032254</v>
      </c>
      <c r="N673">
        <v>4.008</v>
      </c>
      <c r="O673">
        <v>3.5009090909090901</v>
      </c>
      <c r="P673">
        <f t="shared" si="24"/>
        <v>0.50709090909090992</v>
      </c>
      <c r="Q673">
        <v>4.7190000000000003</v>
      </c>
      <c r="R673">
        <v>4.1431818181818185</v>
      </c>
      <c r="S673">
        <f t="shared" si="25"/>
        <v>0.57581818181818178</v>
      </c>
      <c r="T673">
        <v>15.548181818181819</v>
      </c>
      <c r="U673">
        <v>332.42522517654771</v>
      </c>
      <c r="V673">
        <v>160.4896393189764</v>
      </c>
      <c r="W673">
        <v>132.48622131347656</v>
      </c>
      <c r="X673">
        <v>146.35893249511719</v>
      </c>
      <c r="Y673">
        <v>123.53462219238281</v>
      </c>
      <c r="Z673">
        <v>0.42622950673103333</v>
      </c>
    </row>
    <row r="674" spans="1:26" x14ac:dyDescent="0.2">
      <c r="A674" s="1">
        <v>46023</v>
      </c>
      <c r="B674" s="1">
        <v>46052</v>
      </c>
      <c r="C674">
        <v>64.5</v>
      </c>
      <c r="D674">
        <v>0.70040000000000002</v>
      </c>
      <c r="E674">
        <v>106.77249305330599</v>
      </c>
      <c r="F674">
        <v>109.3269284166</v>
      </c>
      <c r="G674">
        <v>105.5</v>
      </c>
      <c r="H674">
        <v>109.8</v>
      </c>
      <c r="I674">
        <v>66.8</v>
      </c>
      <c r="J674">
        <v>11.49</v>
      </c>
      <c r="K674" s="2">
        <v>3.6</v>
      </c>
      <c r="L674">
        <v>3.64</v>
      </c>
      <c r="M674">
        <f t="shared" si="26"/>
        <v>-4.0000000000000036E-2</v>
      </c>
      <c r="N674">
        <v>4.08</v>
      </c>
      <c r="O674">
        <v>3.5369999999999999</v>
      </c>
      <c r="P674">
        <f t="shared" si="24"/>
        <v>0.54300000000000015</v>
      </c>
      <c r="Q674">
        <v>4.75</v>
      </c>
      <c r="R674">
        <v>4.2134999999999998</v>
      </c>
      <c r="S674">
        <f t="shared" si="25"/>
        <v>0.5365000000000002</v>
      </c>
      <c r="T674">
        <v>16.179047619047619</v>
      </c>
      <c r="U674">
        <v>375.63023653218329</v>
      </c>
      <c r="V674">
        <v>145.43215932989767</v>
      </c>
      <c r="W674">
        <v>168.62986755371094</v>
      </c>
      <c r="X674">
        <v>220.17141723632812</v>
      </c>
      <c r="Y674">
        <v>100.22209930419922</v>
      </c>
      <c r="Z674">
        <v>0.1119820848107338</v>
      </c>
    </row>
    <row r="675" spans="1:26" x14ac:dyDescent="0.2">
      <c r="A675" s="1">
        <v>46054</v>
      </c>
      <c r="B675" s="1">
        <v>46080</v>
      </c>
      <c r="C675">
        <v>65.5</v>
      </c>
      <c r="D675">
        <v>0.71260000000000001</v>
      </c>
      <c r="E675">
        <v>108.44375571749799</v>
      </c>
      <c r="F675">
        <v>109.57248954265</v>
      </c>
      <c r="G675">
        <v>98.8</v>
      </c>
      <c r="H675">
        <v>118.4</v>
      </c>
      <c r="I675">
        <v>71.099999999999994</v>
      </c>
      <c r="J675">
        <v>11.32</v>
      </c>
      <c r="K675" s="2">
        <v>3.83</v>
      </c>
      <c r="L675">
        <v>3.64</v>
      </c>
      <c r="M675">
        <f t="shared" si="26"/>
        <v>0.18999999999999995</v>
      </c>
      <c r="N675">
        <v>4.2300000000000004</v>
      </c>
      <c r="O675">
        <v>3.4715789473684207</v>
      </c>
      <c r="P675">
        <f t="shared" si="24"/>
        <v>0.75842105263157977</v>
      </c>
      <c r="Q675">
        <v>4.758</v>
      </c>
      <c r="R675">
        <v>4.1257894736842102</v>
      </c>
      <c r="S675">
        <f t="shared" si="25"/>
        <v>0.63221052631578978</v>
      </c>
      <c r="T675">
        <v>19.207000000000001</v>
      </c>
      <c r="U675">
        <v>350.90609431677029</v>
      </c>
      <c r="V675">
        <v>168.95587320506186</v>
      </c>
      <c r="W675">
        <v>119.86540985107422</v>
      </c>
      <c r="X675">
        <v>156.00601196289062</v>
      </c>
      <c r="Y675">
        <v>81.240623474121094</v>
      </c>
      <c r="Z675">
        <v>0.15832178294658661</v>
      </c>
    </row>
    <row r="676" spans="1:26" x14ac:dyDescent="0.2">
      <c r="A676" s="1">
        <v>46082</v>
      </c>
      <c r="B676" s="1">
        <v>46112</v>
      </c>
      <c r="C676">
        <v>64.3</v>
      </c>
      <c r="D676">
        <v>0.6845</v>
      </c>
      <c r="E676">
        <v>111.032040699508</v>
      </c>
      <c r="F676">
        <v>113.499962783843</v>
      </c>
      <c r="G676">
        <v>104.5</v>
      </c>
      <c r="H676">
        <v>138.6</v>
      </c>
      <c r="I676">
        <v>103.7</v>
      </c>
      <c r="J676">
        <v>11.42</v>
      </c>
      <c r="K676" s="2">
        <v>3.96</v>
      </c>
      <c r="L676">
        <v>3.64</v>
      </c>
      <c r="M676">
        <f t="shared" si="26"/>
        <v>0.31999999999999984</v>
      </c>
      <c r="N676">
        <v>4.5369999999999999</v>
      </c>
      <c r="O676">
        <v>3.7145454545454539</v>
      </c>
      <c r="P676">
        <f t="shared" si="24"/>
        <v>0.82245454545454599</v>
      </c>
      <c r="Q676">
        <v>4.9260000000000002</v>
      </c>
      <c r="R676">
        <v>4.2459090909090911</v>
      </c>
      <c r="S676">
        <f t="shared" si="25"/>
        <v>0.68009090909090908</v>
      </c>
      <c r="T676">
        <v>25.596818181818175</v>
      </c>
      <c r="U676">
        <v>445.85386026465318</v>
      </c>
      <c r="V676">
        <v>321.61518730417941</v>
      </c>
      <c r="W676">
        <v>330.17681884765625</v>
      </c>
      <c r="X676">
        <v>319.2039794921875</v>
      </c>
      <c r="Y676">
        <v>450.3603515625</v>
      </c>
      <c r="Z676">
        <v>0.48940581083297729</v>
      </c>
    </row>
    <row r="677" spans="1:26" x14ac:dyDescent="0.2">
      <c r="A677" s="1">
        <v>46113</v>
      </c>
      <c r="B677" s="1">
        <v>46142</v>
      </c>
      <c r="C677">
        <v>66.3</v>
      </c>
      <c r="D677">
        <v>0.71130000000000004</v>
      </c>
      <c r="E677">
        <v>112.500709328591</v>
      </c>
      <c r="F677">
        <v>114.346415395241</v>
      </c>
      <c r="G677">
        <v>106.1</v>
      </c>
      <c r="H677">
        <v>130.9</v>
      </c>
      <c r="I677">
        <v>120.4</v>
      </c>
      <c r="J677">
        <v>15.65</v>
      </c>
      <c r="K677" s="2">
        <v>4.0999999999999996</v>
      </c>
      <c r="L677">
        <v>3.64</v>
      </c>
      <c r="M677">
        <f t="shared" si="26"/>
        <v>0.45999999999999952</v>
      </c>
      <c r="N677">
        <v>4.6630000000000003</v>
      </c>
      <c r="O677">
        <v>3.7990909090909089</v>
      </c>
      <c r="P677">
        <f t="shared" si="24"/>
        <v>0.8639090909090914</v>
      </c>
      <c r="Q677">
        <v>4.9690000000000003</v>
      </c>
      <c r="R677">
        <v>4.3190909090909093</v>
      </c>
      <c r="S677">
        <f t="shared" si="25"/>
        <v>0.64990909090909099</v>
      </c>
      <c r="T677">
        <v>19.81190476190476</v>
      </c>
      <c r="U677">
        <v>342.43289357853229</v>
      </c>
      <c r="V677">
        <v>346.04496438818506</v>
      </c>
      <c r="W677">
        <v>250.28366088867188</v>
      </c>
      <c r="X677">
        <v>268.60107421875</v>
      </c>
      <c r="Y677">
        <v>305.94119262695312</v>
      </c>
      <c r="Z677">
        <v>0.272530198097229</v>
      </c>
    </row>
    <row r="678" spans="1:26" x14ac:dyDescent="0.2">
      <c r="A678" s="1">
        <v>46143</v>
      </c>
      <c r="B678" s="1">
        <v>46171</v>
      </c>
      <c r="C678">
        <v>66.599999999999994</v>
      </c>
      <c r="D678">
        <v>0.71640000000000004</v>
      </c>
      <c r="E678">
        <v>111.893909306258</v>
      </c>
      <c r="F678">
        <v>114.038075060293</v>
      </c>
      <c r="G678">
        <v>108.6</v>
      </c>
      <c r="H678">
        <v>136.9</v>
      </c>
      <c r="I678">
        <v>107.5</v>
      </c>
      <c r="J678">
        <v>12.88</v>
      </c>
      <c r="K678" s="2">
        <v>4.3099999999999996</v>
      </c>
      <c r="L678">
        <v>3.6277419354838734</v>
      </c>
      <c r="M678">
        <f t="shared" si="26"/>
        <v>0.68225806451612625</v>
      </c>
      <c r="N678">
        <v>4.6580000000000004</v>
      </c>
      <c r="O678">
        <v>3.9950000000000001</v>
      </c>
      <c r="P678">
        <f t="shared" si="24"/>
        <v>0.66300000000000026</v>
      </c>
      <c r="Q678">
        <v>4.9820000000000002</v>
      </c>
      <c r="R678">
        <v>4.484</v>
      </c>
      <c r="S678">
        <f t="shared" si="25"/>
        <v>0.49800000000000022</v>
      </c>
      <c r="T678">
        <v>17.237142857142857</v>
      </c>
      <c r="U678">
        <v>321.59023587735618</v>
      </c>
      <c r="V678">
        <v>272.89766993851168</v>
      </c>
      <c r="W678">
        <v>203.58198547363281</v>
      </c>
      <c r="X678">
        <v>233.49290466308594</v>
      </c>
      <c r="Y678">
        <v>215.24613952636719</v>
      </c>
      <c r="Z678">
        <v>0.23007088899612427</v>
      </c>
    </row>
    <row r="679" spans="1:26" x14ac:dyDescent="0.2">
      <c r="A679" s="1">
        <v>46174</v>
      </c>
      <c r="B679" s="1">
        <v>46203</v>
      </c>
      <c r="C679">
        <v>64.599999999999994</v>
      </c>
      <c r="D679">
        <v>0.68689999999999996</v>
      </c>
      <c r="E679">
        <v>111.138278117071</v>
      </c>
      <c r="F679">
        <v>112.553948640689</v>
      </c>
      <c r="G679">
        <v>100.8</v>
      </c>
      <c r="H679">
        <v>138.5</v>
      </c>
      <c r="I679">
        <v>85.4</v>
      </c>
      <c r="J679">
        <v>11.79</v>
      </c>
      <c r="K679" s="2">
        <v>4.3499999999999996</v>
      </c>
      <c r="L679">
        <v>3.6253333333333315</v>
      </c>
      <c r="M679">
        <f t="shared" si="26"/>
        <v>0.72466666666666812</v>
      </c>
      <c r="N679">
        <v>4.4969999999999999</v>
      </c>
      <c r="O679">
        <v>4.1128571428571421</v>
      </c>
      <c r="P679">
        <f t="shared" si="24"/>
        <v>0.38414285714285779</v>
      </c>
      <c r="Q679">
        <v>4.8310000000000004</v>
      </c>
      <c r="R679">
        <v>4.47047619047619</v>
      </c>
      <c r="S679">
        <f t="shared" si="25"/>
        <v>0.36052380952381036</v>
      </c>
      <c r="T679">
        <v>17.906818181818178</v>
      </c>
      <c r="U679">
        <v>282.71547033060273</v>
      </c>
      <c r="V679">
        <v>274.79160322332268</v>
      </c>
      <c r="W679">
        <v>179.94169616699219</v>
      </c>
      <c r="X679">
        <v>214.94244384765625</v>
      </c>
      <c r="Y679">
        <v>184.83316040039062</v>
      </c>
      <c r="Z679">
        <v>0.11854995042085648</v>
      </c>
    </row>
    <row r="680" spans="1:26" x14ac:dyDescent="0.2">
      <c r="A680" s="1">
        <v>46204</v>
      </c>
      <c r="B680" s="1">
        <v>46234</v>
      </c>
      <c r="C680">
        <v>65.5</v>
      </c>
      <c r="D680">
        <v>0.70299999999999996</v>
      </c>
      <c r="E680">
        <v>110.630512395697</v>
      </c>
      <c r="F680">
        <v>111.393427894456</v>
      </c>
      <c r="G680">
        <v>98.2</v>
      </c>
      <c r="H680">
        <v>131.9</v>
      </c>
      <c r="I680">
        <v>83.4</v>
      </c>
      <c r="J680">
        <v>13.85</v>
      </c>
      <c r="K680" s="2">
        <v>4.3499999999999996</v>
      </c>
      <c r="L680">
        <v>3.6280645161290304</v>
      </c>
      <c r="M680">
        <f t="shared" si="26"/>
        <v>0.72193548387096929</v>
      </c>
      <c r="N680">
        <v>4.5170000000000003</v>
      </c>
      <c r="O680">
        <v>4.2227272727272727</v>
      </c>
      <c r="P680">
        <f t="shared" si="24"/>
        <v>0.29427272727272769</v>
      </c>
      <c r="Q680">
        <v>4.9189999999999996</v>
      </c>
      <c r="R680">
        <v>4.5995454545454546</v>
      </c>
      <c r="S680">
        <f t="shared" si="25"/>
        <v>0.31945454545454499</v>
      </c>
      <c r="T680">
        <v>17.090869565217389</v>
      </c>
      <c r="U680">
        <v>241.6904910005747</v>
      </c>
      <c r="V680">
        <v>181.28176925388254</v>
      </c>
      <c r="W680">
        <v>167.53224182128906</v>
      </c>
      <c r="X680">
        <v>190.89479064941406</v>
      </c>
      <c r="Y680">
        <v>180.69992065429688</v>
      </c>
      <c r="Z680">
        <v>0.1325673907995224</v>
      </c>
    </row>
    <row r="681" spans="1:26" x14ac:dyDescent="0.2">
      <c r="A681" s="1">
        <v>46235</v>
      </c>
      <c r="B681" s="1">
        <v>46265</v>
      </c>
      <c r="C681">
        <v>66.2</v>
      </c>
      <c r="D681">
        <v>0.71660000000000001</v>
      </c>
      <c r="E681">
        <v>111.984961534894</v>
      </c>
      <c r="F681">
        <v>112.540215416019</v>
      </c>
      <c r="G681">
        <v>96.3</v>
      </c>
      <c r="H681">
        <v>135.19999999999999</v>
      </c>
      <c r="I681">
        <v>90.9</v>
      </c>
      <c r="J681">
        <v>13.94</v>
      </c>
      <c r="K681" s="2">
        <v>4.3499999999999996</v>
      </c>
      <c r="L681">
        <v>3.6299999999999986</v>
      </c>
      <c r="M681">
        <f t="shared" si="26"/>
        <v>0.72000000000000108</v>
      </c>
      <c r="N681">
        <v>4.5730000000000004</v>
      </c>
      <c r="O681">
        <v>4.2161904761904765</v>
      </c>
      <c r="P681">
        <f t="shared" si="24"/>
        <v>0.35680952380952391</v>
      </c>
      <c r="Q681">
        <v>5.0149999999999997</v>
      </c>
      <c r="R681">
        <v>4.6842857142857142</v>
      </c>
      <c r="S681">
        <f t="shared" si="25"/>
        <v>0.33071428571428552</v>
      </c>
      <c r="T681">
        <v>15.229523809523808</v>
      </c>
      <c r="V681">
        <v>210.85489991019153</v>
      </c>
      <c r="W681">
        <v>117.91884613037109</v>
      </c>
      <c r="X681">
        <v>130.72189331054688</v>
      </c>
      <c r="Y681">
        <v>120.34859466552734</v>
      </c>
      <c r="Z681">
        <v>0.15783055126667023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32118-7975-0743-8215-21E98D9CBF00}">
  <dimension ref="A1:J227"/>
  <sheetViews>
    <sheetView zoomScale="150" zoomScaleNormal="15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" sqref="C1"/>
    </sheetView>
  </sheetViews>
  <sheetFormatPr baseColWidth="10" defaultRowHeight="16" x14ac:dyDescent="0.2"/>
  <cols>
    <col min="1" max="2" width="12.6640625" customWidth="1"/>
  </cols>
  <sheetData>
    <row r="1" spans="1:10" x14ac:dyDescent="0.2">
      <c r="A1" t="s">
        <v>206</v>
      </c>
      <c r="B1" t="s">
        <v>205</v>
      </c>
      <c r="C1" t="s">
        <v>175</v>
      </c>
      <c r="D1" t="s">
        <v>184</v>
      </c>
      <c r="E1" t="s">
        <v>197</v>
      </c>
      <c r="F1" t="s">
        <v>198</v>
      </c>
      <c r="G1" t="s">
        <v>167</v>
      </c>
      <c r="H1" t="s">
        <v>199</v>
      </c>
      <c r="I1" t="s">
        <v>200</v>
      </c>
      <c r="J1" t="s">
        <v>201</v>
      </c>
    </row>
    <row r="2" spans="1:10" x14ac:dyDescent="0.2">
      <c r="A2" s="1">
        <v>25569</v>
      </c>
      <c r="B2" s="1">
        <v>25657</v>
      </c>
      <c r="E2">
        <v>0</v>
      </c>
      <c r="F2">
        <v>1.1174399999999999E-2</v>
      </c>
      <c r="G2">
        <v>5300.652</v>
      </c>
      <c r="H2">
        <v>136260</v>
      </c>
      <c r="J2">
        <v>6.69</v>
      </c>
    </row>
    <row r="3" spans="1:10" x14ac:dyDescent="0.2">
      <c r="A3" s="1">
        <v>25659</v>
      </c>
      <c r="B3" s="1">
        <v>25749</v>
      </c>
      <c r="C3">
        <v>146.45132065177313</v>
      </c>
      <c r="D3">
        <v>59.1</v>
      </c>
      <c r="E3">
        <v>0.2192982</v>
      </c>
      <c r="F3">
        <v>4.3859599999999999E-2</v>
      </c>
      <c r="G3">
        <v>5308.1639999999998</v>
      </c>
      <c r="H3">
        <v>139021</v>
      </c>
      <c r="J3">
        <v>6.77</v>
      </c>
    </row>
    <row r="4" spans="1:10" x14ac:dyDescent="0.2">
      <c r="A4" s="1">
        <v>25750</v>
      </c>
      <c r="B4" s="1">
        <v>25841</v>
      </c>
      <c r="C4">
        <v>144.5426827947976</v>
      </c>
      <c r="D4">
        <v>58.1</v>
      </c>
      <c r="E4">
        <v>0</v>
      </c>
      <c r="F4">
        <v>2.1929799999999999E-2</v>
      </c>
      <c r="G4">
        <v>5357.0770000000002</v>
      </c>
      <c r="H4">
        <v>138729</v>
      </c>
      <c r="J4">
        <v>6.8</v>
      </c>
    </row>
    <row r="5" spans="1:10" x14ac:dyDescent="0.2">
      <c r="A5" s="1">
        <v>25842</v>
      </c>
      <c r="B5" s="1">
        <v>25932</v>
      </c>
      <c r="C5">
        <v>145.17264846888128</v>
      </c>
      <c r="D5">
        <v>55.6</v>
      </c>
      <c r="E5">
        <v>0.36463079999999998</v>
      </c>
      <c r="F5">
        <v>8.0236100000000005E-2</v>
      </c>
      <c r="G5">
        <v>5299.6719999999996</v>
      </c>
      <c r="H5">
        <v>139332</v>
      </c>
      <c r="J5">
        <v>6.92</v>
      </c>
    </row>
    <row r="6" spans="1:10" x14ac:dyDescent="0.2">
      <c r="A6" s="1">
        <v>25934</v>
      </c>
      <c r="B6" s="1">
        <v>26022</v>
      </c>
      <c r="C6">
        <v>146.01779478604448</v>
      </c>
      <c r="D6">
        <v>55.9</v>
      </c>
      <c r="E6">
        <v>0.655308</v>
      </c>
      <c r="F6">
        <v>0.1675247</v>
      </c>
      <c r="G6">
        <v>5443.6189999999997</v>
      </c>
      <c r="H6">
        <v>141071</v>
      </c>
      <c r="J6">
        <v>7</v>
      </c>
    </row>
    <row r="7" spans="1:10" x14ac:dyDescent="0.2">
      <c r="A7" s="1">
        <v>26024</v>
      </c>
      <c r="B7" s="1">
        <v>26114</v>
      </c>
      <c r="C7">
        <v>147.05387698514954</v>
      </c>
      <c r="D7">
        <v>54.7</v>
      </c>
      <c r="E7">
        <v>0</v>
      </c>
      <c r="F7">
        <v>7.7685199999999996E-2</v>
      </c>
      <c r="G7">
        <v>5473.0590000000002</v>
      </c>
      <c r="H7">
        <v>141684</v>
      </c>
      <c r="J7">
        <v>7.11</v>
      </c>
    </row>
    <row r="8" spans="1:10" x14ac:dyDescent="0.2">
      <c r="A8" s="1">
        <v>26115</v>
      </c>
      <c r="B8" s="1">
        <v>26206</v>
      </c>
      <c r="C8">
        <v>146.56490818769925</v>
      </c>
      <c r="D8">
        <v>55.5</v>
      </c>
      <c r="E8">
        <v>0.33734399999999998</v>
      </c>
      <c r="F8">
        <v>8.93124E-2</v>
      </c>
      <c r="G8">
        <v>5518.0720000000001</v>
      </c>
      <c r="H8">
        <v>146097</v>
      </c>
      <c r="J8">
        <v>7.27</v>
      </c>
    </row>
    <row r="9" spans="1:10" x14ac:dyDescent="0.2">
      <c r="A9" s="1">
        <v>26207</v>
      </c>
      <c r="B9" s="1">
        <v>26297</v>
      </c>
      <c r="C9">
        <v>147.06334486549164</v>
      </c>
      <c r="D9">
        <v>48.6</v>
      </c>
      <c r="E9">
        <v>0.44916899999999998</v>
      </c>
      <c r="F9">
        <v>0.1235682</v>
      </c>
      <c r="G9">
        <v>5531.0320000000002</v>
      </c>
      <c r="H9">
        <v>145625</v>
      </c>
      <c r="J9">
        <v>7.42</v>
      </c>
    </row>
    <row r="10" spans="1:10" x14ac:dyDescent="0.2">
      <c r="A10" s="1">
        <v>26299</v>
      </c>
      <c r="B10" s="1">
        <v>26388</v>
      </c>
      <c r="C10">
        <v>145.50562205845043</v>
      </c>
      <c r="D10">
        <v>51.8</v>
      </c>
      <c r="E10">
        <v>0.30490899999999999</v>
      </c>
      <c r="F10">
        <v>0.1171435</v>
      </c>
      <c r="G10">
        <v>5632.6490000000003</v>
      </c>
      <c r="H10">
        <v>143900</v>
      </c>
      <c r="J10">
        <v>7.5</v>
      </c>
    </row>
    <row r="11" spans="1:10" x14ac:dyDescent="0.2">
      <c r="A11" s="1">
        <v>26390</v>
      </c>
      <c r="B11" s="1">
        <v>26480</v>
      </c>
      <c r="C11">
        <v>144.61214887179102</v>
      </c>
      <c r="D11">
        <v>53.9</v>
      </c>
      <c r="E11">
        <v>0</v>
      </c>
      <c r="F11">
        <v>4.5463200000000002E-2</v>
      </c>
      <c r="G11">
        <v>5760.47</v>
      </c>
      <c r="H11">
        <v>147105</v>
      </c>
      <c r="J11">
        <v>7.58</v>
      </c>
    </row>
    <row r="12" spans="1:10" x14ac:dyDescent="0.2">
      <c r="A12" s="1">
        <v>26481</v>
      </c>
      <c r="B12" s="1">
        <v>26572</v>
      </c>
      <c r="C12">
        <v>143.92312858915938</v>
      </c>
      <c r="D12">
        <v>56.9</v>
      </c>
      <c r="E12">
        <v>0.37392500000000001</v>
      </c>
      <c r="F12">
        <v>8.4948599999999999E-2</v>
      </c>
      <c r="G12">
        <v>5814.8540000000003</v>
      </c>
      <c r="H12">
        <v>146356</v>
      </c>
      <c r="J12">
        <v>7.69</v>
      </c>
    </row>
    <row r="13" spans="1:10" x14ac:dyDescent="0.2">
      <c r="A13" s="1">
        <v>26573</v>
      </c>
      <c r="B13" s="1">
        <v>26663</v>
      </c>
      <c r="C13">
        <v>144.5260591075857</v>
      </c>
      <c r="D13">
        <v>58</v>
      </c>
      <c r="E13">
        <v>0</v>
      </c>
      <c r="F13">
        <v>3.7392500000000002E-2</v>
      </c>
      <c r="G13">
        <v>5912.22</v>
      </c>
      <c r="H13">
        <v>147885</v>
      </c>
      <c r="J13">
        <v>7.77</v>
      </c>
    </row>
    <row r="14" spans="1:10" x14ac:dyDescent="0.2">
      <c r="A14" s="1">
        <v>26665</v>
      </c>
      <c r="B14" s="1">
        <v>26753</v>
      </c>
      <c r="C14">
        <v>156.01260298130694</v>
      </c>
      <c r="D14">
        <v>66.2</v>
      </c>
      <c r="E14">
        <v>0.24476809999999999</v>
      </c>
      <c r="F14">
        <v>6.1417800000000002E-2</v>
      </c>
      <c r="G14">
        <v>6058.5439999999999</v>
      </c>
      <c r="H14">
        <v>151729</v>
      </c>
      <c r="J14">
        <v>7.93</v>
      </c>
    </row>
    <row r="15" spans="1:10" x14ac:dyDescent="0.2">
      <c r="A15" s="1">
        <v>26755</v>
      </c>
      <c r="B15" s="1">
        <v>26845</v>
      </c>
      <c r="C15">
        <v>156.59221210048679</v>
      </c>
      <c r="D15">
        <v>68.2</v>
      </c>
      <c r="E15">
        <v>1.2309589999999999</v>
      </c>
      <c r="F15">
        <v>0.27066849999999998</v>
      </c>
      <c r="G15">
        <v>6124.5060000000003</v>
      </c>
      <c r="H15">
        <v>152017</v>
      </c>
      <c r="J15">
        <v>8.1999999999999993</v>
      </c>
    </row>
    <row r="16" spans="1:10" x14ac:dyDescent="0.2">
      <c r="A16" s="1">
        <v>26846</v>
      </c>
      <c r="B16" s="1">
        <v>26937</v>
      </c>
      <c r="C16">
        <v>155.79976129048845</v>
      </c>
      <c r="D16">
        <v>67.8</v>
      </c>
      <c r="E16">
        <v>0.354045</v>
      </c>
      <c r="F16">
        <v>0.20206379999999999</v>
      </c>
      <c r="G16">
        <v>6092.3010000000004</v>
      </c>
      <c r="H16">
        <v>153533</v>
      </c>
      <c r="J16">
        <v>8.4700000000000006</v>
      </c>
    </row>
    <row r="17" spans="1:10" x14ac:dyDescent="0.2">
      <c r="A17" s="1">
        <v>26938</v>
      </c>
      <c r="B17" s="1">
        <v>27028</v>
      </c>
      <c r="C17">
        <v>163.13408516887125</v>
      </c>
      <c r="D17">
        <v>67.3</v>
      </c>
      <c r="E17">
        <v>0.22614200000000001</v>
      </c>
      <c r="F17">
        <v>0.12166490000000001</v>
      </c>
      <c r="G17">
        <v>6150.1310000000003</v>
      </c>
      <c r="H17">
        <v>157363</v>
      </c>
      <c r="J17">
        <v>8.7799999999999994</v>
      </c>
    </row>
    <row r="18" spans="1:10" x14ac:dyDescent="0.2">
      <c r="A18" s="1">
        <v>27030</v>
      </c>
      <c r="B18" s="1">
        <v>27118</v>
      </c>
      <c r="C18">
        <v>166.03299620181201</v>
      </c>
      <c r="D18">
        <v>70.8</v>
      </c>
      <c r="E18">
        <v>0</v>
      </c>
      <c r="F18">
        <v>3.44157E-2</v>
      </c>
      <c r="G18">
        <v>6097.2579999999998</v>
      </c>
      <c r="H18">
        <v>157420</v>
      </c>
      <c r="J18">
        <v>9.01</v>
      </c>
    </row>
    <row r="19" spans="1:10" x14ac:dyDescent="0.2">
      <c r="A19" s="1">
        <v>27120</v>
      </c>
      <c r="B19" s="1">
        <v>27210</v>
      </c>
      <c r="C19">
        <v>162.81103166426416</v>
      </c>
      <c r="D19">
        <v>64.5</v>
      </c>
      <c r="E19">
        <v>0</v>
      </c>
      <c r="F19">
        <v>7.5380999999999998E-3</v>
      </c>
      <c r="G19">
        <v>6111.7510000000002</v>
      </c>
      <c r="H19">
        <v>154228</v>
      </c>
      <c r="J19">
        <v>9.39</v>
      </c>
    </row>
    <row r="20" spans="1:10" x14ac:dyDescent="0.2">
      <c r="A20" s="1">
        <v>27211</v>
      </c>
      <c r="B20" s="1">
        <v>27302</v>
      </c>
      <c r="C20">
        <v>172.07482343060511</v>
      </c>
      <c r="D20">
        <v>64</v>
      </c>
      <c r="E20">
        <v>0.42498940000000002</v>
      </c>
      <c r="F20">
        <v>8.4997900000000001E-2</v>
      </c>
      <c r="G20">
        <v>6053.9780000000001</v>
      </c>
      <c r="H20">
        <v>156047</v>
      </c>
      <c r="J20">
        <v>9.86</v>
      </c>
    </row>
    <row r="21" spans="1:10" x14ac:dyDescent="0.2">
      <c r="A21" s="1">
        <v>27303</v>
      </c>
      <c r="B21" s="1">
        <v>27393</v>
      </c>
      <c r="C21">
        <v>158.27403540222627</v>
      </c>
      <c r="D21">
        <v>60.8</v>
      </c>
      <c r="E21">
        <v>0.46591090000000002</v>
      </c>
      <c r="F21">
        <v>0.1356811</v>
      </c>
      <c r="G21">
        <v>6030.4639999999999</v>
      </c>
      <c r="H21">
        <v>156217</v>
      </c>
      <c r="J21">
        <v>10.210000000000001</v>
      </c>
    </row>
    <row r="22" spans="1:10" x14ac:dyDescent="0.2">
      <c r="A22" s="1">
        <v>27395</v>
      </c>
      <c r="B22" s="1">
        <v>27483</v>
      </c>
      <c r="C22">
        <v>161.58302578390899</v>
      </c>
      <c r="D22">
        <v>59.8</v>
      </c>
      <c r="E22">
        <v>0</v>
      </c>
      <c r="F22">
        <v>6.0757400000000003E-2</v>
      </c>
      <c r="G22">
        <v>5957.0349999999999</v>
      </c>
      <c r="H22">
        <v>156828</v>
      </c>
      <c r="J22">
        <v>10.59</v>
      </c>
    </row>
    <row r="23" spans="1:10" x14ac:dyDescent="0.2">
      <c r="A23" s="1">
        <v>27485</v>
      </c>
      <c r="B23" s="1">
        <v>27575</v>
      </c>
      <c r="C23">
        <v>163.62726912596045</v>
      </c>
      <c r="D23">
        <v>59.4</v>
      </c>
      <c r="E23">
        <v>0.47404600000000002</v>
      </c>
      <c r="F23">
        <v>0.1103396</v>
      </c>
      <c r="G23">
        <v>5999.61</v>
      </c>
      <c r="H23">
        <v>161785</v>
      </c>
      <c r="J23">
        <v>10.98</v>
      </c>
    </row>
    <row r="24" spans="1:10" x14ac:dyDescent="0.2">
      <c r="A24" s="1">
        <v>27576</v>
      </c>
      <c r="B24" s="1">
        <v>27667</v>
      </c>
      <c r="C24">
        <v>164.96830808222538</v>
      </c>
      <c r="D24">
        <v>58</v>
      </c>
      <c r="E24">
        <v>0.38819880000000001</v>
      </c>
      <c r="F24">
        <v>0.1250443</v>
      </c>
      <c r="G24">
        <v>6102.326</v>
      </c>
      <c r="H24">
        <v>159987</v>
      </c>
      <c r="J24">
        <v>11.06</v>
      </c>
    </row>
    <row r="25" spans="1:10" x14ac:dyDescent="0.2">
      <c r="A25" s="1">
        <v>27668</v>
      </c>
      <c r="B25" s="1">
        <v>27758</v>
      </c>
      <c r="C25">
        <v>166.73958934386275</v>
      </c>
      <c r="D25">
        <v>57.6</v>
      </c>
      <c r="E25">
        <v>0.1618647</v>
      </c>
      <c r="F25">
        <v>8.6994299999999997E-2</v>
      </c>
      <c r="G25">
        <v>6184.53</v>
      </c>
      <c r="H25">
        <v>157576</v>
      </c>
      <c r="J25">
        <v>11.68</v>
      </c>
    </row>
    <row r="26" spans="1:10" x14ac:dyDescent="0.2">
      <c r="A26" s="1">
        <v>27760</v>
      </c>
      <c r="B26" s="1">
        <v>27849</v>
      </c>
      <c r="C26">
        <v>167.11489870905527</v>
      </c>
      <c r="D26">
        <v>57.9</v>
      </c>
      <c r="E26">
        <v>0</v>
      </c>
      <c r="F26">
        <v>2.91264E-2</v>
      </c>
      <c r="G26">
        <v>6323.6490000000003</v>
      </c>
      <c r="H26">
        <v>164583</v>
      </c>
      <c r="J26">
        <v>11.98</v>
      </c>
    </row>
    <row r="27" spans="1:10" x14ac:dyDescent="0.2">
      <c r="A27" s="1">
        <v>27851</v>
      </c>
      <c r="B27" s="1">
        <v>27941</v>
      </c>
      <c r="C27">
        <v>165.5498185270022</v>
      </c>
      <c r="D27">
        <v>59.8</v>
      </c>
      <c r="E27">
        <v>0.47103149999999999</v>
      </c>
      <c r="F27">
        <v>9.9601800000000004E-2</v>
      </c>
      <c r="G27">
        <v>6370.0249999999996</v>
      </c>
      <c r="H27">
        <v>165057</v>
      </c>
      <c r="J27">
        <v>12.29</v>
      </c>
    </row>
    <row r="28" spans="1:10" x14ac:dyDescent="0.2">
      <c r="A28" s="1">
        <v>27942</v>
      </c>
      <c r="B28" s="1">
        <v>28033</v>
      </c>
      <c r="C28">
        <v>165.78647362953859</v>
      </c>
      <c r="D28">
        <v>58.7</v>
      </c>
      <c r="E28">
        <v>0</v>
      </c>
      <c r="F28">
        <v>4.7103199999999998E-2</v>
      </c>
      <c r="G28">
        <v>6404.8950000000004</v>
      </c>
      <c r="H28">
        <v>166395</v>
      </c>
      <c r="J28">
        <v>12.6</v>
      </c>
    </row>
    <row r="29" spans="1:10" x14ac:dyDescent="0.2">
      <c r="A29" s="1">
        <v>28034</v>
      </c>
      <c r="B29" s="1">
        <v>28124</v>
      </c>
      <c r="C29">
        <v>156.07943825233585</v>
      </c>
      <c r="D29">
        <v>56.7</v>
      </c>
      <c r="E29">
        <v>0.25223859999999998</v>
      </c>
      <c r="F29">
        <v>6.6148799999999994E-2</v>
      </c>
      <c r="G29">
        <v>6451.1769999999997</v>
      </c>
      <c r="H29">
        <v>167827</v>
      </c>
      <c r="J29">
        <v>13.34</v>
      </c>
    </row>
    <row r="30" spans="1:10" x14ac:dyDescent="0.2">
      <c r="A30" s="1">
        <v>28126</v>
      </c>
      <c r="B30" s="1">
        <v>28214</v>
      </c>
      <c r="C30">
        <v>146.55229508185127</v>
      </c>
      <c r="D30">
        <v>56</v>
      </c>
      <c r="E30">
        <v>0.42337000000000002</v>
      </c>
      <c r="F30">
        <v>0.10989790000000001</v>
      </c>
      <c r="G30">
        <v>6527.7030000000004</v>
      </c>
      <c r="H30">
        <v>166942</v>
      </c>
      <c r="J30">
        <v>13.65</v>
      </c>
    </row>
    <row r="31" spans="1:10" x14ac:dyDescent="0.2">
      <c r="A31" s="1">
        <v>28216</v>
      </c>
      <c r="B31" s="1">
        <v>28306</v>
      </c>
      <c r="C31">
        <v>147.66127815499812</v>
      </c>
      <c r="D31">
        <v>55.5</v>
      </c>
      <c r="E31">
        <v>0.18331810000000001</v>
      </c>
      <c r="F31">
        <v>8.7408600000000003E-2</v>
      </c>
      <c r="G31">
        <v>6654.4660000000003</v>
      </c>
      <c r="H31">
        <v>169289</v>
      </c>
      <c r="J31">
        <v>13.96</v>
      </c>
    </row>
    <row r="32" spans="1:10" x14ac:dyDescent="0.2">
      <c r="A32" s="1">
        <v>28307</v>
      </c>
      <c r="B32" s="1">
        <v>28398</v>
      </c>
      <c r="C32">
        <v>146.87653905109502</v>
      </c>
      <c r="D32">
        <v>52.6</v>
      </c>
      <c r="E32">
        <v>0.34536349999999999</v>
      </c>
      <c r="F32">
        <v>0.1015168</v>
      </c>
      <c r="G32">
        <v>6774.4570000000003</v>
      </c>
      <c r="H32">
        <v>168561</v>
      </c>
      <c r="J32">
        <v>14.23</v>
      </c>
    </row>
    <row r="33" spans="1:10" x14ac:dyDescent="0.2">
      <c r="A33" s="1">
        <v>28399</v>
      </c>
      <c r="B33" s="1">
        <v>28489</v>
      </c>
      <c r="C33">
        <v>145.31704214354767</v>
      </c>
      <c r="D33">
        <v>51</v>
      </c>
      <c r="E33">
        <v>0.20189779999999999</v>
      </c>
      <c r="F33">
        <v>8.1026500000000001E-2</v>
      </c>
      <c r="G33">
        <v>6774.5919999999996</v>
      </c>
      <c r="H33">
        <v>168036</v>
      </c>
      <c r="J33">
        <v>14.57</v>
      </c>
    </row>
    <row r="34" spans="1:10" x14ac:dyDescent="0.2">
      <c r="A34" s="1">
        <v>28491</v>
      </c>
      <c r="B34" s="1">
        <v>28579</v>
      </c>
      <c r="C34">
        <v>143.47241428065394</v>
      </c>
      <c r="D34">
        <v>50.9</v>
      </c>
      <c r="E34">
        <v>0.18450179999999999</v>
      </c>
      <c r="F34">
        <v>6.8602300000000005E-2</v>
      </c>
      <c r="G34">
        <v>6796.26</v>
      </c>
      <c r="H34">
        <v>169227</v>
      </c>
      <c r="J34">
        <v>14.77</v>
      </c>
    </row>
    <row r="35" spans="1:10" x14ac:dyDescent="0.2">
      <c r="A35" s="1">
        <v>28581</v>
      </c>
      <c r="B35" s="1">
        <v>28671</v>
      </c>
      <c r="C35">
        <v>139.11151027147</v>
      </c>
      <c r="D35">
        <v>51.9</v>
      </c>
      <c r="E35">
        <v>0</v>
      </c>
      <c r="F35">
        <v>2.51801E-2</v>
      </c>
      <c r="G35">
        <v>7058.92</v>
      </c>
      <c r="H35">
        <v>170633</v>
      </c>
      <c r="J35">
        <v>15.08</v>
      </c>
    </row>
    <row r="36" spans="1:10" x14ac:dyDescent="0.2">
      <c r="A36" s="1">
        <v>28672</v>
      </c>
      <c r="B36" s="1">
        <v>28763</v>
      </c>
      <c r="C36">
        <v>133.85296529387409</v>
      </c>
      <c r="D36">
        <v>51</v>
      </c>
      <c r="E36">
        <v>0</v>
      </c>
      <c r="F36">
        <v>6.1501000000000004E-3</v>
      </c>
      <c r="G36">
        <v>7129.915</v>
      </c>
      <c r="H36">
        <v>173227</v>
      </c>
      <c r="J36">
        <v>15.35</v>
      </c>
    </row>
    <row r="37" spans="1:10" x14ac:dyDescent="0.2">
      <c r="A37" s="1">
        <v>28764</v>
      </c>
      <c r="B37" s="1">
        <v>28854</v>
      </c>
      <c r="C37">
        <v>131.18455709348419</v>
      </c>
      <c r="D37">
        <v>50.7</v>
      </c>
      <c r="E37">
        <v>0</v>
      </c>
      <c r="F37">
        <v>0</v>
      </c>
      <c r="G37">
        <v>7225.75</v>
      </c>
      <c r="H37">
        <v>174628</v>
      </c>
      <c r="J37">
        <v>15.7</v>
      </c>
    </row>
    <row r="38" spans="1:10" x14ac:dyDescent="0.2">
      <c r="A38" s="1">
        <v>28856</v>
      </c>
      <c r="B38" s="1">
        <v>28944</v>
      </c>
      <c r="C38">
        <v>131.37295490949953</v>
      </c>
      <c r="D38">
        <v>51.5</v>
      </c>
      <c r="E38">
        <v>0.19015019999999999</v>
      </c>
      <c r="F38">
        <v>3.8030000000000001E-2</v>
      </c>
      <c r="G38">
        <v>7238.7269999999999</v>
      </c>
      <c r="H38">
        <v>179454</v>
      </c>
      <c r="J38">
        <v>15.97</v>
      </c>
    </row>
    <row r="39" spans="1:10" x14ac:dyDescent="0.2">
      <c r="A39" s="1">
        <v>28946</v>
      </c>
      <c r="B39" s="1">
        <v>29036</v>
      </c>
      <c r="C39">
        <v>132.00638437030273</v>
      </c>
      <c r="D39">
        <v>53.6</v>
      </c>
      <c r="E39">
        <v>0</v>
      </c>
      <c r="F39">
        <v>1.9015000000000001E-2</v>
      </c>
      <c r="G39">
        <v>7246.4539999999997</v>
      </c>
      <c r="H39">
        <v>176554</v>
      </c>
      <c r="J39">
        <v>16.39</v>
      </c>
    </row>
    <row r="40" spans="1:10" x14ac:dyDescent="0.2">
      <c r="A40" s="1">
        <v>29037</v>
      </c>
      <c r="B40" s="1">
        <v>29128</v>
      </c>
      <c r="C40">
        <v>133.58256269636576</v>
      </c>
      <c r="D40">
        <v>53.6</v>
      </c>
      <c r="E40">
        <v>0.18325089999999999</v>
      </c>
      <c r="F40">
        <v>4.2988499999999999E-2</v>
      </c>
      <c r="G40">
        <v>7300.2809999999999</v>
      </c>
      <c r="H40">
        <v>178192</v>
      </c>
      <c r="J40">
        <v>16.78</v>
      </c>
    </row>
    <row r="41" spans="1:10" x14ac:dyDescent="0.2">
      <c r="A41" s="1">
        <v>29129</v>
      </c>
      <c r="B41" s="1">
        <v>29219</v>
      </c>
      <c r="C41">
        <v>133.52393635734404</v>
      </c>
      <c r="D41">
        <v>54.2</v>
      </c>
      <c r="E41">
        <v>0.25268479999999999</v>
      </c>
      <c r="F41">
        <v>6.8862000000000007E-2</v>
      </c>
      <c r="G41">
        <v>7318.5349999999999</v>
      </c>
      <c r="H41">
        <v>181615</v>
      </c>
      <c r="J41">
        <v>17.28</v>
      </c>
    </row>
    <row r="42" spans="1:10" x14ac:dyDescent="0.2">
      <c r="A42" s="1">
        <v>29221</v>
      </c>
      <c r="B42" s="1">
        <v>29310</v>
      </c>
      <c r="C42">
        <v>133.06898275119829</v>
      </c>
      <c r="D42">
        <v>54.3</v>
      </c>
      <c r="E42">
        <v>0.10927770000000001</v>
      </c>
      <c r="F42">
        <v>5.3232399999999999E-2</v>
      </c>
      <c r="G42">
        <v>7341.5569999999998</v>
      </c>
      <c r="H42">
        <v>182487</v>
      </c>
      <c r="J42">
        <v>17.670000000000002</v>
      </c>
    </row>
    <row r="43" spans="1:10" x14ac:dyDescent="0.2">
      <c r="A43" s="1">
        <v>29312</v>
      </c>
      <c r="B43" s="1">
        <v>29402</v>
      </c>
      <c r="C43">
        <v>134.04553975939061</v>
      </c>
      <c r="D43">
        <v>53.1</v>
      </c>
      <c r="E43">
        <v>0</v>
      </c>
      <c r="F43">
        <v>1.9350599999999999E-2</v>
      </c>
      <c r="G43">
        <v>7190.2889999999998</v>
      </c>
      <c r="H43">
        <v>182931</v>
      </c>
      <c r="J43">
        <v>18.170000000000002</v>
      </c>
    </row>
    <row r="44" spans="1:10" x14ac:dyDescent="0.2">
      <c r="A44" s="1">
        <v>29403</v>
      </c>
      <c r="B44" s="1">
        <v>29494</v>
      </c>
      <c r="C44">
        <v>136.49652210619476</v>
      </c>
      <c r="D44">
        <v>53</v>
      </c>
      <c r="E44">
        <v>0.25004169999999998</v>
      </c>
      <c r="F44">
        <v>5.3650900000000001E-2</v>
      </c>
      <c r="G44">
        <v>7181.7430000000004</v>
      </c>
      <c r="H44">
        <v>183921</v>
      </c>
      <c r="J44">
        <v>18.48</v>
      </c>
    </row>
    <row r="45" spans="1:10" x14ac:dyDescent="0.2">
      <c r="A45" s="1">
        <v>29495</v>
      </c>
      <c r="B45" s="1">
        <v>29585</v>
      </c>
      <c r="C45">
        <v>136.99659262375675</v>
      </c>
      <c r="D45">
        <v>52.9</v>
      </c>
      <c r="E45">
        <v>0.1043079</v>
      </c>
      <c r="F45">
        <v>4.5865799999999998E-2</v>
      </c>
      <c r="G45">
        <v>7315.6769999999997</v>
      </c>
      <c r="H45">
        <v>187060</v>
      </c>
      <c r="J45">
        <v>18.87</v>
      </c>
    </row>
    <row r="46" spans="1:10" x14ac:dyDescent="0.2">
      <c r="A46" s="1">
        <v>29587</v>
      </c>
      <c r="B46" s="1">
        <v>29675</v>
      </c>
      <c r="C46">
        <v>138.6037176705924</v>
      </c>
      <c r="D46">
        <v>53.6</v>
      </c>
      <c r="E46">
        <v>0.1120072</v>
      </c>
      <c r="F46">
        <v>4.1167000000000002E-2</v>
      </c>
      <c r="G46">
        <v>7459.0219999999999</v>
      </c>
      <c r="H46">
        <v>187785</v>
      </c>
      <c r="J46">
        <v>19.329999999999998</v>
      </c>
    </row>
    <row r="47" spans="1:10" x14ac:dyDescent="0.2">
      <c r="A47" s="1">
        <v>29677</v>
      </c>
      <c r="B47" s="1">
        <v>29767</v>
      </c>
      <c r="C47">
        <v>140.78185974000613</v>
      </c>
      <c r="D47">
        <v>52.8</v>
      </c>
      <c r="E47">
        <v>0.21708459999999999</v>
      </c>
      <c r="F47">
        <v>5.8094600000000003E-2</v>
      </c>
      <c r="G47">
        <v>7403.7449999999999</v>
      </c>
      <c r="H47">
        <v>190697</v>
      </c>
      <c r="J47">
        <v>19.760000000000002</v>
      </c>
    </row>
    <row r="48" spans="1:10" x14ac:dyDescent="0.2">
      <c r="A48" s="1">
        <v>29768</v>
      </c>
      <c r="B48" s="1">
        <v>29859</v>
      </c>
      <c r="C48">
        <v>145.3723462805464</v>
      </c>
      <c r="D48">
        <v>53.8</v>
      </c>
      <c r="E48">
        <v>0</v>
      </c>
      <c r="F48">
        <v>2.5441999999999999E-2</v>
      </c>
      <c r="G48">
        <v>7492.4049999999997</v>
      </c>
      <c r="H48">
        <v>194547</v>
      </c>
      <c r="J48">
        <v>20.14</v>
      </c>
    </row>
    <row r="49" spans="1:10" x14ac:dyDescent="0.2">
      <c r="A49" s="1">
        <v>29860</v>
      </c>
      <c r="B49" s="1">
        <v>29950</v>
      </c>
      <c r="C49">
        <v>143.26947623551641</v>
      </c>
      <c r="D49">
        <v>52.3</v>
      </c>
      <c r="E49">
        <v>0.13958680000000001</v>
      </c>
      <c r="F49">
        <v>3.5153499999999997E-2</v>
      </c>
      <c r="G49">
        <v>7410.768</v>
      </c>
      <c r="H49">
        <v>193739</v>
      </c>
      <c r="J49">
        <v>20.99</v>
      </c>
    </row>
    <row r="50" spans="1:10" x14ac:dyDescent="0.2">
      <c r="A50" s="1">
        <v>29952</v>
      </c>
      <c r="B50" s="1">
        <v>30040</v>
      </c>
      <c r="C50">
        <v>141.04908757915408</v>
      </c>
      <c r="D50">
        <v>50.8</v>
      </c>
      <c r="E50">
        <v>0</v>
      </c>
      <c r="F50">
        <v>1.3958699999999999E-2</v>
      </c>
      <c r="G50">
        <v>7295.6310000000003</v>
      </c>
      <c r="H50">
        <v>192212</v>
      </c>
      <c r="J50">
        <v>21.38</v>
      </c>
    </row>
    <row r="51" spans="1:10" x14ac:dyDescent="0.2">
      <c r="A51" s="1">
        <v>30042</v>
      </c>
      <c r="B51" s="1">
        <v>30132</v>
      </c>
      <c r="C51">
        <v>140.22065640120806</v>
      </c>
      <c r="D51">
        <v>52.1</v>
      </c>
      <c r="E51">
        <v>0.39925470000000002</v>
      </c>
      <c r="F51">
        <v>8.4503800000000004E-2</v>
      </c>
      <c r="G51">
        <v>7328.9120000000003</v>
      </c>
      <c r="H51">
        <v>193911</v>
      </c>
      <c r="I51">
        <v>2.5</v>
      </c>
      <c r="J51">
        <v>21.88</v>
      </c>
    </row>
    <row r="52" spans="1:10" x14ac:dyDescent="0.2">
      <c r="A52" s="1">
        <v>30133</v>
      </c>
      <c r="B52" s="1">
        <v>30224</v>
      </c>
      <c r="C52">
        <v>137.00849212150123</v>
      </c>
      <c r="D52">
        <v>51.8</v>
      </c>
      <c r="E52">
        <v>0</v>
      </c>
      <c r="F52">
        <v>3.9925500000000003E-2</v>
      </c>
      <c r="G52">
        <v>7300.8959999999997</v>
      </c>
      <c r="H52">
        <v>192628</v>
      </c>
      <c r="I52">
        <v>2.9</v>
      </c>
      <c r="J52">
        <v>22.65</v>
      </c>
    </row>
    <row r="53" spans="1:10" x14ac:dyDescent="0.2">
      <c r="A53" s="1">
        <v>30225</v>
      </c>
      <c r="B53" s="1">
        <v>30315</v>
      </c>
      <c r="C53">
        <v>136.02814996415643</v>
      </c>
      <c r="D53">
        <v>51.3</v>
      </c>
      <c r="E53">
        <v>0.18653239999999999</v>
      </c>
      <c r="F53">
        <v>5.0615E-2</v>
      </c>
      <c r="G53">
        <v>7303.817</v>
      </c>
      <c r="H53">
        <v>189523</v>
      </c>
      <c r="I53">
        <v>2.6</v>
      </c>
      <c r="J53">
        <v>23.31</v>
      </c>
    </row>
    <row r="54" spans="1:10" x14ac:dyDescent="0.2">
      <c r="A54" s="1">
        <v>30317</v>
      </c>
      <c r="B54" s="1">
        <v>30405</v>
      </c>
      <c r="C54">
        <v>132.65667692720012</v>
      </c>
      <c r="D54">
        <v>51.6</v>
      </c>
      <c r="E54">
        <v>0.15015020000000001</v>
      </c>
      <c r="F54">
        <v>4.8683299999999999E-2</v>
      </c>
      <c r="G54">
        <v>7400.0659999999998</v>
      </c>
      <c r="H54">
        <v>187708</v>
      </c>
      <c r="I54">
        <v>2.2000000000000002</v>
      </c>
      <c r="J54">
        <v>23.81</v>
      </c>
    </row>
    <row r="55" spans="1:10" x14ac:dyDescent="0.2">
      <c r="A55" s="1">
        <v>30407</v>
      </c>
      <c r="B55" s="1">
        <v>30497</v>
      </c>
      <c r="C55">
        <v>125.80649170312562</v>
      </c>
      <c r="D55">
        <v>52.2</v>
      </c>
      <c r="E55">
        <v>0</v>
      </c>
      <c r="F55">
        <v>2.12328E-2</v>
      </c>
      <c r="G55">
        <v>7568.4560000000001</v>
      </c>
      <c r="H55">
        <v>187314</v>
      </c>
      <c r="I55">
        <v>1.8</v>
      </c>
      <c r="J55">
        <v>24.32</v>
      </c>
    </row>
    <row r="56" spans="1:10" x14ac:dyDescent="0.2">
      <c r="A56" s="1">
        <v>30498</v>
      </c>
      <c r="B56" s="1">
        <v>30589</v>
      </c>
      <c r="C56">
        <v>129.78266507848656</v>
      </c>
      <c r="D56">
        <v>52.1</v>
      </c>
      <c r="E56">
        <v>0</v>
      </c>
      <c r="F56">
        <v>5.0049999999999999E-3</v>
      </c>
      <c r="G56">
        <v>7719.7460000000001</v>
      </c>
      <c r="H56">
        <v>192527</v>
      </c>
      <c r="I56">
        <v>1.5</v>
      </c>
      <c r="J56">
        <v>24.74</v>
      </c>
    </row>
    <row r="57" spans="1:10" x14ac:dyDescent="0.2">
      <c r="A57" s="1">
        <v>30590</v>
      </c>
      <c r="B57" s="1">
        <v>30680</v>
      </c>
      <c r="C57">
        <v>134.39723302247083</v>
      </c>
      <c r="D57">
        <v>52.8</v>
      </c>
      <c r="E57">
        <v>0.18594269999999999</v>
      </c>
      <c r="F57">
        <v>3.7188499999999999E-2</v>
      </c>
      <c r="G57">
        <v>7880.7939999999999</v>
      </c>
      <c r="H57">
        <v>195759</v>
      </c>
      <c r="I57">
        <v>2.1</v>
      </c>
      <c r="J57">
        <v>25.32</v>
      </c>
    </row>
    <row r="58" spans="1:10" x14ac:dyDescent="0.2">
      <c r="A58" s="1">
        <v>30682</v>
      </c>
      <c r="B58" s="1">
        <v>30771</v>
      </c>
      <c r="C58">
        <v>137.65303468438367</v>
      </c>
      <c r="D58">
        <v>52.6</v>
      </c>
      <c r="E58">
        <v>0.18818219999999999</v>
      </c>
      <c r="F58">
        <v>5.6230700000000002E-2</v>
      </c>
      <c r="G58">
        <v>8034.8469999999998</v>
      </c>
      <c r="H58">
        <v>200558</v>
      </c>
      <c r="I58">
        <v>1.4</v>
      </c>
      <c r="J58">
        <v>25.21</v>
      </c>
    </row>
    <row r="59" spans="1:10" x14ac:dyDescent="0.2">
      <c r="A59" s="1">
        <v>30773</v>
      </c>
      <c r="B59" s="1">
        <v>30863</v>
      </c>
      <c r="C59">
        <v>134.51214690608782</v>
      </c>
      <c r="D59">
        <v>52.9</v>
      </c>
      <c r="E59">
        <v>0</v>
      </c>
      <c r="F59">
        <v>2.5016300000000002E-2</v>
      </c>
      <c r="G59">
        <v>8173.67</v>
      </c>
      <c r="H59">
        <v>202890</v>
      </c>
      <c r="I59">
        <v>1.5</v>
      </c>
      <c r="J59">
        <v>25.28</v>
      </c>
    </row>
    <row r="60" spans="1:10" x14ac:dyDescent="0.2">
      <c r="A60" s="1">
        <v>30864</v>
      </c>
      <c r="B60" s="1">
        <v>30955</v>
      </c>
      <c r="C60">
        <v>130.43882184298306</v>
      </c>
      <c r="D60">
        <v>53.2</v>
      </c>
      <c r="E60">
        <v>0</v>
      </c>
      <c r="F60">
        <v>6.2727E-3</v>
      </c>
      <c r="G60">
        <v>8252.4650000000001</v>
      </c>
      <c r="H60">
        <v>204763</v>
      </c>
      <c r="I60">
        <v>1.2</v>
      </c>
      <c r="J60">
        <v>25.59</v>
      </c>
    </row>
    <row r="61" spans="1:10" x14ac:dyDescent="0.2">
      <c r="A61" s="1">
        <v>30956</v>
      </c>
      <c r="B61" s="1">
        <v>31046</v>
      </c>
      <c r="C61">
        <v>133.82938379864439</v>
      </c>
      <c r="D61">
        <v>53</v>
      </c>
      <c r="E61">
        <v>0</v>
      </c>
      <c r="F61">
        <v>0</v>
      </c>
      <c r="G61">
        <v>8320.1990000000005</v>
      </c>
      <c r="H61">
        <v>205998</v>
      </c>
      <c r="I61">
        <v>1.4</v>
      </c>
      <c r="J61">
        <v>25.98</v>
      </c>
    </row>
    <row r="62" spans="1:10" x14ac:dyDescent="0.2">
      <c r="A62" s="1">
        <v>31048</v>
      </c>
      <c r="B62" s="1">
        <v>31136</v>
      </c>
      <c r="C62">
        <v>123.55458545700601</v>
      </c>
      <c r="D62">
        <v>52.8</v>
      </c>
      <c r="E62">
        <v>2.9015800000000001E-2</v>
      </c>
      <c r="F62">
        <v>5.8031999999999997E-3</v>
      </c>
      <c r="G62">
        <v>8400.82</v>
      </c>
      <c r="H62">
        <v>209056</v>
      </c>
      <c r="I62">
        <v>1.6</v>
      </c>
      <c r="J62">
        <v>26.33</v>
      </c>
    </row>
    <row r="63" spans="1:10" x14ac:dyDescent="0.2">
      <c r="A63" s="1">
        <v>31138</v>
      </c>
      <c r="B63" s="1">
        <v>31228</v>
      </c>
      <c r="C63">
        <v>109.43139218409239</v>
      </c>
      <c r="D63">
        <v>49.4</v>
      </c>
      <c r="E63">
        <v>0</v>
      </c>
      <c r="F63">
        <v>2.9015999999999998E-3</v>
      </c>
      <c r="G63">
        <v>8474.7870000000003</v>
      </c>
      <c r="H63">
        <v>213736</v>
      </c>
      <c r="I63">
        <v>2.1</v>
      </c>
      <c r="J63">
        <v>26.95</v>
      </c>
    </row>
    <row r="64" spans="1:10" x14ac:dyDescent="0.2">
      <c r="A64" s="1">
        <v>31229</v>
      </c>
      <c r="B64" s="1">
        <v>31320</v>
      </c>
      <c r="C64">
        <v>112.74262186023043</v>
      </c>
      <c r="D64">
        <v>48.7</v>
      </c>
      <c r="E64">
        <v>0</v>
      </c>
      <c r="F64">
        <v>9.6719999999999998E-4</v>
      </c>
      <c r="G64">
        <v>8604.2199999999993</v>
      </c>
      <c r="H64">
        <v>216480</v>
      </c>
      <c r="I64">
        <v>2.1</v>
      </c>
      <c r="J64">
        <v>27.56</v>
      </c>
    </row>
    <row r="65" spans="1:10" x14ac:dyDescent="0.2">
      <c r="A65" s="1">
        <v>31321</v>
      </c>
      <c r="B65" s="1">
        <v>31411</v>
      </c>
      <c r="C65">
        <v>106.52886021775561</v>
      </c>
      <c r="D65">
        <v>46.6</v>
      </c>
      <c r="E65">
        <v>0</v>
      </c>
      <c r="F65">
        <v>0</v>
      </c>
      <c r="G65">
        <v>8668.1880000000001</v>
      </c>
      <c r="H65">
        <v>215854</v>
      </c>
      <c r="I65">
        <v>2.1</v>
      </c>
      <c r="J65">
        <v>28.11</v>
      </c>
    </row>
    <row r="66" spans="1:10" x14ac:dyDescent="0.2">
      <c r="A66" s="1">
        <v>31413</v>
      </c>
      <c r="B66" s="1">
        <v>31501</v>
      </c>
      <c r="C66">
        <v>106.28290650652605</v>
      </c>
      <c r="D66">
        <v>46.4</v>
      </c>
      <c r="E66">
        <v>0</v>
      </c>
      <c r="F66">
        <v>0</v>
      </c>
      <c r="G66">
        <v>8749.1270000000004</v>
      </c>
      <c r="H66">
        <v>217350</v>
      </c>
      <c r="I66">
        <v>2.2999999999999998</v>
      </c>
      <c r="J66">
        <v>28.76</v>
      </c>
    </row>
    <row r="67" spans="1:10" x14ac:dyDescent="0.2">
      <c r="A67" s="1">
        <v>31503</v>
      </c>
      <c r="B67" s="1">
        <v>31593</v>
      </c>
      <c r="C67">
        <v>105.42006507442414</v>
      </c>
      <c r="D67">
        <v>46.4</v>
      </c>
      <c r="E67">
        <v>0</v>
      </c>
      <c r="F67">
        <v>0</v>
      </c>
      <c r="G67">
        <v>8788.5239999999994</v>
      </c>
      <c r="H67">
        <v>216958</v>
      </c>
      <c r="I67">
        <v>2</v>
      </c>
      <c r="J67">
        <v>29.23</v>
      </c>
    </row>
    <row r="68" spans="1:10" x14ac:dyDescent="0.2">
      <c r="A68" s="1">
        <v>31594</v>
      </c>
      <c r="B68" s="1">
        <v>31685</v>
      </c>
      <c r="C68">
        <v>90.849510750424557</v>
      </c>
      <c r="D68">
        <v>44.3</v>
      </c>
      <c r="E68">
        <v>6.1523300000000003E-2</v>
      </c>
      <c r="F68">
        <v>1.23047E-2</v>
      </c>
      <c r="G68">
        <v>8872.6010000000006</v>
      </c>
      <c r="H68">
        <v>217527</v>
      </c>
      <c r="I68">
        <v>2.2000000000000002</v>
      </c>
      <c r="J68">
        <v>30</v>
      </c>
    </row>
    <row r="69" spans="1:10" x14ac:dyDescent="0.2">
      <c r="A69" s="1">
        <v>31686</v>
      </c>
      <c r="B69" s="1">
        <v>31776</v>
      </c>
      <c r="C69">
        <v>95.972369531829457</v>
      </c>
      <c r="D69">
        <v>44.2</v>
      </c>
      <c r="E69">
        <v>0</v>
      </c>
      <c r="F69">
        <v>6.1523000000000003E-3</v>
      </c>
      <c r="G69">
        <v>8920.1929999999993</v>
      </c>
      <c r="H69">
        <v>221092</v>
      </c>
      <c r="I69">
        <v>2.4</v>
      </c>
      <c r="J69">
        <v>30.85</v>
      </c>
    </row>
    <row r="70" spans="1:10" x14ac:dyDescent="0.2">
      <c r="A70" s="1">
        <v>31778</v>
      </c>
      <c r="B70" s="1">
        <v>31866</v>
      </c>
      <c r="C70">
        <v>97.577349056459312</v>
      </c>
      <c r="D70">
        <v>44.5</v>
      </c>
      <c r="E70">
        <v>3.8639899999999998E-2</v>
      </c>
      <c r="F70">
        <v>9.7788000000000007E-3</v>
      </c>
      <c r="G70">
        <v>8986.3670000000002</v>
      </c>
      <c r="H70">
        <v>223314</v>
      </c>
      <c r="I70">
        <v>2</v>
      </c>
      <c r="J70">
        <v>31.47</v>
      </c>
    </row>
    <row r="71" spans="1:10" x14ac:dyDescent="0.2">
      <c r="A71" s="1">
        <v>31868</v>
      </c>
      <c r="B71" s="1">
        <v>31958</v>
      </c>
      <c r="C71">
        <v>101.49921822773322</v>
      </c>
      <c r="D71">
        <v>45.4</v>
      </c>
      <c r="E71">
        <v>0</v>
      </c>
      <c r="F71">
        <v>3.8639999999999998E-3</v>
      </c>
      <c r="G71">
        <v>9083.2559999999994</v>
      </c>
      <c r="H71">
        <v>226866</v>
      </c>
      <c r="I71">
        <v>1.9</v>
      </c>
      <c r="J71">
        <v>31.93</v>
      </c>
    </row>
    <row r="72" spans="1:10" x14ac:dyDescent="0.2">
      <c r="A72" s="1">
        <v>31959</v>
      </c>
      <c r="B72" s="1">
        <v>32050</v>
      </c>
      <c r="C72">
        <v>103.05213310773682</v>
      </c>
      <c r="D72">
        <v>46.6</v>
      </c>
      <c r="E72">
        <v>0</v>
      </c>
      <c r="F72">
        <v>1.2880000000000001E-3</v>
      </c>
      <c r="G72">
        <v>9162.0239999999994</v>
      </c>
      <c r="H72">
        <v>230956</v>
      </c>
      <c r="I72">
        <v>1.6</v>
      </c>
      <c r="J72">
        <v>32.47</v>
      </c>
    </row>
    <row r="73" spans="1:10" x14ac:dyDescent="0.2">
      <c r="A73" s="1">
        <v>32051</v>
      </c>
      <c r="B73" s="1">
        <v>32141</v>
      </c>
      <c r="C73">
        <v>98.611948250851228</v>
      </c>
      <c r="D73">
        <v>46.7</v>
      </c>
      <c r="E73">
        <v>4.6869099999999997E-2</v>
      </c>
      <c r="F73">
        <v>9.3737999999999998E-3</v>
      </c>
      <c r="G73">
        <v>9319.3320000000003</v>
      </c>
      <c r="H73">
        <v>235600</v>
      </c>
      <c r="I73">
        <v>1.8</v>
      </c>
      <c r="J73">
        <v>33.049999999999997</v>
      </c>
    </row>
    <row r="74" spans="1:10" x14ac:dyDescent="0.2">
      <c r="A74" s="1">
        <v>32143</v>
      </c>
      <c r="B74" s="1">
        <v>32232</v>
      </c>
      <c r="C74">
        <v>99.205587171224735</v>
      </c>
      <c r="D74">
        <v>49</v>
      </c>
      <c r="E74">
        <v>0.23657439999999999</v>
      </c>
      <c r="F74">
        <v>5.2001800000000001E-2</v>
      </c>
      <c r="G74">
        <v>9367.5020000000004</v>
      </c>
      <c r="H74">
        <v>236610</v>
      </c>
      <c r="I74">
        <v>1.7</v>
      </c>
      <c r="J74">
        <v>33.630000000000003</v>
      </c>
    </row>
    <row r="75" spans="1:10" x14ac:dyDescent="0.2">
      <c r="A75" s="1">
        <v>32234</v>
      </c>
      <c r="B75" s="1">
        <v>32324</v>
      </c>
      <c r="C75">
        <v>107.46640605267092</v>
      </c>
      <c r="D75">
        <v>51.1</v>
      </c>
      <c r="E75">
        <v>0</v>
      </c>
      <c r="F75">
        <v>2.5219700000000001E-2</v>
      </c>
      <c r="G75">
        <v>9490.5939999999991</v>
      </c>
      <c r="H75">
        <v>236840</v>
      </c>
      <c r="I75">
        <v>1.9</v>
      </c>
      <c r="J75">
        <v>34.21</v>
      </c>
    </row>
    <row r="76" spans="1:10" x14ac:dyDescent="0.2">
      <c r="A76" s="1">
        <v>32325</v>
      </c>
      <c r="B76" s="1">
        <v>32416</v>
      </c>
      <c r="C76">
        <v>115.20148615671741</v>
      </c>
      <c r="D76">
        <v>53.9</v>
      </c>
      <c r="E76">
        <v>7.4222499999999997E-2</v>
      </c>
      <c r="F76">
        <v>2.2730299999999998E-2</v>
      </c>
      <c r="G76">
        <v>9546.2060000000001</v>
      </c>
      <c r="H76">
        <v>238744</v>
      </c>
      <c r="I76">
        <v>1.7</v>
      </c>
      <c r="J76">
        <v>34.869999999999997</v>
      </c>
    </row>
    <row r="77" spans="1:10" x14ac:dyDescent="0.2">
      <c r="A77" s="1">
        <v>32417</v>
      </c>
      <c r="B77" s="1">
        <v>32507</v>
      </c>
      <c r="C77">
        <v>117.78698438204739</v>
      </c>
      <c r="D77">
        <v>54.3</v>
      </c>
      <c r="E77">
        <v>0</v>
      </c>
      <c r="F77">
        <v>7.4222999999999997E-3</v>
      </c>
      <c r="G77">
        <v>9673.4050000000007</v>
      </c>
      <c r="H77">
        <v>242638</v>
      </c>
      <c r="I77">
        <v>1.6</v>
      </c>
      <c r="J77">
        <v>35.57</v>
      </c>
    </row>
    <row r="78" spans="1:10" x14ac:dyDescent="0.2">
      <c r="A78" s="1">
        <v>32509</v>
      </c>
      <c r="B78" s="1">
        <v>32597</v>
      </c>
      <c r="C78">
        <v>120.51088922228656</v>
      </c>
      <c r="D78">
        <v>56.9</v>
      </c>
      <c r="E78">
        <v>0</v>
      </c>
      <c r="F78">
        <v>2.4740999999999999E-3</v>
      </c>
      <c r="G78">
        <v>9771.7250000000004</v>
      </c>
      <c r="H78">
        <v>244905</v>
      </c>
      <c r="I78">
        <v>1.3</v>
      </c>
      <c r="J78">
        <v>35.909999999999997</v>
      </c>
    </row>
    <row r="79" spans="1:10" x14ac:dyDescent="0.2">
      <c r="A79" s="1">
        <v>32599</v>
      </c>
      <c r="B79" s="1">
        <v>32689</v>
      </c>
      <c r="C79">
        <v>114.43015457365439</v>
      </c>
      <c r="D79">
        <v>56.6</v>
      </c>
      <c r="E79">
        <v>0</v>
      </c>
      <c r="F79">
        <v>0</v>
      </c>
      <c r="G79">
        <v>9846.2929999999997</v>
      </c>
      <c r="H79">
        <v>250181</v>
      </c>
      <c r="I79">
        <v>1.6</v>
      </c>
      <c r="J79">
        <v>36.799999999999997</v>
      </c>
    </row>
    <row r="80" spans="1:10" x14ac:dyDescent="0.2">
      <c r="A80" s="1">
        <v>32690</v>
      </c>
      <c r="B80" s="1">
        <v>32781</v>
      </c>
      <c r="C80">
        <v>114.13276156351415</v>
      </c>
      <c r="D80">
        <v>55.6</v>
      </c>
      <c r="E80">
        <v>0</v>
      </c>
      <c r="F80">
        <v>0</v>
      </c>
      <c r="G80">
        <v>9919.2279999999992</v>
      </c>
      <c r="H80">
        <v>252319</v>
      </c>
      <c r="I80">
        <v>1.5</v>
      </c>
      <c r="J80">
        <v>37.65</v>
      </c>
    </row>
    <row r="81" spans="1:10" x14ac:dyDescent="0.2">
      <c r="A81" s="1">
        <v>32782</v>
      </c>
      <c r="B81" s="1">
        <v>32872</v>
      </c>
      <c r="C81">
        <v>117.23623706300226</v>
      </c>
      <c r="D81">
        <v>55.8</v>
      </c>
      <c r="E81">
        <v>0</v>
      </c>
      <c r="F81">
        <v>0</v>
      </c>
      <c r="G81">
        <v>9938.7669999999998</v>
      </c>
      <c r="H81">
        <v>251640</v>
      </c>
      <c r="I81">
        <v>1.7</v>
      </c>
      <c r="J81">
        <v>38.35</v>
      </c>
    </row>
    <row r="82" spans="1:10" x14ac:dyDescent="0.2">
      <c r="A82" s="1">
        <v>32874</v>
      </c>
      <c r="B82" s="1">
        <v>32962</v>
      </c>
      <c r="C82">
        <v>116.13691090824065</v>
      </c>
      <c r="D82">
        <v>55.7</v>
      </c>
      <c r="E82">
        <v>0</v>
      </c>
      <c r="F82">
        <v>0</v>
      </c>
      <c r="G82">
        <v>10047.386</v>
      </c>
      <c r="H82">
        <v>253536</v>
      </c>
      <c r="I82">
        <v>1.7</v>
      </c>
      <c r="J82">
        <v>39.01</v>
      </c>
    </row>
    <row r="83" spans="1:10" x14ac:dyDescent="0.2">
      <c r="A83" s="1">
        <v>32964</v>
      </c>
      <c r="B83" s="1">
        <v>33054</v>
      </c>
      <c r="C83">
        <v>118.63900256853672</v>
      </c>
      <c r="D83">
        <v>56</v>
      </c>
      <c r="E83">
        <v>6.8124500000000004E-2</v>
      </c>
      <c r="F83">
        <v>1.3624900000000001E-2</v>
      </c>
      <c r="G83">
        <v>10083.855</v>
      </c>
      <c r="H83">
        <v>253863</v>
      </c>
      <c r="I83">
        <v>1.7</v>
      </c>
      <c r="J83">
        <v>39.630000000000003</v>
      </c>
    </row>
    <row r="84" spans="1:10" x14ac:dyDescent="0.2">
      <c r="A84" s="1">
        <v>33055</v>
      </c>
      <c r="B84" s="1">
        <v>33146</v>
      </c>
      <c r="C84">
        <v>120.72642978349886</v>
      </c>
      <c r="D84">
        <v>55.4</v>
      </c>
      <c r="E84">
        <v>0.42667319999999997</v>
      </c>
      <c r="F84">
        <v>9.2147099999999996E-2</v>
      </c>
      <c r="G84">
        <v>10090.569</v>
      </c>
      <c r="H84">
        <v>252550</v>
      </c>
      <c r="I84">
        <v>1.3</v>
      </c>
      <c r="J84">
        <v>39.94</v>
      </c>
    </row>
    <row r="85" spans="1:10" x14ac:dyDescent="0.2">
      <c r="A85" s="1">
        <v>33147</v>
      </c>
      <c r="B85" s="1">
        <v>33237</v>
      </c>
      <c r="C85">
        <v>113.32673432082314</v>
      </c>
      <c r="D85">
        <v>52.7</v>
      </c>
      <c r="E85">
        <v>5.07202E-2</v>
      </c>
      <c r="F85">
        <v>5.5082199999999998E-2</v>
      </c>
      <c r="G85">
        <v>9998.7039999999997</v>
      </c>
      <c r="H85">
        <v>253941</v>
      </c>
      <c r="I85">
        <v>1.8</v>
      </c>
      <c r="J85">
        <v>40.98</v>
      </c>
    </row>
    <row r="86" spans="1:10" x14ac:dyDescent="0.2">
      <c r="A86" s="1">
        <v>33239</v>
      </c>
      <c r="B86" s="1">
        <v>33327</v>
      </c>
      <c r="C86">
        <v>113.74431330891555</v>
      </c>
      <c r="D86">
        <v>51.9</v>
      </c>
      <c r="E86">
        <v>6.4086099999999993E-2</v>
      </c>
      <c r="F86">
        <v>3.21117E-2</v>
      </c>
      <c r="G86">
        <v>9951.9159999999993</v>
      </c>
      <c r="H86">
        <v>250758</v>
      </c>
      <c r="I86">
        <v>0.8</v>
      </c>
      <c r="J86">
        <v>40.9</v>
      </c>
    </row>
    <row r="87" spans="1:10" x14ac:dyDescent="0.2">
      <c r="A87" s="1">
        <v>33329</v>
      </c>
      <c r="B87" s="1">
        <v>33419</v>
      </c>
      <c r="C87">
        <v>117.0980312332766</v>
      </c>
      <c r="D87">
        <v>51.4</v>
      </c>
      <c r="E87">
        <v>0.1433007</v>
      </c>
      <c r="F87">
        <v>3.6759399999999998E-2</v>
      </c>
      <c r="G87">
        <v>10029.51</v>
      </c>
      <c r="H87">
        <v>250219</v>
      </c>
      <c r="I87">
        <v>1.1000000000000001</v>
      </c>
      <c r="J87">
        <v>40.98</v>
      </c>
    </row>
    <row r="88" spans="1:10" x14ac:dyDescent="0.2">
      <c r="A88" s="1">
        <v>33420</v>
      </c>
      <c r="B88" s="1">
        <v>33511</v>
      </c>
      <c r="C88">
        <v>118.80022140362259</v>
      </c>
      <c r="D88">
        <v>51.6</v>
      </c>
      <c r="E88">
        <v>0.4162981</v>
      </c>
      <c r="F88">
        <v>9.9725900000000006E-2</v>
      </c>
      <c r="G88">
        <v>10080.195</v>
      </c>
      <c r="H88">
        <v>251377</v>
      </c>
      <c r="I88">
        <v>1.1000000000000001</v>
      </c>
      <c r="J88">
        <v>41.21</v>
      </c>
    </row>
    <row r="89" spans="1:10" x14ac:dyDescent="0.2">
      <c r="A89" s="1">
        <v>33512</v>
      </c>
      <c r="B89" s="1">
        <v>33602</v>
      </c>
      <c r="C89">
        <v>115.73288510113173</v>
      </c>
      <c r="D89">
        <v>51</v>
      </c>
      <c r="E89">
        <v>0.1957586</v>
      </c>
      <c r="F89">
        <v>8.5558200000000001E-2</v>
      </c>
      <c r="G89">
        <v>10115.329</v>
      </c>
      <c r="H89">
        <v>251541</v>
      </c>
      <c r="I89">
        <v>0.7</v>
      </c>
      <c r="J89">
        <v>41.6</v>
      </c>
    </row>
    <row r="90" spans="1:10" x14ac:dyDescent="0.2">
      <c r="A90" s="1">
        <v>33604</v>
      </c>
      <c r="B90" s="1">
        <v>33693</v>
      </c>
      <c r="C90">
        <v>110.47056331244316</v>
      </c>
      <c r="D90">
        <v>51.2</v>
      </c>
      <c r="E90">
        <v>0.88483529999999999</v>
      </c>
      <c r="F90">
        <v>0.21041950000000001</v>
      </c>
      <c r="G90">
        <v>10236.434999999999</v>
      </c>
      <c r="H90">
        <v>253547</v>
      </c>
      <c r="I90">
        <v>0.4</v>
      </c>
      <c r="J90">
        <v>41.6</v>
      </c>
    </row>
    <row r="91" spans="1:10" x14ac:dyDescent="0.2">
      <c r="A91" s="1">
        <v>33695</v>
      </c>
      <c r="B91" s="1">
        <v>33785</v>
      </c>
      <c r="C91">
        <v>111.53803449079022</v>
      </c>
      <c r="D91">
        <v>50.7</v>
      </c>
      <c r="E91">
        <v>5.9998799999999998E-2</v>
      </c>
      <c r="F91">
        <v>0.1070086</v>
      </c>
      <c r="G91">
        <v>10347.429</v>
      </c>
      <c r="H91">
        <v>255366</v>
      </c>
      <c r="I91">
        <v>0.6</v>
      </c>
      <c r="J91">
        <v>41.48</v>
      </c>
    </row>
    <row r="92" spans="1:10" x14ac:dyDescent="0.2">
      <c r="A92" s="1">
        <v>33786</v>
      </c>
      <c r="B92" s="1">
        <v>33877</v>
      </c>
      <c r="C92">
        <v>104.20372843964687</v>
      </c>
      <c r="D92">
        <v>49.9</v>
      </c>
      <c r="E92">
        <v>6.4913999999999999E-2</v>
      </c>
      <c r="F92">
        <v>4.8477199999999998E-2</v>
      </c>
      <c r="G92">
        <v>10449.673000000001</v>
      </c>
      <c r="H92">
        <v>257852</v>
      </c>
      <c r="I92">
        <v>0.5</v>
      </c>
      <c r="J92">
        <v>41.52</v>
      </c>
    </row>
    <row r="93" spans="1:10" x14ac:dyDescent="0.2">
      <c r="A93" s="1">
        <v>33878</v>
      </c>
      <c r="B93" s="1">
        <v>33968</v>
      </c>
      <c r="C93">
        <v>101.57853734620592</v>
      </c>
      <c r="D93">
        <v>49.2</v>
      </c>
      <c r="E93">
        <v>0</v>
      </c>
      <c r="F93">
        <v>8.4913999999999996E-3</v>
      </c>
      <c r="G93">
        <v>10558.647999999999</v>
      </c>
      <c r="H93">
        <v>263251</v>
      </c>
      <c r="I93">
        <v>0.5</v>
      </c>
      <c r="J93">
        <v>41.71</v>
      </c>
    </row>
    <row r="94" spans="1:10" x14ac:dyDescent="0.2">
      <c r="A94" s="1">
        <v>33970</v>
      </c>
      <c r="B94" s="1">
        <v>34058</v>
      </c>
      <c r="C94">
        <v>101.12837752975817</v>
      </c>
      <c r="D94">
        <v>49.3</v>
      </c>
      <c r="E94">
        <v>0.15658440000000001</v>
      </c>
      <c r="F94">
        <v>3.3480700000000002E-2</v>
      </c>
      <c r="G94">
        <v>10576.275</v>
      </c>
      <c r="H94">
        <v>265081</v>
      </c>
      <c r="I94">
        <v>0.5</v>
      </c>
      <c r="J94">
        <v>42.1</v>
      </c>
    </row>
    <row r="95" spans="1:10" x14ac:dyDescent="0.2">
      <c r="A95" s="1">
        <v>34060</v>
      </c>
      <c r="B95" s="1">
        <v>34150</v>
      </c>
      <c r="C95">
        <v>98.577171275870739</v>
      </c>
      <c r="D95">
        <v>47.9</v>
      </c>
      <c r="E95">
        <v>0.24487300000000001</v>
      </c>
      <c r="F95">
        <v>6.4632999999999996E-2</v>
      </c>
      <c r="G95">
        <v>10637.847</v>
      </c>
      <c r="H95">
        <v>266583</v>
      </c>
      <c r="I95">
        <v>0.6</v>
      </c>
      <c r="J95">
        <v>42.25</v>
      </c>
    </row>
    <row r="96" spans="1:10" x14ac:dyDescent="0.2">
      <c r="A96" s="1">
        <v>34151</v>
      </c>
      <c r="B96" s="1">
        <v>34242</v>
      </c>
      <c r="C96">
        <v>94.580448359171342</v>
      </c>
      <c r="D96">
        <v>47.6</v>
      </c>
      <c r="E96">
        <v>0.1594981</v>
      </c>
      <c r="F96">
        <v>6.1606399999999999E-2</v>
      </c>
      <c r="G96">
        <v>10688.606</v>
      </c>
      <c r="H96">
        <v>266905</v>
      </c>
      <c r="I96">
        <v>0.5</v>
      </c>
      <c r="J96">
        <v>42.45</v>
      </c>
    </row>
    <row r="97" spans="1:10" x14ac:dyDescent="0.2">
      <c r="A97" s="1">
        <v>34243</v>
      </c>
      <c r="B97" s="1">
        <v>34333</v>
      </c>
      <c r="C97">
        <v>94.679414240515925</v>
      </c>
      <c r="D97">
        <v>47.4</v>
      </c>
      <c r="E97">
        <v>5.2487899999999997E-2</v>
      </c>
      <c r="F97">
        <v>3.4609800000000003E-2</v>
      </c>
      <c r="G97">
        <v>10833.986999999999</v>
      </c>
      <c r="H97">
        <v>271805</v>
      </c>
      <c r="I97">
        <v>0.6</v>
      </c>
      <c r="J97">
        <v>42.53</v>
      </c>
    </row>
    <row r="98" spans="1:10" x14ac:dyDescent="0.2">
      <c r="A98" s="1">
        <v>34335</v>
      </c>
      <c r="B98" s="1">
        <v>34423</v>
      </c>
      <c r="C98">
        <v>101.85091637971546</v>
      </c>
      <c r="D98">
        <v>48</v>
      </c>
      <c r="E98">
        <v>0.20150460000000001</v>
      </c>
      <c r="F98">
        <v>5.0866300000000003E-2</v>
      </c>
      <c r="G98">
        <v>10939.116</v>
      </c>
      <c r="H98">
        <v>276336</v>
      </c>
      <c r="I98">
        <v>0.5</v>
      </c>
      <c r="J98">
        <v>42.68</v>
      </c>
    </row>
    <row r="99" spans="1:10" x14ac:dyDescent="0.2">
      <c r="A99" s="1">
        <v>34425</v>
      </c>
      <c r="B99" s="1">
        <v>34515</v>
      </c>
      <c r="C99">
        <v>102.12988746410845</v>
      </c>
      <c r="D99">
        <v>47.8</v>
      </c>
      <c r="E99">
        <v>0.17808379999999999</v>
      </c>
      <c r="F99">
        <v>5.75168E-2</v>
      </c>
      <c r="G99">
        <v>11087.361000000001</v>
      </c>
      <c r="H99">
        <v>279611</v>
      </c>
      <c r="I99">
        <v>0.6</v>
      </c>
      <c r="J99">
        <v>42.99</v>
      </c>
    </row>
    <row r="100" spans="1:10" x14ac:dyDescent="0.2">
      <c r="A100" s="1">
        <v>34516</v>
      </c>
      <c r="B100" s="1">
        <v>34607</v>
      </c>
      <c r="C100">
        <v>101.42180870220876</v>
      </c>
      <c r="D100">
        <v>48.1</v>
      </c>
      <c r="E100">
        <v>0.1137527</v>
      </c>
      <c r="F100">
        <v>4.7275699999999997E-2</v>
      </c>
      <c r="G100">
        <v>11152.175999999999</v>
      </c>
      <c r="H100">
        <v>281720</v>
      </c>
      <c r="I100">
        <v>0.6</v>
      </c>
      <c r="J100">
        <v>43.26</v>
      </c>
    </row>
    <row r="101" spans="1:10" x14ac:dyDescent="0.2">
      <c r="A101" s="1">
        <v>34608</v>
      </c>
      <c r="B101" s="1">
        <v>34698</v>
      </c>
      <c r="C101">
        <v>102.7416439717979</v>
      </c>
      <c r="D101">
        <v>49.8</v>
      </c>
      <c r="E101">
        <v>6.0532700000000002E-2</v>
      </c>
      <c r="F101">
        <v>2.94179E-2</v>
      </c>
      <c r="G101">
        <v>11279.932000000001</v>
      </c>
      <c r="H101">
        <v>284892</v>
      </c>
      <c r="I101">
        <v>0.5</v>
      </c>
      <c r="J101">
        <v>43.61</v>
      </c>
    </row>
    <row r="102" spans="1:10" x14ac:dyDescent="0.2">
      <c r="A102" s="1">
        <v>34700</v>
      </c>
      <c r="B102" s="1">
        <v>34788</v>
      </c>
      <c r="C102">
        <v>100</v>
      </c>
      <c r="D102">
        <v>50.1</v>
      </c>
      <c r="E102">
        <v>0</v>
      </c>
      <c r="F102">
        <v>9.8449999999999996E-3</v>
      </c>
      <c r="G102">
        <v>11319.950999999999</v>
      </c>
      <c r="H102">
        <v>284634</v>
      </c>
      <c r="I102">
        <v>0.5</v>
      </c>
      <c r="J102">
        <v>44.34</v>
      </c>
    </row>
    <row r="103" spans="1:10" x14ac:dyDescent="0.2">
      <c r="A103" s="1">
        <v>34790</v>
      </c>
      <c r="B103" s="1">
        <v>34880</v>
      </c>
      <c r="C103">
        <v>93.073146160131898</v>
      </c>
      <c r="D103">
        <v>49.5</v>
      </c>
      <c r="E103">
        <v>0.13617480000000001</v>
      </c>
      <c r="F103">
        <v>2.92527E-2</v>
      </c>
      <c r="G103">
        <v>11353.721</v>
      </c>
      <c r="H103">
        <v>285994</v>
      </c>
      <c r="I103">
        <v>0.9</v>
      </c>
      <c r="J103">
        <v>44.92</v>
      </c>
    </row>
    <row r="104" spans="1:10" x14ac:dyDescent="0.2">
      <c r="A104" s="1">
        <v>34881</v>
      </c>
      <c r="B104" s="1">
        <v>34972</v>
      </c>
      <c r="C104">
        <v>97.999041207501989</v>
      </c>
      <c r="D104">
        <v>49.8</v>
      </c>
      <c r="E104">
        <v>0</v>
      </c>
      <c r="F104">
        <v>1.3617499999999999E-2</v>
      </c>
      <c r="G104">
        <v>11450.31</v>
      </c>
      <c r="H104">
        <v>292541</v>
      </c>
      <c r="I104">
        <v>1</v>
      </c>
      <c r="J104">
        <v>45.46</v>
      </c>
    </row>
    <row r="105" spans="1:10" x14ac:dyDescent="0.2">
      <c r="A105" s="1">
        <v>34973</v>
      </c>
      <c r="B105" s="1">
        <v>35063</v>
      </c>
      <c r="C105">
        <v>100.91508489030775</v>
      </c>
      <c r="D105">
        <v>50.4</v>
      </c>
      <c r="E105">
        <v>6.4127199999999995E-2</v>
      </c>
      <c r="F105">
        <v>1.7364600000000001E-2</v>
      </c>
      <c r="G105">
        <v>11528.066999999999</v>
      </c>
      <c r="H105">
        <v>292613</v>
      </c>
      <c r="I105">
        <v>0.7</v>
      </c>
      <c r="J105">
        <v>45.81</v>
      </c>
    </row>
    <row r="106" spans="1:10" x14ac:dyDescent="0.2">
      <c r="A106" s="1">
        <v>35065</v>
      </c>
      <c r="B106" s="1">
        <v>35154</v>
      </c>
      <c r="C106">
        <v>103.1229432497979</v>
      </c>
      <c r="D106">
        <v>51.1</v>
      </c>
      <c r="E106">
        <v>0.22746230000000001</v>
      </c>
      <c r="F106">
        <v>5.1905199999999999E-2</v>
      </c>
      <c r="G106">
        <v>11614.418</v>
      </c>
      <c r="H106">
        <v>297071</v>
      </c>
      <c r="I106">
        <v>0.6</v>
      </c>
      <c r="J106">
        <v>46</v>
      </c>
    </row>
    <row r="107" spans="1:10" x14ac:dyDescent="0.2">
      <c r="A107" s="1">
        <v>35156</v>
      </c>
      <c r="B107" s="1">
        <v>35246</v>
      </c>
      <c r="C107">
        <v>108.52970213380728</v>
      </c>
      <c r="D107">
        <v>52.1</v>
      </c>
      <c r="E107">
        <v>7.3730000000000004E-2</v>
      </c>
      <c r="F107">
        <v>3.96298E-2</v>
      </c>
      <c r="G107">
        <v>11808.14</v>
      </c>
      <c r="H107">
        <v>298977</v>
      </c>
      <c r="I107">
        <v>0.7</v>
      </c>
      <c r="J107">
        <v>46.31</v>
      </c>
    </row>
    <row r="108" spans="1:10" x14ac:dyDescent="0.2">
      <c r="A108" s="1">
        <v>35247</v>
      </c>
      <c r="B108" s="1">
        <v>35338</v>
      </c>
      <c r="C108">
        <v>108.22504268142789</v>
      </c>
      <c r="D108">
        <v>52.2</v>
      </c>
      <c r="E108">
        <v>0</v>
      </c>
      <c r="F108">
        <v>1.4955100000000001E-2</v>
      </c>
      <c r="G108">
        <v>11914.063</v>
      </c>
      <c r="H108">
        <v>301413</v>
      </c>
      <c r="I108">
        <v>0.5</v>
      </c>
      <c r="J108">
        <v>46.43</v>
      </c>
    </row>
    <row r="109" spans="1:10" x14ac:dyDescent="0.2">
      <c r="A109" s="1">
        <v>35339</v>
      </c>
      <c r="B109" s="1">
        <v>35429</v>
      </c>
      <c r="C109">
        <v>109.88117584266688</v>
      </c>
      <c r="D109">
        <v>52.2</v>
      </c>
      <c r="E109">
        <v>0.12562019999999999</v>
      </c>
      <c r="F109">
        <v>2.7581700000000001E-2</v>
      </c>
      <c r="G109">
        <v>12037.775</v>
      </c>
      <c r="H109">
        <v>304194</v>
      </c>
      <c r="I109">
        <v>0.5</v>
      </c>
      <c r="J109">
        <v>46.51</v>
      </c>
    </row>
    <row r="110" spans="1:10" x14ac:dyDescent="0.2">
      <c r="A110" s="1">
        <v>35431</v>
      </c>
      <c r="B110" s="1">
        <v>35519</v>
      </c>
      <c r="C110">
        <v>110.96341399345322</v>
      </c>
      <c r="D110">
        <v>52.3</v>
      </c>
      <c r="E110">
        <v>0.28808070000000002</v>
      </c>
      <c r="F110">
        <v>7.0178199999999996E-2</v>
      </c>
      <c r="G110">
        <v>12115.472</v>
      </c>
      <c r="H110">
        <v>306359</v>
      </c>
      <c r="I110">
        <v>0.7</v>
      </c>
      <c r="J110">
        <v>46.58</v>
      </c>
    </row>
    <row r="111" spans="1:10" x14ac:dyDescent="0.2">
      <c r="A111" s="1">
        <v>35521</v>
      </c>
      <c r="B111" s="1">
        <v>35611</v>
      </c>
      <c r="C111">
        <v>110.00737350452299</v>
      </c>
      <c r="D111">
        <v>52.8</v>
      </c>
      <c r="E111">
        <v>0.21321960000000001</v>
      </c>
      <c r="F111">
        <v>7.5639300000000007E-2</v>
      </c>
      <c r="G111">
        <v>12317.221</v>
      </c>
      <c r="H111">
        <v>315516</v>
      </c>
      <c r="I111">
        <v>0.3</v>
      </c>
      <c r="J111">
        <v>46.47</v>
      </c>
    </row>
    <row r="112" spans="1:10" x14ac:dyDescent="0.2">
      <c r="A112" s="1">
        <v>35612</v>
      </c>
      <c r="B112" s="1">
        <v>35703</v>
      </c>
      <c r="C112">
        <v>107.32491437582556</v>
      </c>
      <c r="D112">
        <v>52.7</v>
      </c>
      <c r="E112">
        <v>0</v>
      </c>
      <c r="F112">
        <v>3.09246E-2</v>
      </c>
      <c r="G112">
        <v>12471.01</v>
      </c>
      <c r="H112">
        <v>316000</v>
      </c>
      <c r="I112">
        <v>0.2</v>
      </c>
      <c r="J112">
        <v>46.28</v>
      </c>
    </row>
    <row r="113" spans="1:10" x14ac:dyDescent="0.2">
      <c r="A113" s="1">
        <v>35704</v>
      </c>
      <c r="B113" s="1">
        <v>35794</v>
      </c>
      <c r="C113">
        <v>107.76421040252542</v>
      </c>
      <c r="D113">
        <v>52.4</v>
      </c>
      <c r="E113">
        <v>0</v>
      </c>
      <c r="F113">
        <v>7.1073000000000004E-3</v>
      </c>
      <c r="G113">
        <v>12577.495000000001</v>
      </c>
      <c r="H113">
        <v>320517</v>
      </c>
      <c r="I113">
        <v>0.7</v>
      </c>
      <c r="J113">
        <v>46.39</v>
      </c>
    </row>
    <row r="114" spans="1:10" x14ac:dyDescent="0.2">
      <c r="A114" s="1">
        <v>35796</v>
      </c>
      <c r="B114" s="1">
        <v>35884</v>
      </c>
      <c r="C114">
        <v>111.62610200814763</v>
      </c>
      <c r="D114">
        <v>51.6</v>
      </c>
      <c r="E114">
        <v>0</v>
      </c>
      <c r="F114">
        <v>0</v>
      </c>
      <c r="G114">
        <v>12703.742</v>
      </c>
      <c r="H114">
        <v>322488</v>
      </c>
      <c r="I114">
        <v>0.5</v>
      </c>
      <c r="J114">
        <v>46.51</v>
      </c>
    </row>
    <row r="115" spans="1:10" x14ac:dyDescent="0.2">
      <c r="A115" s="1">
        <v>35886</v>
      </c>
      <c r="B115" s="1">
        <v>35976</v>
      </c>
      <c r="C115">
        <v>105.55306847991601</v>
      </c>
      <c r="D115">
        <v>51.4</v>
      </c>
      <c r="E115">
        <v>0</v>
      </c>
      <c r="F115">
        <v>0</v>
      </c>
      <c r="G115">
        <v>12821.339</v>
      </c>
      <c r="H115">
        <v>325884</v>
      </c>
      <c r="I115">
        <v>0.5</v>
      </c>
      <c r="J115">
        <v>46.78</v>
      </c>
    </row>
    <row r="116" spans="1:10" x14ac:dyDescent="0.2">
      <c r="A116" s="1">
        <v>35977</v>
      </c>
      <c r="B116" s="1">
        <v>36068</v>
      </c>
      <c r="C116">
        <v>101.93342581178395</v>
      </c>
      <c r="D116">
        <v>49.8</v>
      </c>
      <c r="E116">
        <v>0.1507954</v>
      </c>
      <c r="F116">
        <v>3.0159100000000001E-2</v>
      </c>
      <c r="G116">
        <v>12982.752</v>
      </c>
      <c r="H116">
        <v>331945</v>
      </c>
      <c r="I116">
        <v>0.3</v>
      </c>
      <c r="J116">
        <v>46.91</v>
      </c>
    </row>
    <row r="117" spans="1:10" x14ac:dyDescent="0.2">
      <c r="A117" s="1">
        <v>36069</v>
      </c>
      <c r="B117" s="1">
        <v>36159</v>
      </c>
      <c r="C117">
        <v>98.830436879013874</v>
      </c>
      <c r="D117">
        <v>49.2</v>
      </c>
      <c r="E117">
        <v>0</v>
      </c>
      <c r="F117">
        <v>1.5079499999999999E-2</v>
      </c>
      <c r="G117">
        <v>13191.67</v>
      </c>
      <c r="H117">
        <v>337067</v>
      </c>
      <c r="I117">
        <v>0.4</v>
      </c>
      <c r="J117">
        <v>47.11</v>
      </c>
    </row>
    <row r="118" spans="1:10" x14ac:dyDescent="0.2">
      <c r="A118" s="1">
        <v>36161</v>
      </c>
      <c r="B118" s="1">
        <v>36249</v>
      </c>
      <c r="C118">
        <v>101.08007408382976</v>
      </c>
      <c r="D118">
        <v>49.7</v>
      </c>
      <c r="E118">
        <v>6.8027199999999996E-2</v>
      </c>
      <c r="F118">
        <v>1.8631999999999999E-2</v>
      </c>
      <c r="G118">
        <v>13315.597</v>
      </c>
      <c r="H118">
        <v>339582</v>
      </c>
      <c r="I118">
        <v>0.5</v>
      </c>
      <c r="J118">
        <v>47.08</v>
      </c>
    </row>
    <row r="119" spans="1:10" x14ac:dyDescent="0.2">
      <c r="A119" s="1">
        <v>36251</v>
      </c>
      <c r="B119" s="1">
        <v>36341</v>
      </c>
      <c r="C119">
        <v>106.08113930553007</v>
      </c>
      <c r="D119">
        <v>49.4</v>
      </c>
      <c r="E119">
        <v>0</v>
      </c>
      <c r="F119">
        <v>6.8027000000000001E-3</v>
      </c>
      <c r="G119">
        <v>13426.748</v>
      </c>
      <c r="H119">
        <v>340901</v>
      </c>
      <c r="I119">
        <v>0.5</v>
      </c>
      <c r="J119">
        <v>47.29</v>
      </c>
    </row>
    <row r="120" spans="1:10" x14ac:dyDescent="0.2">
      <c r="A120" s="1">
        <v>36342</v>
      </c>
      <c r="B120" s="1">
        <v>36433</v>
      </c>
      <c r="C120">
        <v>105.22589541958291</v>
      </c>
      <c r="D120">
        <v>50.1</v>
      </c>
      <c r="E120">
        <v>0</v>
      </c>
      <c r="F120">
        <v>2.2675999999999998E-3</v>
      </c>
      <c r="G120">
        <v>13604.771000000001</v>
      </c>
      <c r="H120">
        <v>344645</v>
      </c>
      <c r="I120">
        <v>0.8</v>
      </c>
      <c r="J120">
        <v>47.72</v>
      </c>
    </row>
    <row r="121" spans="1:10" x14ac:dyDescent="0.2">
      <c r="A121" s="1">
        <v>36434</v>
      </c>
      <c r="B121" s="1">
        <v>36524</v>
      </c>
      <c r="C121">
        <v>102.78498060673391</v>
      </c>
      <c r="D121">
        <v>51</v>
      </c>
      <c r="E121">
        <v>7.0952200000000007E-2</v>
      </c>
      <c r="F121">
        <v>1.4190400000000001E-2</v>
      </c>
      <c r="G121">
        <v>13827.98</v>
      </c>
      <c r="H121">
        <v>350488</v>
      </c>
      <c r="I121">
        <v>0.6</v>
      </c>
      <c r="J121">
        <v>47.97</v>
      </c>
    </row>
    <row r="122" spans="1:10" x14ac:dyDescent="0.2">
      <c r="A122" s="1">
        <v>36526</v>
      </c>
      <c r="B122" s="1">
        <v>36615</v>
      </c>
      <c r="C122">
        <v>102.42070143658479</v>
      </c>
      <c r="D122">
        <v>52.7</v>
      </c>
      <c r="E122">
        <v>0</v>
      </c>
      <c r="F122">
        <v>7.0952000000000003E-3</v>
      </c>
      <c r="G122">
        <v>13878.147000000001</v>
      </c>
      <c r="H122">
        <v>351872</v>
      </c>
      <c r="I122">
        <v>0.7</v>
      </c>
      <c r="J122">
        <v>48.4</v>
      </c>
    </row>
    <row r="123" spans="1:10" x14ac:dyDescent="0.2">
      <c r="A123" s="1">
        <v>36617</v>
      </c>
      <c r="B123" s="1">
        <v>36707</v>
      </c>
      <c r="C123">
        <v>97.523101109979322</v>
      </c>
      <c r="D123">
        <v>51.8</v>
      </c>
      <c r="E123">
        <v>0.26939649999999998</v>
      </c>
      <c r="F123">
        <v>5.62444E-2</v>
      </c>
      <c r="G123">
        <v>14130.907999999999</v>
      </c>
      <c r="H123">
        <v>355338</v>
      </c>
      <c r="I123">
        <v>0.6</v>
      </c>
      <c r="J123">
        <v>48.77</v>
      </c>
    </row>
    <row r="124" spans="1:10" x14ac:dyDescent="0.2">
      <c r="A124" s="1">
        <v>36708</v>
      </c>
      <c r="B124" s="1">
        <v>36799</v>
      </c>
      <c r="C124">
        <v>96.930840415353231</v>
      </c>
      <c r="D124">
        <v>52.6</v>
      </c>
      <c r="E124">
        <v>0.23702300000000001</v>
      </c>
      <c r="F124">
        <v>7.4344300000000002E-2</v>
      </c>
      <c r="G124">
        <v>14145.312</v>
      </c>
      <c r="H124">
        <v>356306</v>
      </c>
      <c r="I124">
        <v>0.5</v>
      </c>
      <c r="J124">
        <v>50.59</v>
      </c>
    </row>
    <row r="125" spans="1:10" x14ac:dyDescent="0.2">
      <c r="A125" s="1">
        <v>36800</v>
      </c>
      <c r="B125" s="1">
        <v>36890</v>
      </c>
      <c r="C125">
        <v>92.319697695584651</v>
      </c>
      <c r="D125">
        <v>52.4</v>
      </c>
      <c r="E125">
        <v>0.1394117</v>
      </c>
      <c r="F125">
        <v>6.05645E-2</v>
      </c>
      <c r="G125">
        <v>14229.764999999999</v>
      </c>
      <c r="H125">
        <v>354859</v>
      </c>
      <c r="I125">
        <v>0.6</v>
      </c>
      <c r="J125">
        <v>50.76</v>
      </c>
    </row>
    <row r="126" spans="1:10" x14ac:dyDescent="0.2">
      <c r="A126" s="1">
        <v>36892</v>
      </c>
      <c r="B126" s="1">
        <v>36980</v>
      </c>
      <c r="C126">
        <v>93.699592497544444</v>
      </c>
      <c r="D126">
        <v>52.4</v>
      </c>
      <c r="E126">
        <v>0</v>
      </c>
      <c r="F126">
        <v>2.1841900000000001E-2</v>
      </c>
      <c r="G126">
        <v>14183.12</v>
      </c>
      <c r="H126">
        <v>358221</v>
      </c>
      <c r="I126">
        <v>1</v>
      </c>
      <c r="J126">
        <v>51.3</v>
      </c>
    </row>
    <row r="127" spans="1:10" x14ac:dyDescent="0.2">
      <c r="A127" s="1">
        <v>36982</v>
      </c>
      <c r="B127" s="1">
        <v>37072</v>
      </c>
      <c r="C127">
        <v>93.222922617160307</v>
      </c>
      <c r="D127">
        <v>52.1</v>
      </c>
      <c r="E127">
        <v>0.1349892</v>
      </c>
      <c r="F127">
        <v>3.1644899999999997E-2</v>
      </c>
      <c r="G127">
        <v>14271.694</v>
      </c>
      <c r="H127">
        <v>361444</v>
      </c>
      <c r="I127">
        <v>0.8</v>
      </c>
      <c r="J127">
        <v>51.73</v>
      </c>
    </row>
    <row r="128" spans="1:10" x14ac:dyDescent="0.2">
      <c r="A128" s="1">
        <v>37073</v>
      </c>
      <c r="B128" s="1">
        <v>37164</v>
      </c>
      <c r="C128">
        <v>92.98100104915477</v>
      </c>
      <c r="D128">
        <v>52.8</v>
      </c>
      <c r="E128">
        <v>0.14285709999999999</v>
      </c>
      <c r="F128">
        <v>4.2070400000000001E-2</v>
      </c>
      <c r="G128">
        <v>14214.516</v>
      </c>
      <c r="H128">
        <v>365512</v>
      </c>
      <c r="I128">
        <v>0.7</v>
      </c>
      <c r="J128">
        <v>51.87</v>
      </c>
    </row>
    <row r="129" spans="1:10" x14ac:dyDescent="0.2">
      <c r="A129" s="1">
        <v>37165</v>
      </c>
      <c r="B129" s="1">
        <v>37255</v>
      </c>
      <c r="C129">
        <v>93.699041679179302</v>
      </c>
      <c r="D129">
        <v>52.7</v>
      </c>
      <c r="E129">
        <v>7.0841600000000005E-2</v>
      </c>
      <c r="F129">
        <v>3.2953700000000002E-2</v>
      </c>
      <c r="G129">
        <v>14253.574000000001</v>
      </c>
      <c r="H129">
        <v>369855</v>
      </c>
      <c r="I129">
        <v>0.8</v>
      </c>
      <c r="J129">
        <v>52.35</v>
      </c>
    </row>
    <row r="130" spans="1:10" x14ac:dyDescent="0.2">
      <c r="A130" s="1">
        <v>37257</v>
      </c>
      <c r="B130" s="1">
        <v>37345</v>
      </c>
      <c r="C130">
        <v>96.9556378361588</v>
      </c>
      <c r="D130">
        <v>53.8</v>
      </c>
      <c r="E130">
        <v>0.29364259999999998</v>
      </c>
      <c r="F130">
        <v>7.0574600000000001E-2</v>
      </c>
      <c r="G130">
        <v>14372.785</v>
      </c>
      <c r="H130">
        <v>372745</v>
      </c>
      <c r="I130">
        <v>0.8</v>
      </c>
      <c r="J130">
        <v>52.82</v>
      </c>
    </row>
    <row r="131" spans="1:10" x14ac:dyDescent="0.2">
      <c r="A131" s="1">
        <v>37347</v>
      </c>
      <c r="B131" s="1">
        <v>37437</v>
      </c>
      <c r="C131">
        <v>100.52517750889514</v>
      </c>
      <c r="D131">
        <v>53.2</v>
      </c>
      <c r="E131">
        <v>0</v>
      </c>
      <c r="F131">
        <v>3.17256E-2</v>
      </c>
      <c r="G131">
        <v>14460.848</v>
      </c>
      <c r="H131">
        <v>379233</v>
      </c>
      <c r="I131">
        <v>0.6</v>
      </c>
      <c r="J131">
        <v>53.2</v>
      </c>
    </row>
    <row r="132" spans="1:10" x14ac:dyDescent="0.2">
      <c r="A132" s="1">
        <v>37438</v>
      </c>
      <c r="B132" s="1">
        <v>37529</v>
      </c>
      <c r="C132">
        <v>97.273672740146694</v>
      </c>
      <c r="D132">
        <v>53.3</v>
      </c>
      <c r="E132">
        <v>0</v>
      </c>
      <c r="F132">
        <v>9.7880999999999992E-3</v>
      </c>
      <c r="G132">
        <v>14519.633</v>
      </c>
      <c r="H132">
        <v>380108</v>
      </c>
      <c r="I132">
        <v>0.7</v>
      </c>
      <c r="J132">
        <v>53.56</v>
      </c>
    </row>
    <row r="133" spans="1:10" x14ac:dyDescent="0.2">
      <c r="A133" s="1">
        <v>37530</v>
      </c>
      <c r="B133" s="1">
        <v>37620</v>
      </c>
      <c r="C133">
        <v>99.599377199866993</v>
      </c>
      <c r="D133">
        <v>53.7</v>
      </c>
      <c r="E133">
        <v>0</v>
      </c>
      <c r="F133">
        <v>0</v>
      </c>
      <c r="G133">
        <v>14537.58</v>
      </c>
      <c r="H133">
        <v>383279</v>
      </c>
      <c r="I133">
        <v>0.7</v>
      </c>
      <c r="J133">
        <v>53.92</v>
      </c>
    </row>
    <row r="134" spans="1:10" x14ac:dyDescent="0.2">
      <c r="A134" s="1">
        <v>37622</v>
      </c>
      <c r="B134" s="1">
        <v>37710</v>
      </c>
      <c r="C134">
        <v>103.50049952485394</v>
      </c>
      <c r="D134">
        <v>54.2</v>
      </c>
      <c r="E134">
        <v>6.6706699999999994E-2</v>
      </c>
      <c r="F134">
        <v>1.33413E-2</v>
      </c>
      <c r="G134">
        <v>14614.141</v>
      </c>
      <c r="H134">
        <v>384182</v>
      </c>
      <c r="I134">
        <v>0.8</v>
      </c>
      <c r="J134">
        <v>54.62</v>
      </c>
    </row>
    <row r="135" spans="1:10" x14ac:dyDescent="0.2">
      <c r="A135" s="1">
        <v>37712</v>
      </c>
      <c r="B135" s="1">
        <v>37802</v>
      </c>
      <c r="C135">
        <v>110.36655951331274</v>
      </c>
      <c r="D135">
        <v>54.4</v>
      </c>
      <c r="E135">
        <v>0.6095083</v>
      </c>
      <c r="F135">
        <v>0.1285723</v>
      </c>
      <c r="G135">
        <v>14743.566999999999</v>
      </c>
      <c r="H135">
        <v>385753</v>
      </c>
      <c r="I135">
        <v>0.5</v>
      </c>
      <c r="J135">
        <v>54.62</v>
      </c>
    </row>
    <row r="136" spans="1:10" x14ac:dyDescent="0.2">
      <c r="A136" s="1">
        <v>37803</v>
      </c>
      <c r="B136" s="1">
        <v>37894</v>
      </c>
      <c r="C136">
        <v>113.39816737053383</v>
      </c>
      <c r="D136">
        <v>55.4</v>
      </c>
      <c r="E136">
        <v>0.4144505</v>
      </c>
      <c r="F136">
        <v>0.14606450000000001</v>
      </c>
      <c r="G136">
        <v>14988.781999999999</v>
      </c>
      <c r="H136">
        <v>392261</v>
      </c>
      <c r="I136">
        <v>0.7</v>
      </c>
      <c r="J136">
        <v>54.93</v>
      </c>
    </row>
    <row r="137" spans="1:10" x14ac:dyDescent="0.2">
      <c r="A137" s="1">
        <v>37895</v>
      </c>
      <c r="B137" s="1">
        <v>37985</v>
      </c>
      <c r="C137">
        <v>119.91296647890061</v>
      </c>
      <c r="D137">
        <v>56.6</v>
      </c>
      <c r="E137">
        <v>0.142288</v>
      </c>
      <c r="F137">
        <v>9.0219599999999997E-2</v>
      </c>
      <c r="G137">
        <v>15162.76</v>
      </c>
      <c r="H137">
        <v>398899</v>
      </c>
      <c r="I137">
        <v>0.7</v>
      </c>
      <c r="J137">
        <v>55.22</v>
      </c>
    </row>
    <row r="138" spans="1:10" x14ac:dyDescent="0.2">
      <c r="A138" s="1">
        <v>37987</v>
      </c>
      <c r="B138" s="1">
        <v>38076</v>
      </c>
      <c r="C138">
        <v>125.90416953319783</v>
      </c>
      <c r="D138">
        <v>58.7</v>
      </c>
      <c r="E138">
        <v>6.1508199999999999E-2</v>
      </c>
      <c r="F138">
        <v>4.0345499999999999E-2</v>
      </c>
      <c r="G138">
        <v>15248.68</v>
      </c>
      <c r="H138">
        <v>401910</v>
      </c>
      <c r="I138">
        <v>0.7</v>
      </c>
      <c r="J138">
        <v>55.71</v>
      </c>
    </row>
    <row r="139" spans="1:10" x14ac:dyDescent="0.2">
      <c r="A139" s="1">
        <v>38078</v>
      </c>
      <c r="B139" s="1">
        <v>38168</v>
      </c>
      <c r="C139">
        <v>119.82745697729993</v>
      </c>
      <c r="D139">
        <v>60.3</v>
      </c>
      <c r="E139">
        <v>0</v>
      </c>
      <c r="F139">
        <v>1.08938E-2</v>
      </c>
      <c r="G139">
        <v>15366.85</v>
      </c>
      <c r="H139">
        <v>404944</v>
      </c>
      <c r="I139">
        <v>0.6</v>
      </c>
      <c r="J139">
        <v>55.97</v>
      </c>
    </row>
    <row r="140" spans="1:10" x14ac:dyDescent="0.2">
      <c r="A140" s="1">
        <v>38169</v>
      </c>
      <c r="B140" s="1">
        <v>38260</v>
      </c>
      <c r="C140">
        <v>118.69656516133765</v>
      </c>
      <c r="D140">
        <v>60.9</v>
      </c>
      <c r="E140">
        <v>6.5346699999999994E-2</v>
      </c>
      <c r="F140">
        <v>1.51196E-2</v>
      </c>
      <c r="G140">
        <v>15512.619000000001</v>
      </c>
      <c r="H140">
        <v>407624</v>
      </c>
      <c r="I140">
        <v>0.6</v>
      </c>
      <c r="J140">
        <v>56.2</v>
      </c>
    </row>
    <row r="141" spans="1:10" x14ac:dyDescent="0.2">
      <c r="A141" s="1">
        <v>38261</v>
      </c>
      <c r="B141" s="1">
        <v>38351</v>
      </c>
      <c r="C141">
        <v>123.52614128735861</v>
      </c>
      <c r="D141">
        <v>61.7</v>
      </c>
      <c r="E141">
        <v>0</v>
      </c>
      <c r="F141">
        <v>6.5347000000000001E-3</v>
      </c>
      <c r="G141">
        <v>15670.88</v>
      </c>
      <c r="H141">
        <v>410710</v>
      </c>
      <c r="I141">
        <v>0.8</v>
      </c>
      <c r="J141">
        <v>56.63</v>
      </c>
    </row>
    <row r="142" spans="1:10" x14ac:dyDescent="0.2">
      <c r="A142" s="1">
        <v>38353</v>
      </c>
      <c r="B142" s="1">
        <v>38441</v>
      </c>
      <c r="C142">
        <v>125.39385224931404</v>
      </c>
      <c r="D142">
        <v>63.4</v>
      </c>
      <c r="E142">
        <v>0.25448530000000003</v>
      </c>
      <c r="F142">
        <v>5.3075299999999999E-2</v>
      </c>
      <c r="G142">
        <v>15844.727000000001</v>
      </c>
      <c r="H142">
        <v>414089</v>
      </c>
      <c r="I142">
        <v>0.6</v>
      </c>
      <c r="J142">
        <v>57.01</v>
      </c>
    </row>
    <row r="143" spans="1:10" x14ac:dyDescent="0.2">
      <c r="A143" s="1">
        <v>38443</v>
      </c>
      <c r="B143" s="1">
        <v>38533</v>
      </c>
      <c r="C143">
        <v>126.09690097148427</v>
      </c>
      <c r="D143">
        <v>67.5</v>
      </c>
      <c r="E143">
        <v>0</v>
      </c>
      <c r="F143">
        <v>2.5448499999999999E-2</v>
      </c>
      <c r="G143">
        <v>15922.781999999999</v>
      </c>
      <c r="H143">
        <v>416015</v>
      </c>
      <c r="I143">
        <v>0.6</v>
      </c>
      <c r="J143">
        <v>57.35</v>
      </c>
    </row>
    <row r="144" spans="1:10" x14ac:dyDescent="0.2">
      <c r="A144" s="1">
        <v>38534</v>
      </c>
      <c r="B144" s="1">
        <v>38625</v>
      </c>
      <c r="C144">
        <v>127.09431618555671</v>
      </c>
      <c r="D144">
        <v>67.8</v>
      </c>
      <c r="E144">
        <v>6.1954000000000002E-2</v>
      </c>
      <c r="F144">
        <v>2.0873599999999999E-2</v>
      </c>
      <c r="G144">
        <v>16047.587</v>
      </c>
      <c r="H144">
        <v>420512</v>
      </c>
      <c r="I144">
        <v>0.6</v>
      </c>
      <c r="J144">
        <v>57.92</v>
      </c>
    </row>
    <row r="145" spans="1:10" x14ac:dyDescent="0.2">
      <c r="A145" s="1">
        <v>38626</v>
      </c>
      <c r="B145" s="1">
        <v>38716</v>
      </c>
      <c r="C145">
        <v>126.35962239821004</v>
      </c>
      <c r="D145">
        <v>69.8</v>
      </c>
      <c r="E145">
        <v>0</v>
      </c>
      <c r="F145">
        <v>6.1954000000000002E-3</v>
      </c>
      <c r="G145">
        <v>16136.734</v>
      </c>
      <c r="H145">
        <v>423912</v>
      </c>
      <c r="I145">
        <v>0.7</v>
      </c>
      <c r="J145">
        <v>58.22</v>
      </c>
    </row>
    <row r="146" spans="1:10" x14ac:dyDescent="0.2">
      <c r="A146" s="1">
        <v>38718</v>
      </c>
      <c r="B146" s="1">
        <v>38806</v>
      </c>
      <c r="C146">
        <v>124.71708693948752</v>
      </c>
      <c r="D146">
        <v>71.3</v>
      </c>
      <c r="E146">
        <v>0</v>
      </c>
      <c r="F146">
        <v>2.0650999999999998E-3</v>
      </c>
      <c r="G146">
        <v>16353.834999999999</v>
      </c>
      <c r="H146">
        <v>424243</v>
      </c>
      <c r="I146">
        <v>0.8</v>
      </c>
      <c r="J146">
        <v>58.72</v>
      </c>
    </row>
    <row r="147" spans="1:10" x14ac:dyDescent="0.2">
      <c r="A147" s="1">
        <v>38808</v>
      </c>
      <c r="B147" s="1">
        <v>38898</v>
      </c>
      <c r="C147">
        <v>124.74799135255161</v>
      </c>
      <c r="D147">
        <v>71.599999999999994</v>
      </c>
      <c r="E147">
        <v>6.7590399999999995E-2</v>
      </c>
      <c r="F147">
        <v>1.35181E-2</v>
      </c>
      <c r="G147">
        <v>16396.151000000002</v>
      </c>
      <c r="H147">
        <v>425448</v>
      </c>
      <c r="I147">
        <v>0.8</v>
      </c>
      <c r="J147">
        <v>59.65</v>
      </c>
    </row>
    <row r="148" spans="1:10" x14ac:dyDescent="0.2">
      <c r="A148" s="1">
        <v>38899</v>
      </c>
      <c r="B148" s="1">
        <v>38990</v>
      </c>
      <c r="C148">
        <v>126.75265806563935</v>
      </c>
      <c r="D148">
        <v>72.5</v>
      </c>
      <c r="E148">
        <v>0.20746890000000001</v>
      </c>
      <c r="F148">
        <v>4.8252799999999998E-2</v>
      </c>
      <c r="G148">
        <v>16420.738000000001</v>
      </c>
      <c r="H148">
        <v>431836</v>
      </c>
      <c r="I148">
        <v>0.7</v>
      </c>
      <c r="J148">
        <v>60.18</v>
      </c>
    </row>
    <row r="149" spans="1:10" x14ac:dyDescent="0.2">
      <c r="A149" s="1">
        <v>38991</v>
      </c>
      <c r="B149" s="1">
        <v>39081</v>
      </c>
      <c r="C149">
        <v>128.07264702734395</v>
      </c>
      <c r="D149">
        <v>74.900000000000006</v>
      </c>
      <c r="E149">
        <v>0</v>
      </c>
      <c r="F149">
        <v>2.29999E-2</v>
      </c>
      <c r="G149">
        <v>16561.866000000002</v>
      </c>
      <c r="H149">
        <v>437165</v>
      </c>
      <c r="I149">
        <v>0.6</v>
      </c>
      <c r="J149">
        <v>60.11</v>
      </c>
    </row>
    <row r="150" spans="1:10" x14ac:dyDescent="0.2">
      <c r="A150" s="1">
        <v>39083</v>
      </c>
      <c r="B150" s="1">
        <v>39171</v>
      </c>
      <c r="C150">
        <v>129.87787121487301</v>
      </c>
      <c r="D150">
        <v>77</v>
      </c>
      <c r="E150">
        <v>0</v>
      </c>
      <c r="F150">
        <v>6.9156E-3</v>
      </c>
      <c r="G150">
        <v>16611.689999999999</v>
      </c>
      <c r="H150">
        <v>443184</v>
      </c>
      <c r="I150">
        <v>0.6</v>
      </c>
      <c r="J150">
        <v>60.16</v>
      </c>
    </row>
    <row r="151" spans="1:10" x14ac:dyDescent="0.2">
      <c r="A151" s="1">
        <v>39173</v>
      </c>
      <c r="B151" s="1">
        <v>39263</v>
      </c>
      <c r="C151">
        <v>136.11812774715054</v>
      </c>
      <c r="D151">
        <v>76.400000000000006</v>
      </c>
      <c r="E151">
        <v>7.6423400000000002E-2</v>
      </c>
      <c r="F151">
        <v>1.52847E-2</v>
      </c>
      <c r="G151">
        <v>16713.313999999998</v>
      </c>
      <c r="H151">
        <v>446128</v>
      </c>
      <c r="I151">
        <v>0.9</v>
      </c>
      <c r="J151">
        <v>60.9</v>
      </c>
    </row>
    <row r="152" spans="1:10" x14ac:dyDescent="0.2">
      <c r="A152" s="1">
        <v>39264</v>
      </c>
      <c r="B152" s="1">
        <v>39355</v>
      </c>
      <c r="C152">
        <v>137.77688893663182</v>
      </c>
      <c r="D152">
        <v>75.7</v>
      </c>
      <c r="E152">
        <v>0</v>
      </c>
      <c r="F152">
        <v>7.6423000000000003E-3</v>
      </c>
      <c r="G152">
        <v>16809.587</v>
      </c>
      <c r="H152">
        <v>451354</v>
      </c>
      <c r="I152">
        <v>0.9</v>
      </c>
      <c r="J152">
        <v>61.32</v>
      </c>
    </row>
    <row r="153" spans="1:10" x14ac:dyDescent="0.2">
      <c r="A153" s="1">
        <v>39356</v>
      </c>
      <c r="B153" s="1">
        <v>39446</v>
      </c>
      <c r="C153">
        <v>141.82757042212938</v>
      </c>
      <c r="D153">
        <v>77.099999999999994</v>
      </c>
      <c r="E153">
        <v>0</v>
      </c>
      <c r="F153">
        <v>2.5474E-3</v>
      </c>
      <c r="G153">
        <v>16915.190999999999</v>
      </c>
      <c r="H153">
        <v>452939</v>
      </c>
      <c r="I153">
        <v>1.2</v>
      </c>
      <c r="J153">
        <v>61.89</v>
      </c>
    </row>
    <row r="154" spans="1:10" x14ac:dyDescent="0.2">
      <c r="A154" s="1">
        <v>39448</v>
      </c>
      <c r="B154" s="1">
        <v>39537</v>
      </c>
      <c r="C154">
        <v>141.45552351221193</v>
      </c>
      <c r="D154">
        <v>79.099999999999994</v>
      </c>
      <c r="E154">
        <v>0.1144558</v>
      </c>
      <c r="F154">
        <v>2.28912E-2</v>
      </c>
      <c r="G154">
        <v>16843.003000000001</v>
      </c>
      <c r="H154">
        <v>458030</v>
      </c>
      <c r="I154">
        <v>1.1000000000000001</v>
      </c>
      <c r="J154">
        <v>62.72</v>
      </c>
    </row>
    <row r="155" spans="1:10" x14ac:dyDescent="0.2">
      <c r="A155" s="1">
        <v>39539</v>
      </c>
      <c r="B155" s="1">
        <v>39629</v>
      </c>
      <c r="C155">
        <v>146.46375576735522</v>
      </c>
      <c r="D155">
        <v>85.7</v>
      </c>
      <c r="E155">
        <v>0.35528189999999998</v>
      </c>
      <c r="F155">
        <v>8.2501900000000003E-2</v>
      </c>
      <c r="G155">
        <v>16943.291000000001</v>
      </c>
      <c r="H155">
        <v>459711</v>
      </c>
      <c r="I155">
        <v>1.2</v>
      </c>
      <c r="J155">
        <v>63.63</v>
      </c>
    </row>
    <row r="156" spans="1:10" x14ac:dyDescent="0.2">
      <c r="A156" s="1">
        <v>39630</v>
      </c>
      <c r="B156" s="1">
        <v>39721</v>
      </c>
      <c r="C156">
        <v>141.81757164500792</v>
      </c>
      <c r="D156">
        <v>91</v>
      </c>
      <c r="E156">
        <v>0.2330459</v>
      </c>
      <c r="F156">
        <v>8.5952600000000004E-2</v>
      </c>
      <c r="G156">
        <v>16854.294999999998</v>
      </c>
      <c r="H156">
        <v>462813</v>
      </c>
      <c r="I156">
        <v>1.2</v>
      </c>
      <c r="J156">
        <v>64.37</v>
      </c>
    </row>
    <row r="157" spans="1:10" x14ac:dyDescent="0.2">
      <c r="A157" s="1">
        <v>39722</v>
      </c>
      <c r="B157" s="1">
        <v>39812</v>
      </c>
      <c r="C157">
        <v>113.65036319029474</v>
      </c>
      <c r="D157">
        <v>88.8</v>
      </c>
      <c r="E157">
        <v>0.21696679999999999</v>
      </c>
      <c r="F157">
        <v>7.8540700000000005E-2</v>
      </c>
      <c r="G157">
        <v>16485.349999999999</v>
      </c>
      <c r="H157">
        <v>460801</v>
      </c>
      <c r="I157">
        <v>0.7</v>
      </c>
      <c r="J157">
        <v>64.16</v>
      </c>
    </row>
    <row r="158" spans="1:10" x14ac:dyDescent="0.2">
      <c r="A158" s="1">
        <v>39814</v>
      </c>
      <c r="B158" s="1">
        <v>39902</v>
      </c>
      <c r="C158">
        <v>114.71269397079746</v>
      </c>
      <c r="D158">
        <v>84.4</v>
      </c>
      <c r="E158">
        <v>0.11312220000000001</v>
      </c>
      <c r="F158">
        <v>5.2089299999999998E-2</v>
      </c>
      <c r="G158">
        <v>16298.262000000001</v>
      </c>
      <c r="H158">
        <v>465513</v>
      </c>
      <c r="I158">
        <v>0.9</v>
      </c>
      <c r="J158">
        <v>64.23</v>
      </c>
    </row>
    <row r="159" spans="1:10" x14ac:dyDescent="0.2">
      <c r="A159" s="1">
        <v>39904</v>
      </c>
      <c r="B159" s="1">
        <v>39994</v>
      </c>
      <c r="C159">
        <v>128.68270936502748</v>
      </c>
      <c r="D159">
        <v>76.2</v>
      </c>
      <c r="E159">
        <v>0</v>
      </c>
      <c r="F159">
        <v>1.8544399999999999E-2</v>
      </c>
      <c r="G159">
        <v>16269.145</v>
      </c>
      <c r="H159">
        <v>468525</v>
      </c>
      <c r="I159">
        <v>0.7</v>
      </c>
      <c r="J159">
        <v>64.55</v>
      </c>
    </row>
    <row r="160" spans="1:10" x14ac:dyDescent="0.2">
      <c r="A160" s="1">
        <v>39995</v>
      </c>
      <c r="B160" s="1">
        <v>40086</v>
      </c>
      <c r="C160">
        <v>137.55617507348782</v>
      </c>
      <c r="D160">
        <v>74.8</v>
      </c>
      <c r="E160">
        <v>9.8843500000000001E-2</v>
      </c>
      <c r="F160">
        <v>2.3539399999999999E-2</v>
      </c>
      <c r="G160">
        <v>16326.281000000001</v>
      </c>
      <c r="H160">
        <v>469982</v>
      </c>
      <c r="I160">
        <v>0.7</v>
      </c>
      <c r="J160">
        <v>65.16</v>
      </c>
    </row>
    <row r="161" spans="1:10" x14ac:dyDescent="0.2">
      <c r="A161" s="1">
        <v>40087</v>
      </c>
      <c r="B161" s="1">
        <v>40177</v>
      </c>
      <c r="C161">
        <v>147.00237871416803</v>
      </c>
      <c r="D161">
        <v>78</v>
      </c>
      <c r="E161">
        <v>9.5969299999999994E-2</v>
      </c>
      <c r="F161">
        <v>2.9078199999999998E-2</v>
      </c>
      <c r="G161">
        <v>16502.754000000001</v>
      </c>
      <c r="H161">
        <v>473770</v>
      </c>
      <c r="I161">
        <v>0.8</v>
      </c>
      <c r="J161">
        <v>65.510000000000005</v>
      </c>
    </row>
    <row r="162" spans="1:10" x14ac:dyDescent="0.2">
      <c r="A162" s="1">
        <v>40179</v>
      </c>
      <c r="B162" s="1">
        <v>40267</v>
      </c>
      <c r="C162">
        <v>148.31149821764072</v>
      </c>
      <c r="D162">
        <v>82.6</v>
      </c>
      <c r="E162">
        <v>0.1020721</v>
      </c>
      <c r="F162">
        <v>3.3306099999999998E-2</v>
      </c>
      <c r="G162">
        <v>16582.71</v>
      </c>
      <c r="H162">
        <v>475949</v>
      </c>
      <c r="I162">
        <v>0.8</v>
      </c>
      <c r="J162">
        <v>66.12</v>
      </c>
    </row>
    <row r="163" spans="1:10" x14ac:dyDescent="0.2">
      <c r="A163" s="1">
        <v>40269</v>
      </c>
      <c r="B163" s="1">
        <v>40359</v>
      </c>
      <c r="C163">
        <v>147.08931582555715</v>
      </c>
      <c r="D163">
        <v>92.1</v>
      </c>
      <c r="E163">
        <v>0.1058649</v>
      </c>
      <c r="F163">
        <v>3.4579199999999997E-2</v>
      </c>
      <c r="G163">
        <v>16743.162</v>
      </c>
      <c r="H163">
        <v>479006</v>
      </c>
      <c r="I163">
        <v>0.4</v>
      </c>
      <c r="J163">
        <v>66.52</v>
      </c>
    </row>
    <row r="164" spans="1:10" x14ac:dyDescent="0.2">
      <c r="A164" s="1">
        <v>40360</v>
      </c>
      <c r="B164" s="1">
        <v>40451</v>
      </c>
      <c r="C164">
        <v>147.71053517759984</v>
      </c>
      <c r="D164">
        <v>93.8</v>
      </c>
      <c r="E164">
        <v>0.30769229999999997</v>
      </c>
      <c r="F164">
        <v>7.5527399999999995E-2</v>
      </c>
      <c r="G164">
        <v>16872.266</v>
      </c>
      <c r="H164">
        <v>482198</v>
      </c>
      <c r="I164">
        <v>0.6</v>
      </c>
      <c r="J164">
        <v>67</v>
      </c>
    </row>
    <row r="165" spans="1:10" x14ac:dyDescent="0.2">
      <c r="A165" s="1">
        <v>40452</v>
      </c>
      <c r="B165" s="1">
        <v>40542</v>
      </c>
      <c r="C165">
        <v>156.31402388389429</v>
      </c>
      <c r="D165">
        <v>96.1</v>
      </c>
      <c r="E165">
        <v>0.20343810000000001</v>
      </c>
      <c r="F165">
        <v>7.4985700000000002E-2</v>
      </c>
      <c r="G165">
        <v>16960.864000000001</v>
      </c>
      <c r="H165">
        <v>486229</v>
      </c>
      <c r="I165">
        <v>0.4</v>
      </c>
      <c r="J165">
        <v>67.260000000000005</v>
      </c>
    </row>
    <row r="166" spans="1:10" x14ac:dyDescent="0.2">
      <c r="A166" s="1">
        <v>40544</v>
      </c>
      <c r="B166" s="1">
        <v>40632</v>
      </c>
      <c r="C166">
        <v>158.2100837692094</v>
      </c>
      <c r="D166">
        <v>101.7</v>
      </c>
      <c r="E166">
        <v>0.2046036</v>
      </c>
      <c r="F166">
        <v>7.1520899999999998E-2</v>
      </c>
      <c r="G166">
        <v>16920.632000000001</v>
      </c>
      <c r="H166">
        <v>484903</v>
      </c>
      <c r="I166">
        <v>0.8</v>
      </c>
      <c r="J166">
        <v>68.3</v>
      </c>
    </row>
    <row r="167" spans="1:10" x14ac:dyDescent="0.2">
      <c r="A167" s="1">
        <v>40634</v>
      </c>
      <c r="B167" s="1">
        <v>40724</v>
      </c>
      <c r="C167">
        <v>164.23186250075753</v>
      </c>
      <c r="D167">
        <v>104</v>
      </c>
      <c r="E167">
        <v>0.1017397</v>
      </c>
      <c r="F167">
        <v>4.7589600000000003E-2</v>
      </c>
      <c r="G167">
        <v>17035.114000000001</v>
      </c>
      <c r="H167">
        <v>490846</v>
      </c>
      <c r="I167">
        <v>0.8</v>
      </c>
      <c r="J167">
        <v>68.930000000000007</v>
      </c>
    </row>
    <row r="168" spans="1:10" x14ac:dyDescent="0.2">
      <c r="A168" s="1">
        <v>40725</v>
      </c>
      <c r="B168" s="1">
        <v>40816</v>
      </c>
      <c r="C168">
        <v>160.57363856638906</v>
      </c>
      <c r="D168">
        <v>105.1</v>
      </c>
      <c r="E168">
        <v>0.57268300000000005</v>
      </c>
      <c r="F168">
        <v>0.1315307</v>
      </c>
      <c r="G168">
        <v>17031.312999999998</v>
      </c>
      <c r="H168">
        <v>497511</v>
      </c>
      <c r="I168">
        <v>0.4</v>
      </c>
      <c r="J168">
        <v>69.34</v>
      </c>
    </row>
    <row r="169" spans="1:10" x14ac:dyDescent="0.2">
      <c r="A169" s="1">
        <v>40817</v>
      </c>
      <c r="B169" s="1">
        <v>40907</v>
      </c>
      <c r="C169">
        <v>158.62646648054036</v>
      </c>
      <c r="D169">
        <v>100.7</v>
      </c>
      <c r="E169">
        <v>9.5565800000000006E-2</v>
      </c>
      <c r="F169">
        <v>7.9772800000000005E-2</v>
      </c>
      <c r="G169">
        <v>17222.582999999999</v>
      </c>
      <c r="H169">
        <v>503039</v>
      </c>
      <c r="I169">
        <v>0.6</v>
      </c>
      <c r="J169">
        <v>69.34</v>
      </c>
    </row>
    <row r="170" spans="1:10" x14ac:dyDescent="0.2">
      <c r="A170" s="1">
        <v>40909</v>
      </c>
      <c r="B170" s="1">
        <v>40998</v>
      </c>
      <c r="C170">
        <v>164.85779905597261</v>
      </c>
      <c r="D170">
        <v>95.7</v>
      </c>
      <c r="E170">
        <v>9.6478499999999995E-2</v>
      </c>
      <c r="F170">
        <v>4.7941699999999997E-2</v>
      </c>
      <c r="G170">
        <v>17367.009999999998</v>
      </c>
      <c r="H170">
        <v>508399</v>
      </c>
      <c r="I170">
        <v>0.4</v>
      </c>
      <c r="J170">
        <v>69.38</v>
      </c>
    </row>
    <row r="171" spans="1:10" x14ac:dyDescent="0.2">
      <c r="A171" s="1">
        <v>41000</v>
      </c>
      <c r="B171" s="1">
        <v>41090</v>
      </c>
      <c r="C171">
        <v>159.85396332410525</v>
      </c>
      <c r="D171">
        <v>94.8</v>
      </c>
      <c r="E171">
        <v>0.27300029999999997</v>
      </c>
      <c r="F171">
        <v>6.7433400000000004E-2</v>
      </c>
      <c r="G171">
        <v>17444.525000000001</v>
      </c>
      <c r="H171">
        <v>512069</v>
      </c>
      <c r="I171">
        <v>0.5</v>
      </c>
      <c r="J171">
        <v>69.739999999999995</v>
      </c>
    </row>
    <row r="172" spans="1:10" x14ac:dyDescent="0.2">
      <c r="A172" s="1">
        <v>41091</v>
      </c>
      <c r="B172" s="1">
        <v>41182</v>
      </c>
      <c r="C172">
        <v>164.90456220897414</v>
      </c>
      <c r="D172">
        <v>90.5</v>
      </c>
      <c r="E172">
        <v>7.9497600000000002E-2</v>
      </c>
      <c r="F172">
        <v>4.6415499999999998E-2</v>
      </c>
      <c r="G172">
        <v>17469.650000000001</v>
      </c>
      <c r="H172">
        <v>515083</v>
      </c>
      <c r="I172">
        <v>0.7</v>
      </c>
      <c r="J172">
        <v>70.69</v>
      </c>
    </row>
    <row r="173" spans="1:10" x14ac:dyDescent="0.2">
      <c r="A173" s="1">
        <v>41183</v>
      </c>
      <c r="B173" s="1">
        <v>41273</v>
      </c>
      <c r="C173">
        <v>163.24195724244117</v>
      </c>
      <c r="D173">
        <v>89.2</v>
      </c>
      <c r="E173">
        <v>8.0651700000000007E-2</v>
      </c>
      <c r="F173">
        <v>3.3180099999999997E-2</v>
      </c>
      <c r="G173">
        <v>17489.851999999999</v>
      </c>
      <c r="H173">
        <v>517341</v>
      </c>
      <c r="I173">
        <v>0.5</v>
      </c>
      <c r="J173">
        <v>70.87</v>
      </c>
    </row>
    <row r="174" spans="1:10" x14ac:dyDescent="0.2">
      <c r="A174" s="1">
        <v>41275</v>
      </c>
      <c r="B174" s="1">
        <v>41363</v>
      </c>
      <c r="C174">
        <v>166.06450921775561</v>
      </c>
      <c r="D174">
        <v>90</v>
      </c>
      <c r="E174">
        <v>6.5406500000000006E-2</v>
      </c>
      <c r="F174">
        <v>2.3796399999999999E-2</v>
      </c>
      <c r="G174">
        <v>17662.400000000001</v>
      </c>
      <c r="H174">
        <v>520159</v>
      </c>
      <c r="I174">
        <v>0.5</v>
      </c>
      <c r="J174">
        <v>71.11</v>
      </c>
    </row>
    <row r="175" spans="1:10" x14ac:dyDescent="0.2">
      <c r="A175" s="1">
        <v>41365</v>
      </c>
      <c r="B175" s="1">
        <v>41455</v>
      </c>
      <c r="C175">
        <v>161.40990038241117</v>
      </c>
      <c r="D175">
        <v>89.8</v>
      </c>
      <c r="E175">
        <v>7.3975399999999997E-2</v>
      </c>
      <c r="F175">
        <v>2.40241E-2</v>
      </c>
      <c r="G175">
        <v>17709.670999999998</v>
      </c>
      <c r="H175">
        <v>522083</v>
      </c>
      <c r="I175">
        <v>0.6</v>
      </c>
      <c r="J175">
        <v>71.38</v>
      </c>
    </row>
    <row r="176" spans="1:10" x14ac:dyDescent="0.2">
      <c r="A176" s="1">
        <v>41456</v>
      </c>
      <c r="B176" s="1">
        <v>41547</v>
      </c>
      <c r="C176">
        <v>150.74308366232992</v>
      </c>
      <c r="D176">
        <v>88</v>
      </c>
      <c r="E176">
        <v>0</v>
      </c>
      <c r="F176">
        <v>9.5777999999999992E-3</v>
      </c>
      <c r="G176">
        <v>17860.45</v>
      </c>
      <c r="H176">
        <v>526314</v>
      </c>
      <c r="I176">
        <v>0.7</v>
      </c>
      <c r="J176">
        <v>72.25</v>
      </c>
    </row>
    <row r="177" spans="1:10" x14ac:dyDescent="0.2">
      <c r="A177" s="1">
        <v>41548</v>
      </c>
      <c r="B177" s="1">
        <v>41639</v>
      </c>
      <c r="C177">
        <v>152.06464541678235</v>
      </c>
      <c r="D177">
        <v>88.7</v>
      </c>
      <c r="E177">
        <v>0</v>
      </c>
      <c r="F177">
        <v>2.4658000000000002E-3</v>
      </c>
      <c r="G177">
        <v>18016.147000000001</v>
      </c>
      <c r="H177">
        <v>530419</v>
      </c>
      <c r="I177">
        <v>0.8</v>
      </c>
      <c r="J177">
        <v>72.77</v>
      </c>
    </row>
    <row r="178" spans="1:10" x14ac:dyDescent="0.2">
      <c r="A178" s="1">
        <v>41640</v>
      </c>
      <c r="B178" s="1">
        <v>41729</v>
      </c>
      <c r="C178">
        <v>147.93791727644572</v>
      </c>
      <c r="D178">
        <v>86.7</v>
      </c>
      <c r="E178">
        <v>0</v>
      </c>
      <c r="F178">
        <v>0</v>
      </c>
      <c r="G178">
        <v>17953.973999999998</v>
      </c>
      <c r="H178">
        <v>534667</v>
      </c>
      <c r="I178">
        <v>0.5</v>
      </c>
      <c r="J178">
        <v>73.2</v>
      </c>
    </row>
    <row r="179" spans="1:10" x14ac:dyDescent="0.2">
      <c r="A179" s="1">
        <v>41730</v>
      </c>
      <c r="B179" s="1">
        <v>41820</v>
      </c>
      <c r="C179">
        <v>153.65666178888657</v>
      </c>
      <c r="D179">
        <v>83.2</v>
      </c>
      <c r="E179">
        <v>0.30809520000000001</v>
      </c>
      <c r="F179">
        <v>6.1619E-2</v>
      </c>
      <c r="G179">
        <v>18185.911</v>
      </c>
      <c r="H179">
        <v>537231</v>
      </c>
      <c r="I179">
        <v>0.7</v>
      </c>
      <c r="J179">
        <v>73.569999999999993</v>
      </c>
    </row>
    <row r="180" spans="1:10" x14ac:dyDescent="0.2">
      <c r="A180" s="1">
        <v>41821</v>
      </c>
      <c r="B180" s="1">
        <v>41912</v>
      </c>
      <c r="C180">
        <v>153.02527805008518</v>
      </c>
      <c r="D180">
        <v>80.7</v>
      </c>
      <c r="E180">
        <v>8.0128199999999997E-2</v>
      </c>
      <c r="F180">
        <v>4.68352E-2</v>
      </c>
      <c r="G180">
        <v>18406.940999999999</v>
      </c>
      <c r="H180">
        <v>539397</v>
      </c>
      <c r="I180">
        <v>0.4</v>
      </c>
      <c r="J180">
        <v>73.88</v>
      </c>
    </row>
    <row r="181" spans="1:10" x14ac:dyDescent="0.2">
      <c r="A181" s="1">
        <v>41913</v>
      </c>
      <c r="B181" s="1">
        <v>42004</v>
      </c>
      <c r="C181">
        <v>146.61238218095349</v>
      </c>
      <c r="D181">
        <v>79</v>
      </c>
      <c r="E181">
        <v>8.5940199999999994E-2</v>
      </c>
      <c r="F181">
        <v>3.5470700000000001E-2</v>
      </c>
      <c r="G181">
        <v>18500.030999999999</v>
      </c>
      <c r="H181">
        <v>541390</v>
      </c>
      <c r="I181">
        <v>0.6</v>
      </c>
      <c r="J181">
        <v>74.02</v>
      </c>
    </row>
    <row r="182" spans="1:10" x14ac:dyDescent="0.2">
      <c r="A182" s="1">
        <v>42005</v>
      </c>
      <c r="B182" s="1">
        <v>42094</v>
      </c>
      <c r="C182">
        <v>139.13225869156281</v>
      </c>
      <c r="D182">
        <v>76.5</v>
      </c>
      <c r="E182">
        <v>0.2295421</v>
      </c>
      <c r="F182">
        <v>5.7173399999999999E-2</v>
      </c>
      <c r="G182">
        <v>18666.620999999999</v>
      </c>
      <c r="H182">
        <v>546692</v>
      </c>
      <c r="I182">
        <v>0.6</v>
      </c>
      <c r="J182">
        <v>74.16</v>
      </c>
    </row>
    <row r="183" spans="1:10" x14ac:dyDescent="0.2">
      <c r="A183" s="1">
        <v>42095</v>
      </c>
      <c r="B183" s="1">
        <v>42185</v>
      </c>
      <c r="C183">
        <v>138.51346803271042</v>
      </c>
      <c r="D183">
        <v>73.900000000000006</v>
      </c>
      <c r="E183">
        <v>0.1236935</v>
      </c>
      <c r="F183">
        <v>5.0557600000000001E-2</v>
      </c>
      <c r="G183">
        <v>18782.242999999999</v>
      </c>
      <c r="H183">
        <v>547224</v>
      </c>
      <c r="I183">
        <v>0.6</v>
      </c>
      <c r="J183">
        <v>74.69</v>
      </c>
    </row>
    <row r="184" spans="1:10" x14ac:dyDescent="0.2">
      <c r="A184" s="1">
        <v>42186</v>
      </c>
      <c r="B184" s="1">
        <v>42277</v>
      </c>
      <c r="C184">
        <v>132.28822099297622</v>
      </c>
      <c r="D184">
        <v>72.400000000000006</v>
      </c>
      <c r="E184">
        <v>0.26383479999999998</v>
      </c>
      <c r="F184">
        <v>7.2787699999999997E-2</v>
      </c>
      <c r="G184">
        <v>18857.418000000001</v>
      </c>
      <c r="H184">
        <v>552637</v>
      </c>
      <c r="I184">
        <v>0.3</v>
      </c>
      <c r="J184">
        <v>74.98</v>
      </c>
    </row>
    <row r="185" spans="1:10" x14ac:dyDescent="0.2">
      <c r="A185" s="1">
        <v>42278</v>
      </c>
      <c r="B185" s="1">
        <v>42369</v>
      </c>
      <c r="C185">
        <v>132.73512027342832</v>
      </c>
      <c r="D185">
        <v>69.3</v>
      </c>
      <c r="E185">
        <v>7.9987199999999994E-2</v>
      </c>
      <c r="F185">
        <v>4.6503999999999997E-2</v>
      </c>
      <c r="G185">
        <v>18892.205999999998</v>
      </c>
      <c r="H185">
        <v>556034</v>
      </c>
      <c r="I185">
        <v>0.6</v>
      </c>
      <c r="J185">
        <v>75.27</v>
      </c>
    </row>
    <row r="186" spans="1:10" x14ac:dyDescent="0.2">
      <c r="A186" s="1">
        <v>42370</v>
      </c>
      <c r="B186" s="1">
        <v>42460</v>
      </c>
      <c r="C186">
        <v>133.60922503267977</v>
      </c>
      <c r="D186">
        <v>67.8</v>
      </c>
      <c r="E186">
        <v>0.3839361</v>
      </c>
      <c r="F186">
        <v>9.3580399999999994E-2</v>
      </c>
      <c r="G186">
        <v>19001.689999999999</v>
      </c>
      <c r="H186">
        <v>561181</v>
      </c>
      <c r="I186">
        <v>0.2</v>
      </c>
      <c r="J186">
        <v>75.12</v>
      </c>
    </row>
    <row r="187" spans="1:10" x14ac:dyDescent="0.2">
      <c r="A187" s="1">
        <v>42461</v>
      </c>
      <c r="B187" s="1">
        <v>42551</v>
      </c>
      <c r="C187">
        <v>135.52943707279897</v>
      </c>
      <c r="D187">
        <v>69.900000000000006</v>
      </c>
      <c r="E187">
        <v>7.12251E-2</v>
      </c>
      <c r="F187">
        <v>5.5304899999999997E-2</v>
      </c>
      <c r="G187">
        <v>19062.708999999999</v>
      </c>
      <c r="H187">
        <v>564778</v>
      </c>
      <c r="I187">
        <v>0.5</v>
      </c>
      <c r="J187">
        <v>75.45</v>
      </c>
    </row>
    <row r="188" spans="1:10" x14ac:dyDescent="0.2">
      <c r="A188" s="1">
        <v>42552</v>
      </c>
      <c r="B188" s="1">
        <v>42643</v>
      </c>
      <c r="C188">
        <v>137.51557428870942</v>
      </c>
      <c r="D188">
        <v>73.099999999999994</v>
      </c>
      <c r="E188">
        <v>0.32814860000000001</v>
      </c>
      <c r="F188">
        <v>8.5550100000000004E-2</v>
      </c>
      <c r="G188">
        <v>19197.937999999998</v>
      </c>
      <c r="H188">
        <v>564810</v>
      </c>
      <c r="I188">
        <v>0.3</v>
      </c>
      <c r="J188">
        <v>75.98</v>
      </c>
    </row>
    <row r="189" spans="1:10" x14ac:dyDescent="0.2">
      <c r="A189" s="1">
        <v>42644</v>
      </c>
      <c r="B189" s="1">
        <v>42735</v>
      </c>
      <c r="C189">
        <v>139.7994960527794</v>
      </c>
      <c r="D189">
        <v>81</v>
      </c>
      <c r="E189">
        <v>0.21297740000000001</v>
      </c>
      <c r="F189">
        <v>7.7784500000000006E-2</v>
      </c>
      <c r="G189">
        <v>19304.351999999999</v>
      </c>
      <c r="H189">
        <v>571330</v>
      </c>
      <c r="I189">
        <v>0.4</v>
      </c>
      <c r="J189">
        <v>76.38</v>
      </c>
    </row>
    <row r="190" spans="1:10" x14ac:dyDescent="0.2">
      <c r="A190" s="1">
        <v>42736</v>
      </c>
      <c r="B190" s="1">
        <v>42825</v>
      </c>
      <c r="C190">
        <v>142.29205334350345</v>
      </c>
      <c r="D190">
        <v>84.1</v>
      </c>
      <c r="E190">
        <v>0.319081</v>
      </c>
      <c r="F190">
        <v>9.6052200000000004E-2</v>
      </c>
      <c r="G190">
        <v>19398.343000000001</v>
      </c>
      <c r="H190">
        <v>573227</v>
      </c>
      <c r="I190">
        <v>0.5</v>
      </c>
      <c r="J190">
        <v>76.73</v>
      </c>
    </row>
    <row r="191" spans="1:10" x14ac:dyDescent="0.2">
      <c r="A191" s="1">
        <v>42826</v>
      </c>
      <c r="B191" s="1">
        <v>42916</v>
      </c>
      <c r="C191">
        <v>139.27522680421112</v>
      </c>
      <c r="D191">
        <v>80.5</v>
      </c>
      <c r="E191">
        <v>0.40412209999999998</v>
      </c>
      <c r="F191">
        <v>0.1198318</v>
      </c>
      <c r="G191">
        <v>19506.949000000001</v>
      </c>
      <c r="H191">
        <v>576511</v>
      </c>
      <c r="I191">
        <v>0.5</v>
      </c>
      <c r="J191">
        <v>76.88</v>
      </c>
    </row>
    <row r="192" spans="1:10" x14ac:dyDescent="0.2">
      <c r="A192" s="1">
        <v>42917</v>
      </c>
      <c r="B192" s="1">
        <v>43008</v>
      </c>
      <c r="C192">
        <v>143.50501692902276</v>
      </c>
      <c r="D192">
        <v>80.7</v>
      </c>
      <c r="E192">
        <v>0.33098880000000003</v>
      </c>
      <c r="F192">
        <v>0.117246</v>
      </c>
      <c r="G192">
        <v>19660.766</v>
      </c>
      <c r="H192">
        <v>582038</v>
      </c>
      <c r="I192">
        <v>0.4</v>
      </c>
      <c r="J192">
        <v>77.349999999999994</v>
      </c>
    </row>
    <row r="193" spans="1:10" x14ac:dyDescent="0.2">
      <c r="A193" s="1">
        <v>43009</v>
      </c>
      <c r="B193" s="1">
        <v>43100</v>
      </c>
      <c r="C193">
        <v>139.53774432369889</v>
      </c>
      <c r="D193">
        <v>80.5</v>
      </c>
      <c r="E193">
        <v>0.1754078</v>
      </c>
      <c r="F193">
        <v>8.1651199999999993E-2</v>
      </c>
      <c r="G193">
        <v>19882.351999999999</v>
      </c>
      <c r="H193">
        <v>584318</v>
      </c>
      <c r="I193">
        <v>0.4</v>
      </c>
      <c r="J193">
        <v>77.87</v>
      </c>
    </row>
    <row r="194" spans="1:10" x14ac:dyDescent="0.2">
      <c r="A194" s="1">
        <v>43101</v>
      </c>
      <c r="B194" s="1">
        <v>43190</v>
      </c>
      <c r="C194">
        <v>138.41548366331952</v>
      </c>
      <c r="D194">
        <v>81.7</v>
      </c>
      <c r="E194">
        <v>0.154691</v>
      </c>
      <c r="F194">
        <v>5.95119E-2</v>
      </c>
      <c r="G194">
        <v>20044.077000000001</v>
      </c>
      <c r="H194">
        <v>590527</v>
      </c>
      <c r="I194">
        <v>0.5</v>
      </c>
      <c r="J194">
        <v>78.209999999999994</v>
      </c>
    </row>
    <row r="195" spans="1:10" x14ac:dyDescent="0.2">
      <c r="A195" s="1">
        <v>43191</v>
      </c>
      <c r="B195" s="1">
        <v>43281</v>
      </c>
      <c r="C195">
        <v>134.93589851309173</v>
      </c>
      <c r="D195">
        <v>82.1</v>
      </c>
      <c r="E195">
        <v>7.8186099999999994E-2</v>
      </c>
      <c r="F195">
        <v>3.6953199999999999E-2</v>
      </c>
      <c r="G195">
        <v>20150.475999999999</v>
      </c>
      <c r="H195">
        <v>594694</v>
      </c>
      <c r="I195">
        <v>0.4</v>
      </c>
      <c r="J195">
        <v>78.489999999999995</v>
      </c>
    </row>
    <row r="196" spans="1:10" x14ac:dyDescent="0.2">
      <c r="A196" s="1">
        <v>43282</v>
      </c>
      <c r="B196" s="1">
        <v>43373</v>
      </c>
      <c r="C196">
        <v>135.22946782142296</v>
      </c>
      <c r="D196">
        <v>83.4</v>
      </c>
      <c r="E196">
        <v>0.21821360000000001</v>
      </c>
      <c r="F196">
        <v>5.66177E-2</v>
      </c>
      <c r="G196">
        <v>20276.153999999999</v>
      </c>
      <c r="H196">
        <v>596975</v>
      </c>
      <c r="I196">
        <v>0.4</v>
      </c>
      <c r="J196">
        <v>78.83</v>
      </c>
    </row>
    <row r="197" spans="1:10" x14ac:dyDescent="0.2">
      <c r="A197" s="1">
        <v>43374</v>
      </c>
      <c r="B197" s="1">
        <v>43465</v>
      </c>
      <c r="C197">
        <v>134.27027717069117</v>
      </c>
      <c r="D197">
        <v>85.1</v>
      </c>
      <c r="E197">
        <v>0.23766139999999999</v>
      </c>
      <c r="F197">
        <v>7.1959800000000004E-2</v>
      </c>
      <c r="G197">
        <v>20304.874</v>
      </c>
      <c r="H197">
        <v>598406</v>
      </c>
      <c r="I197">
        <v>0.5</v>
      </c>
      <c r="J197">
        <v>79.239999999999995</v>
      </c>
    </row>
    <row r="198" spans="1:10" x14ac:dyDescent="0.2">
      <c r="A198" s="1">
        <v>43466</v>
      </c>
      <c r="B198" s="1">
        <v>43555</v>
      </c>
      <c r="C198">
        <v>131.16969567731013</v>
      </c>
      <c r="D198">
        <v>86.1</v>
      </c>
      <c r="E198">
        <v>0.14846709999999999</v>
      </c>
      <c r="F198">
        <v>6.0733299999999997E-2</v>
      </c>
      <c r="G198">
        <v>20431.641</v>
      </c>
      <c r="H198">
        <v>603121</v>
      </c>
      <c r="I198">
        <v>0.3</v>
      </c>
      <c r="J198">
        <v>79.23</v>
      </c>
    </row>
    <row r="199" spans="1:10" x14ac:dyDescent="0.2">
      <c r="A199" s="1">
        <v>43556</v>
      </c>
      <c r="B199" s="1">
        <v>43646</v>
      </c>
      <c r="C199">
        <v>130.11626275303917</v>
      </c>
      <c r="D199">
        <v>89</v>
      </c>
      <c r="E199">
        <v>0.39590900000000001</v>
      </c>
      <c r="F199">
        <v>0.1019505</v>
      </c>
      <c r="G199">
        <v>20602.275000000001</v>
      </c>
      <c r="H199">
        <v>604669</v>
      </c>
      <c r="I199">
        <v>0.4</v>
      </c>
      <c r="J199">
        <v>79.7</v>
      </c>
    </row>
    <row r="200" spans="1:10" x14ac:dyDescent="0.2">
      <c r="A200" s="1">
        <v>43647</v>
      </c>
      <c r="B200" s="1">
        <v>43738</v>
      </c>
      <c r="C200">
        <v>128.67526476787475</v>
      </c>
      <c r="D200">
        <v>89.8</v>
      </c>
      <c r="E200">
        <v>0.31880130000000001</v>
      </c>
      <c r="F200">
        <v>0.1083001</v>
      </c>
      <c r="G200">
        <v>20843.322</v>
      </c>
      <c r="H200">
        <v>608155</v>
      </c>
      <c r="I200">
        <v>0.4</v>
      </c>
      <c r="J200">
        <v>80.150000000000006</v>
      </c>
    </row>
    <row r="201" spans="1:10" x14ac:dyDescent="0.2">
      <c r="A201" s="1">
        <v>43739</v>
      </c>
      <c r="B201" s="1">
        <v>43830</v>
      </c>
      <c r="C201">
        <v>128.22981331854919</v>
      </c>
      <c r="D201">
        <v>85</v>
      </c>
      <c r="E201">
        <v>0</v>
      </c>
      <c r="F201">
        <v>4.5077100000000002E-2</v>
      </c>
      <c r="G201">
        <v>20985.448</v>
      </c>
      <c r="H201">
        <v>611732</v>
      </c>
      <c r="I201">
        <v>0.4</v>
      </c>
      <c r="J201">
        <v>80.7</v>
      </c>
    </row>
    <row r="202" spans="1:10" x14ac:dyDescent="0.2">
      <c r="A202" s="1">
        <v>43831</v>
      </c>
      <c r="B202" s="1">
        <v>43921</v>
      </c>
      <c r="C202">
        <v>124.0362984990514</v>
      </c>
      <c r="D202">
        <v>85</v>
      </c>
      <c r="E202">
        <v>0.38568340000000001</v>
      </c>
      <c r="F202">
        <v>8.7763400000000005E-2</v>
      </c>
      <c r="G202">
        <v>20709.212</v>
      </c>
      <c r="H202">
        <v>610772</v>
      </c>
      <c r="I202">
        <v>0.5</v>
      </c>
      <c r="J202">
        <v>81</v>
      </c>
    </row>
    <row r="203" spans="1:10" x14ac:dyDescent="0.2">
      <c r="A203" s="1">
        <v>43922</v>
      </c>
      <c r="B203" s="1">
        <v>44012</v>
      </c>
      <c r="C203">
        <v>125.0594035473481</v>
      </c>
      <c r="D203">
        <v>86.4</v>
      </c>
      <c r="E203">
        <v>0.12780639999999999</v>
      </c>
      <c r="F203">
        <v>6.4129599999999995E-2</v>
      </c>
      <c r="G203">
        <v>19077.991999999998</v>
      </c>
      <c r="H203">
        <v>569303</v>
      </c>
      <c r="I203">
        <v>0</v>
      </c>
      <c r="J203">
        <v>79.44</v>
      </c>
    </row>
    <row r="204" spans="1:10" x14ac:dyDescent="0.2">
      <c r="A204" s="1">
        <v>44013</v>
      </c>
      <c r="B204" s="1">
        <v>44104</v>
      </c>
      <c r="C204">
        <v>133.02608794508859</v>
      </c>
      <c r="D204">
        <v>87.3</v>
      </c>
      <c r="E204">
        <v>0.3702724</v>
      </c>
      <c r="F204">
        <v>9.9691199999999994E-2</v>
      </c>
      <c r="G204">
        <v>20558.879000000001</v>
      </c>
      <c r="H204">
        <v>588877</v>
      </c>
      <c r="I204">
        <v>0.3</v>
      </c>
      <c r="J204">
        <v>80.67</v>
      </c>
    </row>
    <row r="205" spans="1:10" x14ac:dyDescent="0.2">
      <c r="A205" s="1">
        <v>44105</v>
      </c>
      <c r="B205" s="1">
        <v>44196</v>
      </c>
      <c r="C205">
        <v>132.59731928761528</v>
      </c>
      <c r="D205">
        <v>90.3</v>
      </c>
      <c r="E205">
        <v>0.37380380000000002</v>
      </c>
      <c r="F205">
        <v>0.1160482</v>
      </c>
      <c r="G205">
        <v>20791.917000000001</v>
      </c>
      <c r="H205">
        <v>609061</v>
      </c>
      <c r="I205">
        <v>0.5</v>
      </c>
      <c r="J205">
        <v>81.400000000000006</v>
      </c>
    </row>
    <row r="206" spans="1:10" x14ac:dyDescent="0.2">
      <c r="A206" s="1">
        <v>44197</v>
      </c>
      <c r="B206" s="1">
        <v>44286</v>
      </c>
      <c r="C206">
        <v>138.41453317741858</v>
      </c>
      <c r="D206">
        <v>96.7</v>
      </c>
      <c r="E206">
        <v>0.21688840000000001</v>
      </c>
      <c r="F206">
        <v>9.3100500000000003E-2</v>
      </c>
      <c r="G206">
        <v>21082.133999999998</v>
      </c>
      <c r="H206">
        <v>622761</v>
      </c>
      <c r="I206">
        <v>0.3</v>
      </c>
      <c r="J206">
        <v>81.87</v>
      </c>
    </row>
    <row r="207" spans="1:10" x14ac:dyDescent="0.2">
      <c r="A207" s="1">
        <v>44287</v>
      </c>
      <c r="B207" s="1">
        <v>44377</v>
      </c>
      <c r="C207">
        <v>138.40090166171925</v>
      </c>
      <c r="D207">
        <v>106.5</v>
      </c>
      <c r="E207">
        <v>0.30969340000000001</v>
      </c>
      <c r="F207">
        <v>9.6087599999999995E-2</v>
      </c>
      <c r="G207">
        <v>21440.929</v>
      </c>
      <c r="H207">
        <v>627429</v>
      </c>
      <c r="I207">
        <v>0.5</v>
      </c>
      <c r="J207">
        <v>82.47</v>
      </c>
    </row>
    <row r="208" spans="1:10" x14ac:dyDescent="0.2">
      <c r="A208" s="1">
        <v>44378</v>
      </c>
      <c r="B208" s="1">
        <v>44469</v>
      </c>
      <c r="C208">
        <v>133.64380375791066</v>
      </c>
      <c r="D208">
        <v>106.6</v>
      </c>
      <c r="E208">
        <v>0.3576858</v>
      </c>
      <c r="F208">
        <v>0.1097361</v>
      </c>
      <c r="G208">
        <v>21617.828000000001</v>
      </c>
      <c r="H208">
        <v>616398</v>
      </c>
      <c r="I208">
        <v>0.8</v>
      </c>
      <c r="J208">
        <v>83.17</v>
      </c>
    </row>
    <row r="209" spans="1:10" x14ac:dyDescent="0.2">
      <c r="A209" s="1">
        <v>44470</v>
      </c>
      <c r="B209" s="1">
        <v>44561</v>
      </c>
      <c r="C209">
        <v>133.654092796653</v>
      </c>
      <c r="D209">
        <v>98.5</v>
      </c>
      <c r="E209">
        <v>0.13539129999999999</v>
      </c>
      <c r="F209">
        <v>7.3169899999999996E-2</v>
      </c>
      <c r="G209">
        <v>21988.737000000001</v>
      </c>
      <c r="H209">
        <v>639065</v>
      </c>
      <c r="I209">
        <v>1</v>
      </c>
      <c r="J209">
        <v>84.23</v>
      </c>
    </row>
    <row r="210" spans="1:10" x14ac:dyDescent="0.2">
      <c r="A210" s="1">
        <v>44562</v>
      </c>
      <c r="B210" s="1">
        <v>44651</v>
      </c>
      <c r="C210">
        <v>134.44172574947052</v>
      </c>
      <c r="D210">
        <v>106.8</v>
      </c>
      <c r="E210">
        <v>0.25089070000000002</v>
      </c>
      <c r="F210">
        <v>7.5640100000000002E-2</v>
      </c>
      <c r="G210">
        <v>21932.71</v>
      </c>
      <c r="H210">
        <v>645474</v>
      </c>
      <c r="I210">
        <v>1.5</v>
      </c>
      <c r="J210">
        <v>86.05</v>
      </c>
    </row>
    <row r="211" spans="1:10" x14ac:dyDescent="0.2">
      <c r="A211" s="1">
        <v>44652</v>
      </c>
      <c r="B211" s="1">
        <v>44742</v>
      </c>
      <c r="C211">
        <v>139.39241100639174</v>
      </c>
      <c r="D211">
        <v>115.8</v>
      </c>
      <c r="E211">
        <v>0.28001789999999999</v>
      </c>
      <c r="F211">
        <v>8.5605700000000007E-2</v>
      </c>
      <c r="G211">
        <v>21967.044999999998</v>
      </c>
      <c r="H211">
        <v>651311</v>
      </c>
      <c r="I211">
        <v>1.6</v>
      </c>
      <c r="J211">
        <v>87.59</v>
      </c>
    </row>
    <row r="212" spans="1:10" x14ac:dyDescent="0.2">
      <c r="A212" s="1">
        <v>44743</v>
      </c>
      <c r="B212" s="1">
        <v>44834</v>
      </c>
      <c r="C212">
        <v>139.9357352620307</v>
      </c>
      <c r="D212">
        <v>110</v>
      </c>
      <c r="E212">
        <v>6.3243099999999997E-2</v>
      </c>
      <c r="F212">
        <v>4.9013399999999999E-2</v>
      </c>
      <c r="G212">
        <v>22125.625</v>
      </c>
      <c r="H212">
        <v>654278</v>
      </c>
      <c r="I212">
        <v>1.8</v>
      </c>
      <c r="J212">
        <v>89.2</v>
      </c>
    </row>
    <row r="213" spans="1:10" x14ac:dyDescent="0.2">
      <c r="A213" s="1">
        <v>44835</v>
      </c>
      <c r="B213" s="1">
        <v>44926</v>
      </c>
      <c r="C213">
        <v>138.60423185315088</v>
      </c>
      <c r="D213">
        <v>106.3</v>
      </c>
      <c r="E213">
        <v>0.1810938</v>
      </c>
      <c r="F213">
        <v>5.1877E-2</v>
      </c>
      <c r="G213">
        <v>22278.345000000001</v>
      </c>
      <c r="H213">
        <v>659867</v>
      </c>
      <c r="I213">
        <v>1.7</v>
      </c>
      <c r="J213">
        <v>90.85</v>
      </c>
    </row>
    <row r="214" spans="1:10" x14ac:dyDescent="0.2">
      <c r="A214" s="1">
        <v>44927</v>
      </c>
      <c r="B214" s="1">
        <v>45016</v>
      </c>
      <c r="C214">
        <v>139.36090989232363</v>
      </c>
      <c r="D214">
        <v>108.4</v>
      </c>
      <c r="E214">
        <v>0.14771049999999999</v>
      </c>
      <c r="F214">
        <v>4.9759600000000001E-2</v>
      </c>
      <c r="G214">
        <v>22439.607</v>
      </c>
      <c r="H214">
        <v>663632</v>
      </c>
      <c r="I214">
        <v>1.2</v>
      </c>
      <c r="J214">
        <v>92.08</v>
      </c>
    </row>
    <row r="215" spans="1:10" x14ac:dyDescent="0.2">
      <c r="A215" s="1">
        <v>45017</v>
      </c>
      <c r="B215" s="1">
        <v>45107</v>
      </c>
      <c r="C215">
        <v>138.31988387372562</v>
      </c>
      <c r="D215">
        <v>102.2</v>
      </c>
      <c r="E215">
        <v>7.1235199999999999E-2</v>
      </c>
      <c r="F215">
        <v>3.5054599999999998E-2</v>
      </c>
      <c r="G215">
        <v>22580.499</v>
      </c>
      <c r="H215">
        <v>665940</v>
      </c>
      <c r="I215">
        <v>0.9</v>
      </c>
      <c r="J215">
        <v>92.87</v>
      </c>
    </row>
    <row r="216" spans="1:10" x14ac:dyDescent="0.2">
      <c r="A216" s="1">
        <v>45108</v>
      </c>
      <c r="B216" s="1">
        <v>45199</v>
      </c>
      <c r="C216">
        <v>139.1089671235421</v>
      </c>
      <c r="D216">
        <v>99.2</v>
      </c>
      <c r="E216">
        <v>7.7591599999999997E-2</v>
      </c>
      <c r="F216">
        <v>2.75655E-2</v>
      </c>
      <c r="G216">
        <v>22840.989000000001</v>
      </c>
      <c r="H216">
        <v>668408</v>
      </c>
      <c r="I216">
        <v>1.2</v>
      </c>
      <c r="J216">
        <v>93.94</v>
      </c>
    </row>
    <row r="217" spans="1:10" x14ac:dyDescent="0.2">
      <c r="A217" s="1">
        <v>45200</v>
      </c>
      <c r="B217" s="1">
        <v>45291</v>
      </c>
      <c r="C217">
        <v>139.82467141830077</v>
      </c>
      <c r="D217">
        <v>101.6</v>
      </c>
      <c r="E217">
        <v>0</v>
      </c>
      <c r="F217">
        <v>1.0133700000000001E-2</v>
      </c>
      <c r="G217">
        <v>23033.78</v>
      </c>
      <c r="H217">
        <v>668625</v>
      </c>
      <c r="I217">
        <v>0.9</v>
      </c>
      <c r="J217">
        <v>94.53</v>
      </c>
    </row>
    <row r="218" spans="1:10" x14ac:dyDescent="0.2">
      <c r="A218" s="1">
        <v>45292</v>
      </c>
      <c r="B218" s="1">
        <v>45382</v>
      </c>
      <c r="C218">
        <v>141.54786613129383</v>
      </c>
      <c r="D218">
        <v>100.9</v>
      </c>
      <c r="E218">
        <v>0</v>
      </c>
      <c r="F218">
        <v>2.5864E-3</v>
      </c>
      <c r="G218">
        <v>23082.118999999999</v>
      </c>
      <c r="H218">
        <v>670929</v>
      </c>
      <c r="I218">
        <v>1</v>
      </c>
      <c r="J218">
        <v>95.41</v>
      </c>
    </row>
    <row r="219" spans="1:10" x14ac:dyDescent="0.2">
      <c r="A219" s="1">
        <v>45383</v>
      </c>
      <c r="B219" s="1">
        <v>45473</v>
      </c>
      <c r="C219">
        <v>144.89160189167723</v>
      </c>
      <c r="D219">
        <v>98.4</v>
      </c>
      <c r="E219">
        <v>0</v>
      </c>
      <c r="F219">
        <v>0</v>
      </c>
      <c r="G219">
        <v>23286.508000000002</v>
      </c>
      <c r="H219">
        <v>672062</v>
      </c>
      <c r="I219">
        <v>0.9</v>
      </c>
      <c r="J219">
        <v>96.41</v>
      </c>
    </row>
    <row r="220" spans="1:10" x14ac:dyDescent="0.2">
      <c r="A220" s="1">
        <v>45474</v>
      </c>
      <c r="B220" s="1">
        <v>45565</v>
      </c>
      <c r="C220">
        <v>145.22303878369135</v>
      </c>
      <c r="D220">
        <v>95.5</v>
      </c>
      <c r="E220">
        <v>0</v>
      </c>
      <c r="F220">
        <v>0</v>
      </c>
      <c r="G220">
        <v>23478.57</v>
      </c>
      <c r="H220">
        <v>673895</v>
      </c>
      <c r="I220">
        <v>0.8</v>
      </c>
      <c r="J220">
        <v>96.62</v>
      </c>
    </row>
    <row r="221" spans="1:10" x14ac:dyDescent="0.2">
      <c r="A221" s="1">
        <v>45566</v>
      </c>
      <c r="B221" s="1">
        <v>45657</v>
      </c>
      <c r="C221">
        <v>143.14555804416196</v>
      </c>
      <c r="D221">
        <v>96.7</v>
      </c>
      <c r="E221">
        <v>7.1942400000000004E-2</v>
      </c>
      <c r="F221">
        <v>1.43885E-2</v>
      </c>
      <c r="G221">
        <v>23586.542000000001</v>
      </c>
      <c r="H221">
        <v>676864</v>
      </c>
      <c r="I221">
        <v>0.5</v>
      </c>
      <c r="J221">
        <v>96.81</v>
      </c>
    </row>
    <row r="222" spans="1:10" x14ac:dyDescent="0.2">
      <c r="A222" s="1">
        <v>45658</v>
      </c>
      <c r="B222" s="1">
        <v>45747</v>
      </c>
      <c r="C222">
        <v>139.67238671145634</v>
      </c>
      <c r="D222">
        <v>96.1</v>
      </c>
      <c r="E222">
        <v>7.0358100000000007E-2</v>
      </c>
      <c r="F222">
        <v>2.1265900000000001E-2</v>
      </c>
      <c r="G222">
        <v>23548.21</v>
      </c>
      <c r="H222">
        <v>679519</v>
      </c>
      <c r="I222">
        <v>0.7</v>
      </c>
      <c r="J222">
        <v>97.7</v>
      </c>
    </row>
    <row r="223" spans="1:10" x14ac:dyDescent="0.2">
      <c r="A223" s="1">
        <v>45748</v>
      </c>
      <c r="B223" s="1">
        <v>45838</v>
      </c>
      <c r="C223">
        <v>139.44593590258978</v>
      </c>
      <c r="D223">
        <v>95.3</v>
      </c>
      <c r="E223">
        <v>7.5511599999999998E-2</v>
      </c>
      <c r="F223">
        <v>2.4536200000000001E-2</v>
      </c>
      <c r="G223">
        <v>23770.975999999999</v>
      </c>
      <c r="H223">
        <v>684822</v>
      </c>
      <c r="I223">
        <v>0.6</v>
      </c>
      <c r="J223">
        <v>98.43</v>
      </c>
    </row>
    <row r="224" spans="1:10" x14ac:dyDescent="0.2">
      <c r="A224" s="1">
        <v>45839</v>
      </c>
      <c r="B224" s="1">
        <v>45930</v>
      </c>
      <c r="C224">
        <v>142.32831713496219</v>
      </c>
      <c r="D224">
        <v>95.2</v>
      </c>
      <c r="E224">
        <v>0.17130619999999999</v>
      </c>
      <c r="F224">
        <v>4.4157700000000001E-2</v>
      </c>
      <c r="G224">
        <v>24026.833999999999</v>
      </c>
      <c r="H224">
        <v>688271</v>
      </c>
      <c r="I224">
        <v>1</v>
      </c>
      <c r="J224">
        <v>99.73</v>
      </c>
    </row>
    <row r="225" spans="1:10" x14ac:dyDescent="0.2">
      <c r="A225" s="1">
        <v>45931</v>
      </c>
      <c r="B225" s="1">
        <v>46022</v>
      </c>
      <c r="C225">
        <v>144.78391947498289</v>
      </c>
      <c r="D225">
        <v>95.3</v>
      </c>
      <c r="E225">
        <v>0.1831837</v>
      </c>
      <c r="F225">
        <v>5.6284399999999998E-2</v>
      </c>
      <c r="G225">
        <v>24055.749</v>
      </c>
      <c r="H225">
        <v>694551</v>
      </c>
      <c r="I225">
        <v>0.9</v>
      </c>
      <c r="J225">
        <v>100.32</v>
      </c>
    </row>
    <row r="226" spans="1:10" x14ac:dyDescent="0.2">
      <c r="A226" s="1">
        <v>46023</v>
      </c>
      <c r="B226" s="1">
        <v>46112</v>
      </c>
      <c r="C226">
        <v>152.50811939881072</v>
      </c>
      <c r="D226">
        <v>96.3</v>
      </c>
      <c r="E226">
        <v>0.17048840000000001</v>
      </c>
      <c r="F226">
        <v>5.8126299999999999E-2</v>
      </c>
      <c r="G226">
        <v>24180.419000000002</v>
      </c>
      <c r="H226">
        <v>696539</v>
      </c>
      <c r="I226">
        <v>0.8</v>
      </c>
      <c r="J226">
        <v>101.7</v>
      </c>
    </row>
    <row r="227" spans="1:10" x14ac:dyDescent="0.2">
      <c r="A227" s="1">
        <v>46113</v>
      </c>
      <c r="B227" s="1">
        <v>46203</v>
      </c>
      <c r="C227">
        <v>157.31890990074345</v>
      </c>
      <c r="D227">
        <v>94.8</v>
      </c>
      <c r="E227">
        <v>8.5012299999999999E-2</v>
      </c>
      <c r="F227">
        <v>4.0157400000000003E-2</v>
      </c>
      <c r="G227">
        <v>24269.613000000001</v>
      </c>
      <c r="H227">
        <v>699461</v>
      </c>
      <c r="I227">
        <v>0.8</v>
      </c>
      <c r="J227">
        <v>102.31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89A94-C607-084E-ADE2-24A7F824A5CF}">
  <dimension ref="A1:H167"/>
  <sheetViews>
    <sheetView zoomScale="150" workbookViewId="0"/>
  </sheetViews>
  <sheetFormatPr baseColWidth="10" defaultRowHeight="16" x14ac:dyDescent="0.2"/>
  <sheetData>
    <row r="1" spans="1:8" x14ac:dyDescent="0.2">
      <c r="A1" t="s">
        <v>0</v>
      </c>
      <c r="B1" t="s">
        <v>167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</row>
    <row r="2" spans="1:8" x14ac:dyDescent="0.2">
      <c r="A2" t="s">
        <v>1</v>
      </c>
      <c r="B2">
        <v>8400.82</v>
      </c>
      <c r="C2">
        <v>52.8</v>
      </c>
      <c r="D2">
        <v>209056</v>
      </c>
      <c r="E2">
        <v>1.6</v>
      </c>
      <c r="F2">
        <v>11.849436507936508</v>
      </c>
      <c r="G2">
        <v>123.55458545700601</v>
      </c>
      <c r="H2" t="s">
        <v>174</v>
      </c>
    </row>
    <row r="3" spans="1:8" x14ac:dyDescent="0.2">
      <c r="A3" t="s">
        <v>2</v>
      </c>
      <c r="B3">
        <v>8474.7870000000003</v>
      </c>
      <c r="C3">
        <v>49.4</v>
      </c>
      <c r="D3">
        <v>213736</v>
      </c>
      <c r="E3">
        <v>2.1</v>
      </c>
      <c r="F3">
        <v>14.926062929061786</v>
      </c>
      <c r="G3">
        <v>109.43139218409239</v>
      </c>
      <c r="H3" t="s">
        <v>174</v>
      </c>
    </row>
    <row r="4" spans="1:8" x14ac:dyDescent="0.2">
      <c r="A4" t="s">
        <v>3</v>
      </c>
      <c r="B4">
        <v>8604.2199999999993</v>
      </c>
      <c r="C4">
        <v>48.7</v>
      </c>
      <c r="D4">
        <v>216480</v>
      </c>
      <c r="E4">
        <v>2.1</v>
      </c>
      <c r="F4">
        <v>15.414267833615662</v>
      </c>
      <c r="G4">
        <v>112.74262186023043</v>
      </c>
      <c r="H4" t="s">
        <v>174</v>
      </c>
    </row>
    <row r="5" spans="1:8" x14ac:dyDescent="0.2">
      <c r="A5" t="s">
        <v>4</v>
      </c>
      <c r="B5">
        <v>8668.1880000000001</v>
      </c>
      <c r="C5">
        <v>46.6</v>
      </c>
      <c r="D5">
        <v>215854</v>
      </c>
      <c r="E5">
        <v>2.1</v>
      </c>
      <c r="F5">
        <v>17.206555900621115</v>
      </c>
      <c r="G5">
        <v>106.52886021775561</v>
      </c>
      <c r="H5" t="s">
        <v>174</v>
      </c>
    </row>
    <row r="6" spans="1:8" x14ac:dyDescent="0.2">
      <c r="A6" t="s">
        <v>5</v>
      </c>
      <c r="B6">
        <v>8749.1270000000004</v>
      </c>
      <c r="C6">
        <v>46.4</v>
      </c>
      <c r="D6">
        <v>217350</v>
      </c>
      <c r="E6">
        <v>2.2999999999999998</v>
      </c>
      <c r="F6">
        <v>17.7845037593985</v>
      </c>
      <c r="G6">
        <v>106.28290650652605</v>
      </c>
      <c r="H6" t="s">
        <v>174</v>
      </c>
    </row>
    <row r="7" spans="1:8" x14ac:dyDescent="0.2">
      <c r="A7" t="s">
        <v>6</v>
      </c>
      <c r="B7">
        <v>8788.5239999999994</v>
      </c>
      <c r="C7">
        <v>46.4</v>
      </c>
      <c r="D7">
        <v>216958</v>
      </c>
      <c r="E7">
        <v>2</v>
      </c>
      <c r="F7">
        <v>13.403311688311689</v>
      </c>
      <c r="G7">
        <v>105.42006507442414</v>
      </c>
      <c r="H7" t="s">
        <v>174</v>
      </c>
    </row>
    <row r="8" spans="1:8" x14ac:dyDescent="0.2">
      <c r="A8" t="s">
        <v>7</v>
      </c>
      <c r="B8">
        <v>8872.6010000000006</v>
      </c>
      <c r="C8">
        <v>44.3</v>
      </c>
      <c r="D8">
        <v>217527</v>
      </c>
      <c r="E8">
        <v>2.2000000000000002</v>
      </c>
      <c r="F8">
        <v>15.793683104335278</v>
      </c>
      <c r="G8">
        <v>90.849510750424557</v>
      </c>
      <c r="H8" t="s">
        <v>174</v>
      </c>
    </row>
    <row r="9" spans="1:8" x14ac:dyDescent="0.2">
      <c r="A9" t="s">
        <v>8</v>
      </c>
      <c r="B9">
        <v>8920.1929999999993</v>
      </c>
      <c r="C9">
        <v>44.2</v>
      </c>
      <c r="D9">
        <v>221092</v>
      </c>
      <c r="E9">
        <v>2.4</v>
      </c>
      <c r="F9">
        <v>16.053076949620429</v>
      </c>
      <c r="G9">
        <v>95.972369531829457</v>
      </c>
      <c r="H9" t="s">
        <v>174</v>
      </c>
    </row>
    <row r="10" spans="1:8" x14ac:dyDescent="0.2">
      <c r="A10" t="s">
        <v>9</v>
      </c>
      <c r="B10">
        <v>8986.3670000000002</v>
      </c>
      <c r="C10">
        <v>44.5</v>
      </c>
      <c r="D10">
        <v>223314</v>
      </c>
      <c r="E10">
        <v>2</v>
      </c>
      <c r="F10">
        <v>16.08972727272727</v>
      </c>
      <c r="G10">
        <v>97.577349056459312</v>
      </c>
      <c r="H10" t="s">
        <v>174</v>
      </c>
    </row>
    <row r="11" spans="1:8" x14ac:dyDescent="0.2">
      <c r="A11" t="s">
        <v>10</v>
      </c>
      <c r="B11">
        <v>9083.2559999999994</v>
      </c>
      <c r="C11">
        <v>45.4</v>
      </c>
      <c r="D11">
        <v>226866</v>
      </c>
      <c r="E11">
        <v>1.9</v>
      </c>
      <c r="F11">
        <v>13.559603174603176</v>
      </c>
      <c r="G11">
        <v>101.49921822773322</v>
      </c>
      <c r="H11" t="s">
        <v>174</v>
      </c>
    </row>
    <row r="12" spans="1:8" x14ac:dyDescent="0.2">
      <c r="A12" t="s">
        <v>11</v>
      </c>
      <c r="B12">
        <v>9162.0239999999994</v>
      </c>
      <c r="C12">
        <v>46.6</v>
      </c>
      <c r="D12">
        <v>230956</v>
      </c>
      <c r="E12">
        <v>1.6</v>
      </c>
      <c r="F12">
        <v>11.862316644707947</v>
      </c>
      <c r="G12">
        <v>103.05213310773682</v>
      </c>
      <c r="H12" t="s">
        <v>174</v>
      </c>
    </row>
    <row r="13" spans="1:8" x14ac:dyDescent="0.2">
      <c r="A13" t="s">
        <v>12</v>
      </c>
      <c r="B13">
        <v>9319.3320000000003</v>
      </c>
      <c r="C13">
        <v>46.7</v>
      </c>
      <c r="D13">
        <v>235600</v>
      </c>
      <c r="E13">
        <v>1.8</v>
      </c>
      <c r="F13">
        <v>10.655634920634922</v>
      </c>
      <c r="G13">
        <v>98.611948250851228</v>
      </c>
      <c r="H13" t="s">
        <v>174</v>
      </c>
    </row>
    <row r="14" spans="1:8" x14ac:dyDescent="0.2">
      <c r="A14" t="s">
        <v>13</v>
      </c>
      <c r="B14">
        <v>9367.5020000000004</v>
      </c>
      <c r="C14">
        <v>49</v>
      </c>
      <c r="D14">
        <v>236610</v>
      </c>
      <c r="E14">
        <v>1.7</v>
      </c>
      <c r="F14">
        <v>10.27986015764048</v>
      </c>
      <c r="G14">
        <v>99.205587171224735</v>
      </c>
      <c r="H14" t="s">
        <v>174</v>
      </c>
    </row>
    <row r="15" spans="1:8" x14ac:dyDescent="0.2">
      <c r="A15" t="s">
        <v>14</v>
      </c>
      <c r="B15">
        <v>9490.5939999999991</v>
      </c>
      <c r="C15">
        <v>51.1</v>
      </c>
      <c r="D15">
        <v>236840</v>
      </c>
      <c r="E15">
        <v>1.9</v>
      </c>
      <c r="F15">
        <v>11.228020683020683</v>
      </c>
      <c r="G15">
        <v>107.46640605267092</v>
      </c>
      <c r="H15" t="s">
        <v>174</v>
      </c>
    </row>
    <row r="16" spans="1:8" x14ac:dyDescent="0.2">
      <c r="A16" t="s">
        <v>15</v>
      </c>
      <c r="B16">
        <v>9546.2060000000001</v>
      </c>
      <c r="C16">
        <v>53.9</v>
      </c>
      <c r="D16">
        <v>238744</v>
      </c>
      <c r="E16">
        <v>1.7</v>
      </c>
      <c r="F16">
        <v>12.451975343497082</v>
      </c>
      <c r="G16">
        <v>115.20148615671741</v>
      </c>
      <c r="H16" t="s">
        <v>174</v>
      </c>
    </row>
    <row r="17" spans="1:8" x14ac:dyDescent="0.2">
      <c r="A17" t="s">
        <v>16</v>
      </c>
      <c r="B17">
        <v>9673.4050000000007</v>
      </c>
      <c r="C17">
        <v>54.3</v>
      </c>
      <c r="D17">
        <v>242638</v>
      </c>
      <c r="E17">
        <v>1.6</v>
      </c>
      <c r="F17">
        <v>13.941497113997114</v>
      </c>
      <c r="G17">
        <v>117.78698438204739</v>
      </c>
      <c r="H17" t="s">
        <v>174</v>
      </c>
    </row>
    <row r="18" spans="1:8" x14ac:dyDescent="0.2">
      <c r="A18" t="s">
        <v>17</v>
      </c>
      <c r="B18">
        <v>9771.7250000000004</v>
      </c>
      <c r="C18">
        <v>56.9</v>
      </c>
      <c r="D18">
        <v>244905</v>
      </c>
      <c r="E18">
        <v>1.3</v>
      </c>
      <c r="F18">
        <v>15.552746031746032</v>
      </c>
      <c r="G18">
        <v>120.51088922228656</v>
      </c>
      <c r="H18" t="s">
        <v>174</v>
      </c>
    </row>
    <row r="19" spans="1:8" x14ac:dyDescent="0.2">
      <c r="A19" t="s">
        <v>18</v>
      </c>
      <c r="B19">
        <v>9846.2929999999997</v>
      </c>
      <c r="C19">
        <v>56.6</v>
      </c>
      <c r="D19">
        <v>250181</v>
      </c>
      <c r="E19">
        <v>1.6</v>
      </c>
      <c r="F19">
        <v>16.837714576295809</v>
      </c>
      <c r="G19">
        <v>114.43015457365439</v>
      </c>
      <c r="H19" t="s">
        <v>174</v>
      </c>
    </row>
    <row r="20" spans="1:8" x14ac:dyDescent="0.2">
      <c r="A20" t="s">
        <v>19</v>
      </c>
      <c r="B20">
        <v>9919.2279999999992</v>
      </c>
      <c r="C20">
        <v>55.6</v>
      </c>
      <c r="D20">
        <v>252319</v>
      </c>
      <c r="E20">
        <v>1.5</v>
      </c>
      <c r="F20">
        <v>17.074858523119399</v>
      </c>
      <c r="G20">
        <v>114.13276156351415</v>
      </c>
      <c r="H20" t="s">
        <v>174</v>
      </c>
    </row>
    <row r="21" spans="1:8" x14ac:dyDescent="0.2">
      <c r="A21" t="s">
        <v>20</v>
      </c>
      <c r="B21">
        <v>9938.7669999999998</v>
      </c>
      <c r="C21">
        <v>55.8</v>
      </c>
      <c r="D21">
        <v>251640</v>
      </c>
      <c r="E21">
        <v>1.7</v>
      </c>
      <c r="F21">
        <v>17.837982456140349</v>
      </c>
      <c r="G21">
        <v>117.23623706300226</v>
      </c>
      <c r="H21" t="s">
        <v>174</v>
      </c>
    </row>
    <row r="22" spans="1:8" x14ac:dyDescent="0.2">
      <c r="A22" t="s">
        <v>21</v>
      </c>
      <c r="B22">
        <v>10047.386</v>
      </c>
      <c r="C22">
        <v>55.7</v>
      </c>
      <c r="D22">
        <v>253536</v>
      </c>
      <c r="E22">
        <v>1.7</v>
      </c>
      <c r="F22">
        <v>16.903969696969696</v>
      </c>
      <c r="G22">
        <v>116.13691090824065</v>
      </c>
      <c r="H22">
        <v>22.174603174603163</v>
      </c>
    </row>
    <row r="23" spans="1:8" x14ac:dyDescent="0.2">
      <c r="A23" t="s">
        <v>22</v>
      </c>
      <c r="B23">
        <v>10083.855</v>
      </c>
      <c r="C23">
        <v>56</v>
      </c>
      <c r="D23">
        <v>253863</v>
      </c>
      <c r="E23">
        <v>1.7</v>
      </c>
      <c r="F23">
        <v>15.011761674718196</v>
      </c>
      <c r="G23">
        <v>118.63900256853672</v>
      </c>
      <c r="H23">
        <v>18.722063492063491</v>
      </c>
    </row>
    <row r="24" spans="1:8" x14ac:dyDescent="0.2">
      <c r="A24" t="s">
        <v>23</v>
      </c>
      <c r="B24">
        <v>10090.569</v>
      </c>
      <c r="C24">
        <v>55.4</v>
      </c>
      <c r="D24">
        <v>252550</v>
      </c>
      <c r="E24">
        <v>1.3</v>
      </c>
      <c r="F24">
        <v>14.301866271409748</v>
      </c>
      <c r="G24">
        <v>120.72642978349886</v>
      </c>
      <c r="H24">
        <v>25.195555555555547</v>
      </c>
    </row>
    <row r="25" spans="1:8" x14ac:dyDescent="0.2">
      <c r="A25" t="s">
        <v>24</v>
      </c>
      <c r="B25">
        <v>9998.7039999999997</v>
      </c>
      <c r="C25">
        <v>52.7</v>
      </c>
      <c r="D25">
        <v>253941</v>
      </c>
      <c r="E25">
        <v>1.8</v>
      </c>
      <c r="F25">
        <v>13.004576659038932</v>
      </c>
      <c r="G25">
        <v>113.32673432082314</v>
      </c>
      <c r="H25">
        <v>26.113281249999993</v>
      </c>
    </row>
    <row r="26" spans="1:8" x14ac:dyDescent="0.2">
      <c r="A26" t="s">
        <v>25</v>
      </c>
      <c r="B26">
        <v>9951.9159999999993</v>
      </c>
      <c r="C26">
        <v>51.9</v>
      </c>
      <c r="D26">
        <v>250758</v>
      </c>
      <c r="E26">
        <v>0.8</v>
      </c>
      <c r="F26">
        <v>12</v>
      </c>
      <c r="G26">
        <v>113.74431330891555</v>
      </c>
      <c r="H26">
        <v>22.515833333333326</v>
      </c>
    </row>
    <row r="27" spans="1:8" x14ac:dyDescent="0.2">
      <c r="A27" t="s">
        <v>26</v>
      </c>
      <c r="B27">
        <v>10029.51</v>
      </c>
      <c r="C27">
        <v>51.4</v>
      </c>
      <c r="D27">
        <v>250219</v>
      </c>
      <c r="E27">
        <v>1.1000000000000001</v>
      </c>
      <c r="F27">
        <v>11.009420289855067</v>
      </c>
      <c r="G27">
        <v>117.0980312332766</v>
      </c>
      <c r="H27">
        <v>17.147031249999994</v>
      </c>
    </row>
    <row r="28" spans="1:8" x14ac:dyDescent="0.2">
      <c r="A28" t="s">
        <v>27</v>
      </c>
      <c r="B28">
        <v>10080.195</v>
      </c>
      <c r="C28">
        <v>51.6</v>
      </c>
      <c r="D28">
        <v>251377</v>
      </c>
      <c r="E28">
        <v>1.1000000000000001</v>
      </c>
      <c r="F28">
        <v>10.182539682539684</v>
      </c>
      <c r="G28">
        <v>118.80022140362259</v>
      </c>
      <c r="H28">
        <v>16.634218749999999</v>
      </c>
    </row>
    <row r="29" spans="1:8" x14ac:dyDescent="0.2">
      <c r="A29" t="s">
        <v>28</v>
      </c>
      <c r="B29">
        <v>10115.329</v>
      </c>
      <c r="C29">
        <v>51</v>
      </c>
      <c r="D29">
        <v>251541</v>
      </c>
      <c r="E29">
        <v>0.7</v>
      </c>
      <c r="F29">
        <v>8.8809523809523796</v>
      </c>
      <c r="G29">
        <v>115.73288510113173</v>
      </c>
      <c r="H29">
        <v>17.455312500000005</v>
      </c>
    </row>
    <row r="30" spans="1:8" x14ac:dyDescent="0.2">
      <c r="A30" t="s">
        <v>29</v>
      </c>
      <c r="B30">
        <v>10236.434999999999</v>
      </c>
      <c r="C30">
        <v>51.2</v>
      </c>
      <c r="D30">
        <v>253547</v>
      </c>
      <c r="E30">
        <v>0.4</v>
      </c>
      <c r="F30">
        <v>7.5634920634920633</v>
      </c>
      <c r="G30">
        <v>110.47056331244316</v>
      </c>
      <c r="H30">
        <v>17.564285714285717</v>
      </c>
    </row>
    <row r="31" spans="1:8" x14ac:dyDescent="0.2">
      <c r="A31" t="s">
        <v>30</v>
      </c>
      <c r="B31">
        <v>10347.429</v>
      </c>
      <c r="C31">
        <v>50.7</v>
      </c>
      <c r="D31">
        <v>255366</v>
      </c>
      <c r="E31">
        <v>0.6</v>
      </c>
      <c r="F31">
        <v>6.8809523809523796</v>
      </c>
      <c r="G31">
        <v>111.53803449079022</v>
      </c>
      <c r="H31">
        <v>15.616349206349209</v>
      </c>
    </row>
    <row r="32" spans="1:8" x14ac:dyDescent="0.2">
      <c r="A32" t="s">
        <v>31</v>
      </c>
      <c r="B32">
        <v>10449.673000000001</v>
      </c>
      <c r="C32">
        <v>49.9</v>
      </c>
      <c r="D32">
        <v>257852</v>
      </c>
      <c r="E32">
        <v>0.5</v>
      </c>
      <c r="F32">
        <v>5.804347826086957</v>
      </c>
      <c r="G32">
        <v>104.20372843964687</v>
      </c>
      <c r="H32">
        <v>13.902031250000002</v>
      </c>
    </row>
    <row r="33" spans="1:8" x14ac:dyDescent="0.2">
      <c r="A33" t="s">
        <v>32</v>
      </c>
      <c r="B33">
        <v>10558.647999999999</v>
      </c>
      <c r="C33">
        <v>49.2</v>
      </c>
      <c r="D33">
        <v>263251</v>
      </c>
      <c r="E33">
        <v>0.5</v>
      </c>
      <c r="F33">
        <v>5.75</v>
      </c>
      <c r="G33">
        <v>101.57853734620592</v>
      </c>
      <c r="H33">
        <v>14.761093749999997</v>
      </c>
    </row>
    <row r="34" spans="1:8" x14ac:dyDescent="0.2">
      <c r="A34" t="s">
        <v>33</v>
      </c>
      <c r="B34">
        <v>10576.275</v>
      </c>
      <c r="C34">
        <v>49.3</v>
      </c>
      <c r="D34">
        <v>265081</v>
      </c>
      <c r="E34">
        <v>0.5</v>
      </c>
      <c r="F34">
        <v>5.6992753623188399</v>
      </c>
      <c r="G34">
        <v>101.12837752975817</v>
      </c>
      <c r="H34">
        <v>13.255322580645162</v>
      </c>
    </row>
    <row r="35" spans="1:8" x14ac:dyDescent="0.2">
      <c r="A35" t="s">
        <v>34</v>
      </c>
      <c r="B35">
        <v>10637.847</v>
      </c>
      <c r="C35">
        <v>47.9</v>
      </c>
      <c r="D35">
        <v>266583</v>
      </c>
      <c r="E35">
        <v>0.6</v>
      </c>
      <c r="F35">
        <v>5.25</v>
      </c>
      <c r="G35">
        <v>98.577171275870739</v>
      </c>
      <c r="H35">
        <v>12.973174603174606</v>
      </c>
    </row>
    <row r="36" spans="1:8" x14ac:dyDescent="0.2">
      <c r="A36" t="s">
        <v>35</v>
      </c>
      <c r="B36">
        <v>10688.606</v>
      </c>
      <c r="C36">
        <v>47.6</v>
      </c>
      <c r="D36">
        <v>266905</v>
      </c>
      <c r="E36">
        <v>0.5</v>
      </c>
      <c r="F36">
        <v>4.9090909090909101</v>
      </c>
      <c r="G36">
        <v>94.580448359171342</v>
      </c>
      <c r="H36">
        <v>12.117187499999998</v>
      </c>
    </row>
    <row r="37" spans="1:8" x14ac:dyDescent="0.2">
      <c r="A37" t="s">
        <v>36</v>
      </c>
      <c r="B37">
        <v>10833.986999999999</v>
      </c>
      <c r="C37">
        <v>47.4</v>
      </c>
      <c r="D37">
        <v>271805</v>
      </c>
      <c r="E37">
        <v>0.6</v>
      </c>
      <c r="F37">
        <v>4.75</v>
      </c>
      <c r="G37">
        <v>94.679414240515925</v>
      </c>
      <c r="H37">
        <v>12.421562500000002</v>
      </c>
    </row>
    <row r="38" spans="1:8" x14ac:dyDescent="0.2">
      <c r="A38" t="s">
        <v>37</v>
      </c>
      <c r="B38">
        <v>10939.116</v>
      </c>
      <c r="C38">
        <v>48</v>
      </c>
      <c r="D38">
        <v>276336</v>
      </c>
      <c r="E38">
        <v>0.5</v>
      </c>
      <c r="F38">
        <v>4.75</v>
      </c>
      <c r="G38">
        <v>101.85091637971546</v>
      </c>
      <c r="H38">
        <v>13.436190476190475</v>
      </c>
    </row>
    <row r="39" spans="1:8" x14ac:dyDescent="0.2">
      <c r="A39" t="s">
        <v>38</v>
      </c>
      <c r="B39">
        <v>11087.361000000001</v>
      </c>
      <c r="C39">
        <v>47.8</v>
      </c>
      <c r="D39">
        <v>279611</v>
      </c>
      <c r="E39">
        <v>0.6</v>
      </c>
      <c r="F39">
        <v>4.75</v>
      </c>
      <c r="G39">
        <v>102.12988746410845</v>
      </c>
      <c r="H39">
        <v>14.512580645161291</v>
      </c>
    </row>
    <row r="40" spans="1:8" x14ac:dyDescent="0.2">
      <c r="A40" t="s">
        <v>39</v>
      </c>
      <c r="B40">
        <v>11152.175999999999</v>
      </c>
      <c r="C40">
        <v>48.1</v>
      </c>
      <c r="D40">
        <v>281720</v>
      </c>
      <c r="E40">
        <v>0.6</v>
      </c>
      <c r="F40">
        <v>5.1195652173913038</v>
      </c>
      <c r="G40">
        <v>101.42180870220876</v>
      </c>
      <c r="H40">
        <v>12.516249999999998</v>
      </c>
    </row>
    <row r="41" spans="1:8" x14ac:dyDescent="0.2">
      <c r="A41" t="s">
        <v>40</v>
      </c>
      <c r="B41">
        <v>11279.932000000001</v>
      </c>
      <c r="C41">
        <v>49.8</v>
      </c>
      <c r="D41">
        <v>284892</v>
      </c>
      <c r="E41">
        <v>0.5</v>
      </c>
      <c r="F41">
        <v>6.4452380952380963</v>
      </c>
      <c r="G41">
        <v>102.7416439717979</v>
      </c>
      <c r="H41">
        <v>15.268730158730158</v>
      </c>
    </row>
    <row r="42" spans="1:8" x14ac:dyDescent="0.2">
      <c r="A42" t="s">
        <v>41</v>
      </c>
      <c r="B42">
        <v>11319.950999999999</v>
      </c>
      <c r="C42">
        <v>50.1</v>
      </c>
      <c r="D42">
        <v>284634</v>
      </c>
      <c r="E42">
        <v>0.5</v>
      </c>
      <c r="F42">
        <v>7.5</v>
      </c>
      <c r="G42">
        <v>100</v>
      </c>
      <c r="H42">
        <v>11.992380952380952</v>
      </c>
    </row>
    <row r="43" spans="1:8" x14ac:dyDescent="0.2">
      <c r="A43" t="s">
        <v>42</v>
      </c>
      <c r="B43">
        <v>11353.721</v>
      </c>
      <c r="C43">
        <v>49.5</v>
      </c>
      <c r="D43">
        <v>285994</v>
      </c>
      <c r="E43">
        <v>0.9</v>
      </c>
      <c r="F43">
        <v>7.5</v>
      </c>
      <c r="G43">
        <v>93.073146160131898</v>
      </c>
      <c r="H43">
        <v>12.190317460317463</v>
      </c>
    </row>
    <row r="44" spans="1:8" x14ac:dyDescent="0.2">
      <c r="A44" t="s">
        <v>43</v>
      </c>
      <c r="B44">
        <v>11450.31</v>
      </c>
      <c r="C44">
        <v>49.8</v>
      </c>
      <c r="D44">
        <v>292541</v>
      </c>
      <c r="E44">
        <v>1</v>
      </c>
      <c r="F44">
        <v>7.5</v>
      </c>
      <c r="G44">
        <v>97.999041207501989</v>
      </c>
      <c r="H44">
        <v>12.472698412698414</v>
      </c>
    </row>
    <row r="45" spans="1:8" x14ac:dyDescent="0.2">
      <c r="A45" t="s">
        <v>44</v>
      </c>
      <c r="B45">
        <v>11528.066999999999</v>
      </c>
      <c r="C45">
        <v>50.4</v>
      </c>
      <c r="D45">
        <v>292613</v>
      </c>
      <c r="E45">
        <v>0.7</v>
      </c>
      <c r="F45">
        <v>7.5</v>
      </c>
      <c r="G45">
        <v>100.91508489030775</v>
      </c>
      <c r="H45">
        <v>12.899682539682541</v>
      </c>
    </row>
    <row r="46" spans="1:8" x14ac:dyDescent="0.2">
      <c r="A46" t="s">
        <v>45</v>
      </c>
      <c r="B46">
        <v>11614.418</v>
      </c>
      <c r="C46">
        <v>51.1</v>
      </c>
      <c r="D46">
        <v>297071</v>
      </c>
      <c r="E46">
        <v>0.6</v>
      </c>
      <c r="F46">
        <v>7.5</v>
      </c>
      <c r="G46">
        <v>103.1229432497979</v>
      </c>
      <c r="H46">
        <v>15.398253968253961</v>
      </c>
    </row>
    <row r="47" spans="1:8" x14ac:dyDescent="0.2">
      <c r="A47" t="s">
        <v>46</v>
      </c>
      <c r="B47">
        <v>11808.14</v>
      </c>
      <c r="C47">
        <v>52.1</v>
      </c>
      <c r="D47">
        <v>298977</v>
      </c>
      <c r="E47">
        <v>0.7</v>
      </c>
      <c r="F47">
        <v>7.5</v>
      </c>
      <c r="G47">
        <v>108.52970213380728</v>
      </c>
      <c r="H47">
        <v>16.368253968253967</v>
      </c>
    </row>
    <row r="48" spans="1:8" x14ac:dyDescent="0.2">
      <c r="A48" t="s">
        <v>47</v>
      </c>
      <c r="B48">
        <v>11914.063</v>
      </c>
      <c r="C48">
        <v>52.2</v>
      </c>
      <c r="D48">
        <v>301413</v>
      </c>
      <c r="E48">
        <v>0.5</v>
      </c>
      <c r="F48">
        <v>7.1594202898550732</v>
      </c>
      <c r="G48">
        <v>108.22504268142789</v>
      </c>
      <c r="H48">
        <v>16.778437499999999</v>
      </c>
    </row>
    <row r="49" spans="1:8" x14ac:dyDescent="0.2">
      <c r="A49" t="s">
        <v>48</v>
      </c>
      <c r="B49">
        <v>12037.775</v>
      </c>
      <c r="C49">
        <v>52.2</v>
      </c>
      <c r="D49">
        <v>304194</v>
      </c>
      <c r="E49">
        <v>0.5</v>
      </c>
      <c r="F49">
        <v>6.5821428571428564</v>
      </c>
      <c r="G49">
        <v>109.88117584266688</v>
      </c>
      <c r="H49">
        <v>17.206249999999997</v>
      </c>
    </row>
    <row r="50" spans="1:8" x14ac:dyDescent="0.2">
      <c r="A50" t="s">
        <v>49</v>
      </c>
      <c r="B50">
        <v>12115.472</v>
      </c>
      <c r="C50">
        <v>52.3</v>
      </c>
      <c r="D50">
        <v>306359</v>
      </c>
      <c r="E50">
        <v>0.7</v>
      </c>
      <c r="F50">
        <v>6</v>
      </c>
      <c r="G50">
        <v>110.96341399345322</v>
      </c>
      <c r="H50">
        <v>19.916500000000003</v>
      </c>
    </row>
    <row r="51" spans="1:8" x14ac:dyDescent="0.2">
      <c r="A51" t="s">
        <v>50</v>
      </c>
      <c r="B51">
        <v>12317.221</v>
      </c>
      <c r="C51">
        <v>52.8</v>
      </c>
      <c r="D51">
        <v>315516</v>
      </c>
      <c r="E51">
        <v>0.3</v>
      </c>
      <c r="F51">
        <v>5.7878787878787863</v>
      </c>
      <c r="G51">
        <v>110.00737350452299</v>
      </c>
      <c r="H51">
        <v>19.922968750000003</v>
      </c>
    </row>
    <row r="52" spans="1:8" x14ac:dyDescent="0.2">
      <c r="A52" t="s">
        <v>51</v>
      </c>
      <c r="B52">
        <v>12471.01</v>
      </c>
      <c r="C52">
        <v>52.7</v>
      </c>
      <c r="D52">
        <v>316000</v>
      </c>
      <c r="E52">
        <v>0.2</v>
      </c>
      <c r="F52">
        <v>5.1521739130434767</v>
      </c>
      <c r="G52">
        <v>107.32491437582556</v>
      </c>
      <c r="H52">
        <v>22.445000000000007</v>
      </c>
    </row>
    <row r="53" spans="1:8" x14ac:dyDescent="0.2">
      <c r="A53" t="s">
        <v>52</v>
      </c>
      <c r="B53">
        <v>12577.495000000001</v>
      </c>
      <c r="C53">
        <v>52.4</v>
      </c>
      <c r="D53">
        <v>320517</v>
      </c>
      <c r="E53">
        <v>0.7</v>
      </c>
      <c r="F53">
        <v>5</v>
      </c>
      <c r="G53">
        <v>107.76421040252542</v>
      </c>
      <c r="H53">
        <v>27.092380952380957</v>
      </c>
    </row>
    <row r="54" spans="1:8" x14ac:dyDescent="0.2">
      <c r="A54" t="s">
        <v>53</v>
      </c>
      <c r="B54">
        <v>12703.742</v>
      </c>
      <c r="C54">
        <v>51.6</v>
      </c>
      <c r="D54">
        <v>322488</v>
      </c>
      <c r="E54">
        <v>0.5</v>
      </c>
      <c r="F54">
        <v>5</v>
      </c>
      <c r="G54">
        <v>111.62610200814763</v>
      </c>
      <c r="H54">
        <v>21.324590163934424</v>
      </c>
    </row>
    <row r="55" spans="1:8" x14ac:dyDescent="0.2">
      <c r="A55" t="s">
        <v>54</v>
      </c>
      <c r="B55">
        <v>12821.339</v>
      </c>
      <c r="C55">
        <v>51.4</v>
      </c>
      <c r="D55">
        <v>325884</v>
      </c>
      <c r="E55">
        <v>0.5</v>
      </c>
      <c r="F55">
        <v>5</v>
      </c>
      <c r="G55">
        <v>105.55306847991601</v>
      </c>
      <c r="H55">
        <v>21.534285714285723</v>
      </c>
    </row>
    <row r="56" spans="1:8" x14ac:dyDescent="0.2">
      <c r="A56" t="s">
        <v>55</v>
      </c>
      <c r="B56">
        <v>12982.752</v>
      </c>
      <c r="C56">
        <v>49.8</v>
      </c>
      <c r="D56">
        <v>331945</v>
      </c>
      <c r="E56">
        <v>0.3</v>
      </c>
      <c r="F56">
        <v>4.9733333333333327</v>
      </c>
      <c r="G56">
        <v>101.93342581178395</v>
      </c>
      <c r="H56">
        <v>29.751718749999998</v>
      </c>
    </row>
    <row r="57" spans="1:8" x14ac:dyDescent="0.2">
      <c r="A57" t="s">
        <v>56</v>
      </c>
      <c r="B57">
        <v>13191.67</v>
      </c>
      <c r="C57">
        <v>49.2</v>
      </c>
      <c r="D57">
        <v>337067</v>
      </c>
      <c r="E57">
        <v>0.4</v>
      </c>
      <c r="F57">
        <v>4.9003333333333332</v>
      </c>
      <c r="G57">
        <v>98.830436879013874</v>
      </c>
      <c r="H57">
        <v>29.537187500000005</v>
      </c>
    </row>
    <row r="58" spans="1:8" x14ac:dyDescent="0.2">
      <c r="A58" t="s">
        <v>57</v>
      </c>
      <c r="B58">
        <v>13315.597</v>
      </c>
      <c r="C58">
        <v>49.7</v>
      </c>
      <c r="D58">
        <v>339582</v>
      </c>
      <c r="E58">
        <v>0.5</v>
      </c>
      <c r="F58">
        <v>4.7256666666666662</v>
      </c>
      <c r="G58">
        <v>101.08007408382976</v>
      </c>
      <c r="H58">
        <v>27.252786885245893</v>
      </c>
    </row>
    <row r="59" spans="1:8" x14ac:dyDescent="0.2">
      <c r="A59" t="s">
        <v>58</v>
      </c>
      <c r="B59">
        <v>13426.748</v>
      </c>
      <c r="C59">
        <v>49.4</v>
      </c>
      <c r="D59">
        <v>340901</v>
      </c>
      <c r="E59">
        <v>0.5</v>
      </c>
      <c r="F59">
        <v>4.75</v>
      </c>
      <c r="G59">
        <v>106.08113930553007</v>
      </c>
      <c r="H59">
        <v>24.395555555555561</v>
      </c>
    </row>
    <row r="60" spans="1:8" x14ac:dyDescent="0.2">
      <c r="A60" t="s">
        <v>59</v>
      </c>
      <c r="B60">
        <v>13604.771000000001</v>
      </c>
      <c r="C60">
        <v>50.1</v>
      </c>
      <c r="D60">
        <v>344645</v>
      </c>
      <c r="E60">
        <v>0.8</v>
      </c>
      <c r="F60">
        <v>4.74</v>
      </c>
      <c r="G60">
        <v>105.22589541958291</v>
      </c>
      <c r="H60">
        <v>23.320625</v>
      </c>
    </row>
    <row r="61" spans="1:8" x14ac:dyDescent="0.2">
      <c r="A61" t="s">
        <v>60</v>
      </c>
      <c r="B61">
        <v>13827.98</v>
      </c>
      <c r="C61">
        <v>51</v>
      </c>
      <c r="D61">
        <v>350488</v>
      </c>
      <c r="E61">
        <v>0.6</v>
      </c>
      <c r="F61">
        <v>4.8999999999999995</v>
      </c>
      <c r="G61">
        <v>102.78498060673391</v>
      </c>
      <c r="H61">
        <v>22.626825396825392</v>
      </c>
    </row>
    <row r="62" spans="1:8" x14ac:dyDescent="0.2">
      <c r="A62" t="s">
        <v>61</v>
      </c>
      <c r="B62">
        <v>13878.147000000001</v>
      </c>
      <c r="C62">
        <v>52.7</v>
      </c>
      <c r="D62">
        <v>351872</v>
      </c>
      <c r="E62">
        <v>0.7</v>
      </c>
      <c r="F62">
        <v>5.3100000000000005</v>
      </c>
      <c r="G62">
        <v>102.42070143658479</v>
      </c>
      <c r="H62">
        <v>23.150317460317449</v>
      </c>
    </row>
    <row r="63" spans="1:8" x14ac:dyDescent="0.2">
      <c r="A63" t="s">
        <v>62</v>
      </c>
      <c r="B63">
        <v>14130.907999999999</v>
      </c>
      <c r="C63">
        <v>51.8</v>
      </c>
      <c r="D63">
        <v>355338</v>
      </c>
      <c r="E63">
        <v>0.6</v>
      </c>
      <c r="F63">
        <v>5.8999999999999995</v>
      </c>
      <c r="G63">
        <v>97.523101109979322</v>
      </c>
      <c r="H63">
        <v>24.923968253968258</v>
      </c>
    </row>
    <row r="64" spans="1:8" x14ac:dyDescent="0.2">
      <c r="A64" t="s">
        <v>63</v>
      </c>
      <c r="B64">
        <v>14145.312</v>
      </c>
      <c r="C64">
        <v>52.6</v>
      </c>
      <c r="D64">
        <v>356306</v>
      </c>
      <c r="E64">
        <v>0.5</v>
      </c>
      <c r="F64">
        <v>6.1566666666666663</v>
      </c>
      <c r="G64">
        <v>96.930840415353231</v>
      </c>
      <c r="H64">
        <v>19.169047619047625</v>
      </c>
    </row>
    <row r="65" spans="1:8" x14ac:dyDescent="0.2">
      <c r="A65" t="s">
        <v>64</v>
      </c>
      <c r="B65">
        <v>14229.764999999999</v>
      </c>
      <c r="C65">
        <v>52.4</v>
      </c>
      <c r="D65">
        <v>354859</v>
      </c>
      <c r="E65">
        <v>0.6</v>
      </c>
      <c r="F65">
        <v>6.2266666666666666</v>
      </c>
      <c r="G65">
        <v>92.319697695584651</v>
      </c>
      <c r="H65">
        <v>26.016666666666662</v>
      </c>
    </row>
    <row r="66" spans="1:8" x14ac:dyDescent="0.2">
      <c r="A66" t="s">
        <v>65</v>
      </c>
      <c r="B66">
        <v>14183.12</v>
      </c>
      <c r="C66">
        <v>52.4</v>
      </c>
      <c r="D66">
        <v>358221</v>
      </c>
      <c r="E66">
        <v>1</v>
      </c>
      <c r="F66">
        <v>5.873333333333334</v>
      </c>
      <c r="G66">
        <v>93.699592497544444</v>
      </c>
      <c r="H66">
        <v>25.726451612903222</v>
      </c>
    </row>
    <row r="67" spans="1:8" x14ac:dyDescent="0.2">
      <c r="A67" t="s">
        <v>66</v>
      </c>
      <c r="B67">
        <v>14271.694</v>
      </c>
      <c r="C67">
        <v>52.1</v>
      </c>
      <c r="D67">
        <v>361444</v>
      </c>
      <c r="E67">
        <v>0.8</v>
      </c>
      <c r="F67">
        <v>5.0133333333333328</v>
      </c>
      <c r="G67">
        <v>93.222922617160307</v>
      </c>
      <c r="H67">
        <v>23.923809523809538</v>
      </c>
    </row>
    <row r="68" spans="1:8" x14ac:dyDescent="0.2">
      <c r="A68" t="s">
        <v>67</v>
      </c>
      <c r="B68">
        <v>14214.516</v>
      </c>
      <c r="C68">
        <v>52.8</v>
      </c>
      <c r="D68">
        <v>365512</v>
      </c>
      <c r="E68">
        <v>0.7</v>
      </c>
      <c r="F68">
        <v>4.9133333333333331</v>
      </c>
      <c r="G68">
        <v>92.98100104915477</v>
      </c>
      <c r="H68">
        <v>25.380338983050841</v>
      </c>
    </row>
    <row r="69" spans="1:8" x14ac:dyDescent="0.2">
      <c r="A69" t="s">
        <v>68</v>
      </c>
      <c r="B69">
        <v>14253.574000000001</v>
      </c>
      <c r="C69">
        <v>52.7</v>
      </c>
      <c r="D69">
        <v>369855</v>
      </c>
      <c r="E69">
        <v>0.8</v>
      </c>
      <c r="F69">
        <v>4.4233333333333329</v>
      </c>
      <c r="G69">
        <v>93.699041679179302</v>
      </c>
      <c r="H69">
        <v>27.909999999999993</v>
      </c>
    </row>
    <row r="70" spans="1:8" x14ac:dyDescent="0.2">
      <c r="A70" t="s">
        <v>69</v>
      </c>
      <c r="B70">
        <v>14372.785</v>
      </c>
      <c r="C70">
        <v>53.8</v>
      </c>
      <c r="D70">
        <v>372745</v>
      </c>
      <c r="E70">
        <v>0.8</v>
      </c>
      <c r="F70">
        <v>4.2366666666666672</v>
      </c>
      <c r="G70">
        <v>96.9556378361588</v>
      </c>
      <c r="H70">
        <v>21.360833333333339</v>
      </c>
    </row>
    <row r="71" spans="1:8" x14ac:dyDescent="0.2">
      <c r="A71" t="s">
        <v>70</v>
      </c>
      <c r="B71">
        <v>14460.848</v>
      </c>
      <c r="C71">
        <v>53.2</v>
      </c>
      <c r="D71">
        <v>379233</v>
      </c>
      <c r="E71">
        <v>0.6</v>
      </c>
      <c r="F71">
        <v>4.4666666666666659</v>
      </c>
      <c r="G71">
        <v>100.52517750889514</v>
      </c>
      <c r="H71">
        <v>21.643125000000005</v>
      </c>
    </row>
    <row r="72" spans="1:8" x14ac:dyDescent="0.2">
      <c r="A72" t="s">
        <v>71</v>
      </c>
      <c r="B72">
        <v>14519.633</v>
      </c>
      <c r="C72">
        <v>53.3</v>
      </c>
      <c r="D72">
        <v>380108</v>
      </c>
      <c r="E72">
        <v>0.7</v>
      </c>
      <c r="F72">
        <v>4.75</v>
      </c>
      <c r="G72">
        <v>97.273672740146694</v>
      </c>
      <c r="H72">
        <v>35.068437499999987</v>
      </c>
    </row>
    <row r="73" spans="1:8" x14ac:dyDescent="0.2">
      <c r="A73" t="s">
        <v>72</v>
      </c>
      <c r="B73">
        <v>14537.58</v>
      </c>
      <c r="C73">
        <v>53.7</v>
      </c>
      <c r="D73">
        <v>383279</v>
      </c>
      <c r="E73">
        <v>0.7</v>
      </c>
      <c r="F73">
        <v>4.75</v>
      </c>
      <c r="G73">
        <v>99.599377199866993</v>
      </c>
      <c r="H73">
        <v>30.726718750000003</v>
      </c>
    </row>
    <row r="74" spans="1:8" x14ac:dyDescent="0.2">
      <c r="A74" t="s">
        <v>73</v>
      </c>
      <c r="B74">
        <v>14614.141</v>
      </c>
      <c r="C74">
        <v>54.2</v>
      </c>
      <c r="D74">
        <v>384182</v>
      </c>
      <c r="E74">
        <v>0.8</v>
      </c>
      <c r="F74">
        <v>4.75</v>
      </c>
      <c r="G74">
        <v>103.50049952485394</v>
      </c>
      <c r="H74">
        <v>30.022622950819674</v>
      </c>
    </row>
    <row r="75" spans="1:8" x14ac:dyDescent="0.2">
      <c r="A75" t="s">
        <v>74</v>
      </c>
      <c r="B75">
        <v>14743.566999999999</v>
      </c>
      <c r="C75">
        <v>54.4</v>
      </c>
      <c r="D75">
        <v>385753</v>
      </c>
      <c r="E75">
        <v>0.5</v>
      </c>
      <c r="F75">
        <v>4.75</v>
      </c>
      <c r="G75">
        <v>110.36655951331274</v>
      </c>
      <c r="H75">
        <v>21.531269841269847</v>
      </c>
    </row>
    <row r="76" spans="1:8" x14ac:dyDescent="0.2">
      <c r="A76" t="s">
        <v>75</v>
      </c>
      <c r="B76">
        <v>14988.781999999999</v>
      </c>
      <c r="C76">
        <v>55.4</v>
      </c>
      <c r="D76">
        <v>392261</v>
      </c>
      <c r="E76">
        <v>0.7</v>
      </c>
      <c r="F76">
        <v>4.75</v>
      </c>
      <c r="G76">
        <v>113.39816737053383</v>
      </c>
      <c r="H76">
        <v>19.320156250000007</v>
      </c>
    </row>
    <row r="77" spans="1:8" x14ac:dyDescent="0.2">
      <c r="A77" t="s">
        <v>76</v>
      </c>
      <c r="B77">
        <v>15162.76</v>
      </c>
      <c r="C77">
        <v>56.6</v>
      </c>
      <c r="D77">
        <v>398899</v>
      </c>
      <c r="E77">
        <v>0.7</v>
      </c>
      <c r="F77">
        <v>4.9866666666666672</v>
      </c>
      <c r="G77">
        <v>119.91296647890061</v>
      </c>
      <c r="H77">
        <v>17.427187500000002</v>
      </c>
    </row>
    <row r="78" spans="1:8" x14ac:dyDescent="0.2">
      <c r="A78" t="s">
        <v>77</v>
      </c>
      <c r="B78">
        <v>15248.68</v>
      </c>
      <c r="C78">
        <v>58.7</v>
      </c>
      <c r="D78">
        <v>401910</v>
      </c>
      <c r="E78">
        <v>0.7</v>
      </c>
      <c r="F78">
        <v>5.25</v>
      </c>
      <c r="G78">
        <v>125.90416953319783</v>
      </c>
      <c r="H78">
        <v>16.658064516129024</v>
      </c>
    </row>
    <row r="79" spans="1:8" x14ac:dyDescent="0.2">
      <c r="A79" t="s">
        <v>78</v>
      </c>
      <c r="B79">
        <v>15366.85</v>
      </c>
      <c r="C79">
        <v>60.3</v>
      </c>
      <c r="D79">
        <v>404944</v>
      </c>
      <c r="E79">
        <v>0.6</v>
      </c>
      <c r="F79">
        <v>5.25</v>
      </c>
      <c r="G79">
        <v>119.82745697729993</v>
      </c>
      <c r="H79">
        <v>16.211269841269839</v>
      </c>
    </row>
    <row r="80" spans="1:8" x14ac:dyDescent="0.2">
      <c r="A80" t="s">
        <v>79</v>
      </c>
      <c r="B80">
        <v>15512.619000000001</v>
      </c>
      <c r="C80">
        <v>60.9</v>
      </c>
      <c r="D80">
        <v>407624</v>
      </c>
      <c r="E80">
        <v>0.6</v>
      </c>
      <c r="F80">
        <v>5.25</v>
      </c>
      <c r="G80">
        <v>118.69656516133765</v>
      </c>
      <c r="H80">
        <v>15.442187499999996</v>
      </c>
    </row>
    <row r="81" spans="1:8" x14ac:dyDescent="0.2">
      <c r="A81" t="s">
        <v>80</v>
      </c>
      <c r="B81">
        <v>15670.88</v>
      </c>
      <c r="C81">
        <v>61.7</v>
      </c>
      <c r="D81">
        <v>410710</v>
      </c>
      <c r="E81">
        <v>0.8</v>
      </c>
      <c r="F81">
        <v>5.25</v>
      </c>
      <c r="G81">
        <v>123.52614128735861</v>
      </c>
      <c r="H81">
        <v>13.651406250000001</v>
      </c>
    </row>
    <row r="82" spans="1:8" x14ac:dyDescent="0.2">
      <c r="A82" t="s">
        <v>81</v>
      </c>
      <c r="B82">
        <v>15844.727000000001</v>
      </c>
      <c r="C82">
        <v>63.4</v>
      </c>
      <c r="D82">
        <v>414089</v>
      </c>
      <c r="E82">
        <v>0.6</v>
      </c>
      <c r="F82">
        <v>5.33</v>
      </c>
      <c r="G82">
        <v>125.39385224931404</v>
      </c>
      <c r="H82">
        <v>12.787049180327864</v>
      </c>
    </row>
    <row r="83" spans="1:8" x14ac:dyDescent="0.2">
      <c r="A83" t="s">
        <v>82</v>
      </c>
      <c r="B83">
        <v>15922.781999999999</v>
      </c>
      <c r="C83">
        <v>67.5</v>
      </c>
      <c r="D83">
        <v>416015</v>
      </c>
      <c r="E83">
        <v>0.6</v>
      </c>
      <c r="F83">
        <v>5.5</v>
      </c>
      <c r="G83">
        <v>126.09690097148427</v>
      </c>
      <c r="H83">
        <v>13.407343750000003</v>
      </c>
    </row>
    <row r="84" spans="1:8" x14ac:dyDescent="0.2">
      <c r="A84" t="s">
        <v>83</v>
      </c>
      <c r="B84">
        <v>16047.587</v>
      </c>
      <c r="C84">
        <v>67.8</v>
      </c>
      <c r="D84">
        <v>420512</v>
      </c>
      <c r="E84">
        <v>0.6</v>
      </c>
      <c r="F84">
        <v>5.5</v>
      </c>
      <c r="G84">
        <v>127.09431618555671</v>
      </c>
      <c r="H84">
        <v>12.250781249999998</v>
      </c>
    </row>
    <row r="85" spans="1:8" x14ac:dyDescent="0.2">
      <c r="A85" t="s">
        <v>84</v>
      </c>
      <c r="B85">
        <v>16136.734</v>
      </c>
      <c r="C85">
        <v>69.8</v>
      </c>
      <c r="D85">
        <v>423912</v>
      </c>
      <c r="E85">
        <v>0.7</v>
      </c>
      <c r="F85">
        <v>5.5</v>
      </c>
      <c r="G85">
        <v>126.35962239821004</v>
      </c>
      <c r="H85">
        <v>12.781746031746035</v>
      </c>
    </row>
    <row r="86" spans="1:8" x14ac:dyDescent="0.2">
      <c r="A86" t="s">
        <v>85</v>
      </c>
      <c r="B86">
        <v>16353.834999999999</v>
      </c>
      <c r="C86">
        <v>71.3</v>
      </c>
      <c r="D86">
        <v>424243</v>
      </c>
      <c r="E86">
        <v>0.8</v>
      </c>
      <c r="F86">
        <v>5.5</v>
      </c>
      <c r="G86">
        <v>124.71708693948752</v>
      </c>
      <c r="H86">
        <v>12.042419354838714</v>
      </c>
    </row>
    <row r="87" spans="1:8" x14ac:dyDescent="0.2">
      <c r="A87" t="s">
        <v>86</v>
      </c>
      <c r="B87">
        <v>16396.151000000002</v>
      </c>
      <c r="C87">
        <v>71.599999999999994</v>
      </c>
      <c r="D87">
        <v>425448</v>
      </c>
      <c r="E87">
        <v>0.8</v>
      </c>
      <c r="F87">
        <v>5.66</v>
      </c>
      <c r="G87">
        <v>124.74799135255161</v>
      </c>
      <c r="H87">
        <v>14.528730158730159</v>
      </c>
    </row>
    <row r="88" spans="1:8" x14ac:dyDescent="0.2">
      <c r="A88" t="s">
        <v>87</v>
      </c>
      <c r="B88">
        <v>16420.738000000001</v>
      </c>
      <c r="C88">
        <v>72.5</v>
      </c>
      <c r="D88">
        <v>431836</v>
      </c>
      <c r="E88">
        <v>0.7</v>
      </c>
      <c r="F88">
        <v>5.913333333333334</v>
      </c>
      <c r="G88">
        <v>126.75265806563935</v>
      </c>
      <c r="H88">
        <v>13.607936507936504</v>
      </c>
    </row>
    <row r="89" spans="1:8" x14ac:dyDescent="0.2">
      <c r="A89" t="s">
        <v>88</v>
      </c>
      <c r="B89">
        <v>16561.866000000002</v>
      </c>
      <c r="C89">
        <v>74.900000000000006</v>
      </c>
      <c r="D89">
        <v>437165</v>
      </c>
      <c r="E89">
        <v>0.6</v>
      </c>
      <c r="F89">
        <v>6.1466666666666674</v>
      </c>
      <c r="G89">
        <v>128.07264702734395</v>
      </c>
      <c r="H89">
        <v>11.034920634920635</v>
      </c>
    </row>
    <row r="90" spans="1:8" x14ac:dyDescent="0.2">
      <c r="A90" t="s">
        <v>89</v>
      </c>
      <c r="B90">
        <v>16611.689999999999</v>
      </c>
      <c r="C90">
        <v>77</v>
      </c>
      <c r="D90">
        <v>443184</v>
      </c>
      <c r="E90">
        <v>0.6</v>
      </c>
      <c r="F90">
        <v>6.25</v>
      </c>
      <c r="G90">
        <v>129.87787121487301</v>
      </c>
      <c r="H90">
        <v>12.563606557377048</v>
      </c>
    </row>
    <row r="91" spans="1:8" x14ac:dyDescent="0.2">
      <c r="A91" t="s">
        <v>90</v>
      </c>
      <c r="B91">
        <v>16713.313999999998</v>
      </c>
      <c r="C91">
        <v>76.400000000000006</v>
      </c>
      <c r="D91">
        <v>446128</v>
      </c>
      <c r="E91">
        <v>0.9</v>
      </c>
      <c r="F91">
        <v>6.25</v>
      </c>
      <c r="G91">
        <v>136.11812774715054</v>
      </c>
      <c r="H91">
        <v>13.731904761904756</v>
      </c>
    </row>
    <row r="92" spans="1:8" x14ac:dyDescent="0.2">
      <c r="A92" t="s">
        <v>91</v>
      </c>
      <c r="B92">
        <v>16809.587</v>
      </c>
      <c r="C92">
        <v>75.7</v>
      </c>
      <c r="D92">
        <v>451354</v>
      </c>
      <c r="E92">
        <v>0.9</v>
      </c>
      <c r="F92">
        <v>6.3999999999999995</v>
      </c>
      <c r="G92">
        <v>137.77688893663182</v>
      </c>
      <c r="H92">
        <v>21.589206349206346</v>
      </c>
    </row>
    <row r="93" spans="1:8" x14ac:dyDescent="0.2">
      <c r="A93" t="s">
        <v>92</v>
      </c>
      <c r="B93">
        <v>16915.190999999999</v>
      </c>
      <c r="C93">
        <v>77.099999999999994</v>
      </c>
      <c r="D93">
        <v>452939</v>
      </c>
      <c r="E93">
        <v>1.2</v>
      </c>
      <c r="F93">
        <v>6.6499999999999995</v>
      </c>
      <c r="G93">
        <v>141.82757042212938</v>
      </c>
      <c r="H93">
        <v>22.029843750000001</v>
      </c>
    </row>
    <row r="94" spans="1:8" x14ac:dyDescent="0.2">
      <c r="A94" t="s">
        <v>93</v>
      </c>
      <c r="B94">
        <v>16843.003000000001</v>
      </c>
      <c r="C94">
        <v>79.099999999999994</v>
      </c>
      <c r="D94">
        <v>458030</v>
      </c>
      <c r="E94">
        <v>1.1000000000000001</v>
      </c>
      <c r="F94">
        <v>6.9766666666666666</v>
      </c>
      <c r="G94">
        <v>141.45552351221193</v>
      </c>
      <c r="H94">
        <v>26.120163934426223</v>
      </c>
    </row>
    <row r="95" spans="1:8" x14ac:dyDescent="0.2">
      <c r="A95" t="s">
        <v>94</v>
      </c>
      <c r="B95">
        <v>16943.291000000001</v>
      </c>
      <c r="C95">
        <v>85.7</v>
      </c>
      <c r="D95">
        <v>459711</v>
      </c>
      <c r="E95">
        <v>1.2</v>
      </c>
      <c r="F95">
        <v>7.25</v>
      </c>
      <c r="G95">
        <v>146.46375576735522</v>
      </c>
      <c r="H95">
        <v>20.672968750000003</v>
      </c>
    </row>
    <row r="96" spans="1:8" x14ac:dyDescent="0.2">
      <c r="A96" t="s">
        <v>95</v>
      </c>
      <c r="B96">
        <v>16854.294999999998</v>
      </c>
      <c r="C96">
        <v>91</v>
      </c>
      <c r="D96">
        <v>462813</v>
      </c>
      <c r="E96">
        <v>1.2</v>
      </c>
      <c r="F96">
        <v>7.1733333333333329</v>
      </c>
      <c r="G96">
        <v>141.81757164500792</v>
      </c>
      <c r="H96">
        <v>25.073437500000004</v>
      </c>
    </row>
    <row r="97" spans="1:8" x14ac:dyDescent="0.2">
      <c r="A97" t="s">
        <v>96</v>
      </c>
      <c r="B97">
        <v>16485.349999999999</v>
      </c>
      <c r="C97">
        <v>88.8</v>
      </c>
      <c r="D97">
        <v>460801</v>
      </c>
      <c r="E97">
        <v>0.7</v>
      </c>
      <c r="F97">
        <v>5.2866666666666662</v>
      </c>
      <c r="G97">
        <v>113.65036319029474</v>
      </c>
      <c r="H97">
        <v>58.604687500000011</v>
      </c>
    </row>
    <row r="98" spans="1:8" x14ac:dyDescent="0.2">
      <c r="A98" t="s">
        <v>97</v>
      </c>
      <c r="B98">
        <v>16298.262000000001</v>
      </c>
      <c r="C98">
        <v>84.4</v>
      </c>
      <c r="D98">
        <v>465513</v>
      </c>
      <c r="E98">
        <v>0.9</v>
      </c>
      <c r="F98">
        <v>3.6166666666666667</v>
      </c>
      <c r="G98">
        <v>114.71269397079746</v>
      </c>
      <c r="H98">
        <v>44.999999999999993</v>
      </c>
    </row>
    <row r="99" spans="1:8" x14ac:dyDescent="0.2">
      <c r="A99" t="s">
        <v>98</v>
      </c>
      <c r="B99">
        <v>16269.145</v>
      </c>
      <c r="C99">
        <v>76.2</v>
      </c>
      <c r="D99">
        <v>468525</v>
      </c>
      <c r="E99">
        <v>0.7</v>
      </c>
      <c r="F99">
        <v>3.02</v>
      </c>
      <c r="G99">
        <v>128.68270936502748</v>
      </c>
      <c r="H99">
        <v>33.015714285714282</v>
      </c>
    </row>
    <row r="100" spans="1:8" x14ac:dyDescent="0.2">
      <c r="A100" t="s">
        <v>99</v>
      </c>
      <c r="B100">
        <v>16326.281000000001</v>
      </c>
      <c r="C100">
        <v>74.8</v>
      </c>
      <c r="D100">
        <v>469982</v>
      </c>
      <c r="E100">
        <v>0.7</v>
      </c>
      <c r="F100">
        <v>3</v>
      </c>
      <c r="G100">
        <v>137.55617507348782</v>
      </c>
      <c r="H100">
        <v>25.486249999999998</v>
      </c>
    </row>
    <row r="101" spans="1:8" x14ac:dyDescent="0.2">
      <c r="A101" t="s">
        <v>100</v>
      </c>
      <c r="B101">
        <v>16502.754000000001</v>
      </c>
      <c r="C101">
        <v>78</v>
      </c>
      <c r="D101">
        <v>473770</v>
      </c>
      <c r="E101">
        <v>0.8</v>
      </c>
      <c r="F101">
        <v>3.4759999999999995</v>
      </c>
      <c r="G101">
        <v>147.00237871416803</v>
      </c>
      <c r="H101">
        <v>23.071875000000002</v>
      </c>
    </row>
    <row r="102" spans="1:8" x14ac:dyDescent="0.2">
      <c r="A102" t="s">
        <v>101</v>
      </c>
      <c r="B102">
        <v>16582.71</v>
      </c>
      <c r="C102">
        <v>82.6</v>
      </c>
      <c r="D102">
        <v>475949</v>
      </c>
      <c r="E102">
        <v>0.8</v>
      </c>
      <c r="F102">
        <v>3.8260000000000001</v>
      </c>
      <c r="G102">
        <v>148.31149821764072</v>
      </c>
      <c r="H102">
        <v>20.14967213114754</v>
      </c>
    </row>
    <row r="103" spans="1:8" x14ac:dyDescent="0.2">
      <c r="A103" t="s">
        <v>102</v>
      </c>
      <c r="B103">
        <v>16743.162</v>
      </c>
      <c r="C103">
        <v>92.1</v>
      </c>
      <c r="D103">
        <v>479006</v>
      </c>
      <c r="E103">
        <v>0.4</v>
      </c>
      <c r="F103">
        <v>4.3993333333333338</v>
      </c>
      <c r="G103">
        <v>147.08931582555715</v>
      </c>
      <c r="H103">
        <v>26.391428571428573</v>
      </c>
    </row>
    <row r="104" spans="1:8" x14ac:dyDescent="0.2">
      <c r="A104" t="s">
        <v>103</v>
      </c>
      <c r="B104">
        <v>16872.266</v>
      </c>
      <c r="C104">
        <v>93.8</v>
      </c>
      <c r="D104">
        <v>482198</v>
      </c>
      <c r="E104">
        <v>0.6</v>
      </c>
      <c r="F104">
        <v>4.5</v>
      </c>
      <c r="G104">
        <v>147.71053517759984</v>
      </c>
      <c r="H104">
        <v>24.283593749999998</v>
      </c>
    </row>
    <row r="105" spans="1:8" x14ac:dyDescent="0.2">
      <c r="A105" t="s">
        <v>104</v>
      </c>
      <c r="B105">
        <v>16960.864000000001</v>
      </c>
      <c r="C105">
        <v>96.1</v>
      </c>
      <c r="D105">
        <v>486229</v>
      </c>
      <c r="E105">
        <v>0.4</v>
      </c>
      <c r="F105">
        <v>4.6593333333333335</v>
      </c>
      <c r="G105">
        <v>156.31402388389429</v>
      </c>
      <c r="H105">
        <v>19.318437500000002</v>
      </c>
    </row>
    <row r="106" spans="1:8" x14ac:dyDescent="0.2">
      <c r="A106" t="s">
        <v>105</v>
      </c>
      <c r="B106">
        <v>16920.632000000001</v>
      </c>
      <c r="C106">
        <v>101.7</v>
      </c>
      <c r="D106">
        <v>484903</v>
      </c>
      <c r="E106">
        <v>0.8</v>
      </c>
      <c r="F106">
        <v>4.75</v>
      </c>
      <c r="G106">
        <v>158.2100837692094</v>
      </c>
      <c r="H106">
        <v>18.614838709677429</v>
      </c>
    </row>
    <row r="107" spans="1:8" x14ac:dyDescent="0.2">
      <c r="A107" t="s">
        <v>106</v>
      </c>
      <c r="B107">
        <v>17035.114000000001</v>
      </c>
      <c r="C107">
        <v>104</v>
      </c>
      <c r="D107">
        <v>490846</v>
      </c>
      <c r="E107">
        <v>0.8</v>
      </c>
      <c r="F107">
        <v>4.75</v>
      </c>
      <c r="G107">
        <v>164.23186250075753</v>
      </c>
      <c r="H107">
        <v>17.482380952380954</v>
      </c>
    </row>
    <row r="108" spans="1:8" x14ac:dyDescent="0.2">
      <c r="A108" t="s">
        <v>107</v>
      </c>
      <c r="B108">
        <v>17031.312999999998</v>
      </c>
      <c r="C108">
        <v>105.1</v>
      </c>
      <c r="D108">
        <v>497511</v>
      </c>
      <c r="E108">
        <v>0.4</v>
      </c>
      <c r="F108">
        <v>4.75</v>
      </c>
      <c r="G108">
        <v>160.57363856638906</v>
      </c>
      <c r="H108">
        <v>30.583593749999995</v>
      </c>
    </row>
    <row r="109" spans="1:8" x14ac:dyDescent="0.2">
      <c r="A109" t="s">
        <v>108</v>
      </c>
      <c r="B109">
        <v>17222.582999999999</v>
      </c>
      <c r="C109">
        <v>100.7</v>
      </c>
      <c r="D109">
        <v>503039</v>
      </c>
      <c r="E109">
        <v>0.6</v>
      </c>
      <c r="F109">
        <v>4.5209999999999999</v>
      </c>
      <c r="G109">
        <v>158.62646648054036</v>
      </c>
      <c r="H109">
        <v>29.939523809523823</v>
      </c>
    </row>
    <row r="110" spans="1:8" x14ac:dyDescent="0.2">
      <c r="A110" t="s">
        <v>109</v>
      </c>
      <c r="B110">
        <v>17367.009999999998</v>
      </c>
      <c r="C110">
        <v>95.7</v>
      </c>
      <c r="D110">
        <v>508399</v>
      </c>
      <c r="E110">
        <v>0.4</v>
      </c>
      <c r="F110">
        <v>4.25</v>
      </c>
      <c r="G110">
        <v>164.85779905597261</v>
      </c>
      <c r="H110">
        <v>18.204032258064515</v>
      </c>
    </row>
    <row r="111" spans="1:8" x14ac:dyDescent="0.2">
      <c r="A111" t="s">
        <v>110</v>
      </c>
      <c r="B111">
        <v>17444.525000000001</v>
      </c>
      <c r="C111">
        <v>94.8</v>
      </c>
      <c r="D111">
        <v>512069</v>
      </c>
      <c r="E111">
        <v>0.5</v>
      </c>
      <c r="F111">
        <v>3.8536666666666668</v>
      </c>
      <c r="G111">
        <v>159.85396332410525</v>
      </c>
      <c r="H111">
        <v>20.035714285714285</v>
      </c>
    </row>
    <row r="112" spans="1:8" x14ac:dyDescent="0.2">
      <c r="A112" t="s">
        <v>111</v>
      </c>
      <c r="B112">
        <v>17469.650000000001</v>
      </c>
      <c r="C112">
        <v>90.5</v>
      </c>
      <c r="D112">
        <v>515083</v>
      </c>
      <c r="E112">
        <v>0.7</v>
      </c>
      <c r="F112">
        <v>3.5</v>
      </c>
      <c r="G112">
        <v>164.90456220897414</v>
      </c>
      <c r="H112">
        <v>16.192698412698412</v>
      </c>
    </row>
    <row r="113" spans="1:8" x14ac:dyDescent="0.2">
      <c r="A113" t="s">
        <v>112</v>
      </c>
      <c r="B113">
        <v>17489.851999999999</v>
      </c>
      <c r="C113">
        <v>89.2</v>
      </c>
      <c r="D113">
        <v>517341</v>
      </c>
      <c r="E113">
        <v>0.5</v>
      </c>
      <c r="F113">
        <v>3.1836666666666669</v>
      </c>
      <c r="G113">
        <v>163.24195724244117</v>
      </c>
      <c r="H113">
        <v>16.752903225806453</v>
      </c>
    </row>
    <row r="114" spans="1:8" x14ac:dyDescent="0.2">
      <c r="A114" t="s">
        <v>113</v>
      </c>
      <c r="B114">
        <v>17662.400000000001</v>
      </c>
      <c r="C114">
        <v>90</v>
      </c>
      <c r="D114">
        <v>520159</v>
      </c>
      <c r="E114">
        <v>0.5</v>
      </c>
      <c r="F114">
        <v>3</v>
      </c>
      <c r="G114">
        <v>166.06450921775561</v>
      </c>
      <c r="H114">
        <v>13.526999999999997</v>
      </c>
    </row>
    <row r="115" spans="1:8" x14ac:dyDescent="0.2">
      <c r="A115" t="s">
        <v>114</v>
      </c>
      <c r="B115">
        <v>17709.670999999998</v>
      </c>
      <c r="C115">
        <v>89.8</v>
      </c>
      <c r="D115">
        <v>522083</v>
      </c>
      <c r="E115">
        <v>0.6</v>
      </c>
      <c r="F115">
        <v>2.85</v>
      </c>
      <c r="G115">
        <v>161.40990038241117</v>
      </c>
      <c r="H115">
        <v>14.837031250000001</v>
      </c>
    </row>
    <row r="116" spans="1:8" x14ac:dyDescent="0.2">
      <c r="A116" t="s">
        <v>115</v>
      </c>
      <c r="B116">
        <v>17860.45</v>
      </c>
      <c r="C116">
        <v>88</v>
      </c>
      <c r="D116">
        <v>526314</v>
      </c>
      <c r="E116">
        <v>0.7</v>
      </c>
      <c r="F116">
        <v>2.6</v>
      </c>
      <c r="G116">
        <v>150.74308366232992</v>
      </c>
      <c r="H116">
        <v>14.2796875</v>
      </c>
    </row>
    <row r="117" spans="1:8" x14ac:dyDescent="0.2">
      <c r="A117" t="s">
        <v>116</v>
      </c>
      <c r="B117">
        <v>18016.147000000001</v>
      </c>
      <c r="C117">
        <v>88.7</v>
      </c>
      <c r="D117">
        <v>530419</v>
      </c>
      <c r="E117">
        <v>0.8</v>
      </c>
      <c r="F117">
        <v>2.5</v>
      </c>
      <c r="G117">
        <v>152.06464541678235</v>
      </c>
      <c r="H117">
        <v>14.232812499999994</v>
      </c>
    </row>
    <row r="118" spans="1:8" x14ac:dyDescent="0.2">
      <c r="A118" t="s">
        <v>117</v>
      </c>
      <c r="B118">
        <v>17953.973999999998</v>
      </c>
      <c r="C118">
        <v>86.7</v>
      </c>
      <c r="D118">
        <v>534667</v>
      </c>
      <c r="E118">
        <v>0.5</v>
      </c>
      <c r="F118">
        <v>2.5</v>
      </c>
      <c r="G118">
        <v>147.93791727644572</v>
      </c>
      <c r="H118">
        <v>14.828852459016396</v>
      </c>
    </row>
    <row r="119" spans="1:8" x14ac:dyDescent="0.2">
      <c r="A119" t="s">
        <v>118</v>
      </c>
      <c r="B119">
        <v>18185.911</v>
      </c>
      <c r="C119">
        <v>83.2</v>
      </c>
      <c r="D119">
        <v>537231</v>
      </c>
      <c r="E119">
        <v>0.7</v>
      </c>
      <c r="F119">
        <v>2.5</v>
      </c>
      <c r="G119">
        <v>153.65666178888657</v>
      </c>
      <c r="H119">
        <v>12.73825396825397</v>
      </c>
    </row>
    <row r="120" spans="1:8" x14ac:dyDescent="0.2">
      <c r="A120" t="s">
        <v>119</v>
      </c>
      <c r="B120">
        <v>18406.940999999999</v>
      </c>
      <c r="C120">
        <v>80.7</v>
      </c>
      <c r="D120">
        <v>539397</v>
      </c>
      <c r="E120">
        <v>0.4</v>
      </c>
      <c r="F120">
        <v>2.5</v>
      </c>
      <c r="G120">
        <v>153.02527805008518</v>
      </c>
      <c r="H120">
        <v>13.072656249999998</v>
      </c>
    </row>
    <row r="121" spans="1:8" x14ac:dyDescent="0.2">
      <c r="A121" t="s">
        <v>120</v>
      </c>
      <c r="B121">
        <v>18500.030999999999</v>
      </c>
      <c r="C121">
        <v>79</v>
      </c>
      <c r="D121">
        <v>541390</v>
      </c>
      <c r="E121">
        <v>0.6</v>
      </c>
      <c r="F121">
        <v>2.5</v>
      </c>
      <c r="G121">
        <v>146.61238218095349</v>
      </c>
      <c r="H121">
        <v>16.072343750000002</v>
      </c>
    </row>
    <row r="122" spans="1:8" x14ac:dyDescent="0.2">
      <c r="A122" t="s">
        <v>121</v>
      </c>
      <c r="B122">
        <v>18666.620999999999</v>
      </c>
      <c r="C122">
        <v>76.5</v>
      </c>
      <c r="D122">
        <v>546692</v>
      </c>
      <c r="E122">
        <v>0.6</v>
      </c>
      <c r="F122">
        <v>2.3433333333333333</v>
      </c>
      <c r="G122">
        <v>139.13225869156281</v>
      </c>
      <c r="H122">
        <v>16.564754098360655</v>
      </c>
    </row>
    <row r="123" spans="1:8" x14ac:dyDescent="0.2">
      <c r="A123" t="s">
        <v>122</v>
      </c>
      <c r="B123">
        <v>18782.242999999999</v>
      </c>
      <c r="C123">
        <v>73.900000000000006</v>
      </c>
      <c r="D123">
        <v>547224</v>
      </c>
      <c r="E123">
        <v>0.6</v>
      </c>
      <c r="F123">
        <v>2.0966666666666667</v>
      </c>
      <c r="G123">
        <v>138.51346803271042</v>
      </c>
      <c r="H123">
        <v>13.740158730158734</v>
      </c>
    </row>
    <row r="124" spans="1:8" x14ac:dyDescent="0.2">
      <c r="A124" t="s">
        <v>123</v>
      </c>
      <c r="B124">
        <v>18857.418000000001</v>
      </c>
      <c r="C124">
        <v>72.400000000000006</v>
      </c>
      <c r="D124">
        <v>552637</v>
      </c>
      <c r="E124">
        <v>0.3</v>
      </c>
      <c r="F124">
        <v>2</v>
      </c>
      <c r="G124">
        <v>132.28822099297622</v>
      </c>
      <c r="H124">
        <v>19.307343750000005</v>
      </c>
    </row>
    <row r="125" spans="1:8" x14ac:dyDescent="0.2">
      <c r="A125" t="s">
        <v>124</v>
      </c>
      <c r="B125">
        <v>18892.205999999998</v>
      </c>
      <c r="C125">
        <v>69.3</v>
      </c>
      <c r="D125">
        <v>556034</v>
      </c>
      <c r="E125">
        <v>0.6</v>
      </c>
      <c r="F125">
        <v>2</v>
      </c>
      <c r="G125">
        <v>132.73512027342832</v>
      </c>
      <c r="H125">
        <v>17.033281250000005</v>
      </c>
    </row>
    <row r="126" spans="1:8" x14ac:dyDescent="0.2">
      <c r="A126" t="s">
        <v>125</v>
      </c>
      <c r="B126">
        <v>19001.689999999999</v>
      </c>
      <c r="C126">
        <v>67.8</v>
      </c>
      <c r="D126">
        <v>561181</v>
      </c>
      <c r="E126">
        <v>0.2</v>
      </c>
      <c r="F126">
        <v>2</v>
      </c>
      <c r="G126">
        <v>133.60922503267977</v>
      </c>
      <c r="H126">
        <v>20.486229508196722</v>
      </c>
    </row>
    <row r="127" spans="1:8" x14ac:dyDescent="0.2">
      <c r="A127" t="s">
        <v>126</v>
      </c>
      <c r="B127">
        <v>19062.708999999999</v>
      </c>
      <c r="C127">
        <v>69.900000000000006</v>
      </c>
      <c r="D127">
        <v>564778</v>
      </c>
      <c r="E127">
        <v>0.5</v>
      </c>
      <c r="F127">
        <v>1.8399999999999999</v>
      </c>
      <c r="G127">
        <v>135.52943707279897</v>
      </c>
      <c r="H127">
        <v>15.675937500000002</v>
      </c>
    </row>
    <row r="128" spans="1:8" x14ac:dyDescent="0.2">
      <c r="A128" t="s">
        <v>127</v>
      </c>
      <c r="B128">
        <v>19197.937999999998</v>
      </c>
      <c r="C128">
        <v>73.099999999999994</v>
      </c>
      <c r="D128">
        <v>564810</v>
      </c>
      <c r="E128">
        <v>0.3</v>
      </c>
      <c r="F128">
        <v>1.5899999999999999</v>
      </c>
      <c r="G128">
        <v>137.51557428870942</v>
      </c>
      <c r="H128">
        <v>13.233906249999997</v>
      </c>
    </row>
    <row r="129" spans="1:8" x14ac:dyDescent="0.2">
      <c r="A129" t="s">
        <v>128</v>
      </c>
      <c r="B129">
        <v>19304.351999999999</v>
      </c>
      <c r="C129">
        <v>81</v>
      </c>
      <c r="D129">
        <v>571330</v>
      </c>
      <c r="E129">
        <v>0.4</v>
      </c>
      <c r="F129">
        <v>1.5</v>
      </c>
      <c r="G129">
        <v>139.7994960527794</v>
      </c>
      <c r="H129">
        <v>14.097936507936511</v>
      </c>
    </row>
    <row r="130" spans="1:8" x14ac:dyDescent="0.2">
      <c r="A130" t="s">
        <v>129</v>
      </c>
      <c r="B130">
        <v>19398.343000000001</v>
      </c>
      <c r="C130">
        <v>84.1</v>
      </c>
      <c r="D130">
        <v>573227</v>
      </c>
      <c r="E130">
        <v>0.5</v>
      </c>
      <c r="F130">
        <v>1.5</v>
      </c>
      <c r="G130">
        <v>142.29205334350345</v>
      </c>
      <c r="H130">
        <v>11.691935483870967</v>
      </c>
    </row>
    <row r="131" spans="1:8" x14ac:dyDescent="0.2">
      <c r="A131" t="s">
        <v>130</v>
      </c>
      <c r="B131">
        <v>19506.949000000001</v>
      </c>
      <c r="C131">
        <v>80.5</v>
      </c>
      <c r="D131">
        <v>576511</v>
      </c>
      <c r="E131">
        <v>0.5</v>
      </c>
      <c r="F131">
        <v>1.5</v>
      </c>
      <c r="G131">
        <v>139.27522680421112</v>
      </c>
      <c r="H131">
        <v>11.426349206349204</v>
      </c>
    </row>
    <row r="132" spans="1:8" x14ac:dyDescent="0.2">
      <c r="A132" t="s">
        <v>131</v>
      </c>
      <c r="B132">
        <v>19660.766</v>
      </c>
      <c r="C132">
        <v>80.7</v>
      </c>
      <c r="D132">
        <v>582038</v>
      </c>
      <c r="E132">
        <v>0.4</v>
      </c>
      <c r="F132">
        <v>1.5</v>
      </c>
      <c r="G132">
        <v>143.50501692902276</v>
      </c>
      <c r="H132">
        <v>10.944285714285712</v>
      </c>
    </row>
    <row r="133" spans="1:8" x14ac:dyDescent="0.2">
      <c r="A133" t="s">
        <v>132</v>
      </c>
      <c r="B133">
        <v>19882.351999999999</v>
      </c>
      <c r="C133">
        <v>80.5</v>
      </c>
      <c r="D133">
        <v>584318</v>
      </c>
      <c r="E133">
        <v>0.4</v>
      </c>
      <c r="F133">
        <v>1.5</v>
      </c>
      <c r="G133">
        <v>139.53774432369889</v>
      </c>
      <c r="H133">
        <v>10.307936507936502</v>
      </c>
    </row>
    <row r="134" spans="1:8" x14ac:dyDescent="0.2">
      <c r="A134" t="s">
        <v>133</v>
      </c>
      <c r="B134">
        <v>20044.077000000001</v>
      </c>
      <c r="C134">
        <v>81.7</v>
      </c>
      <c r="D134">
        <v>590527</v>
      </c>
      <c r="E134">
        <v>0.5</v>
      </c>
      <c r="F134">
        <v>1.5</v>
      </c>
      <c r="G134">
        <v>138.41548366331952</v>
      </c>
      <c r="H134">
        <v>17.354754098360658</v>
      </c>
    </row>
    <row r="135" spans="1:8" x14ac:dyDescent="0.2">
      <c r="A135" t="s">
        <v>134</v>
      </c>
      <c r="B135">
        <v>20150.475999999999</v>
      </c>
      <c r="C135">
        <v>82.1</v>
      </c>
      <c r="D135">
        <v>594694</v>
      </c>
      <c r="E135">
        <v>0.4</v>
      </c>
      <c r="F135">
        <v>1.5</v>
      </c>
      <c r="G135">
        <v>134.93589851309173</v>
      </c>
      <c r="H135">
        <v>15.337499999999999</v>
      </c>
    </row>
    <row r="136" spans="1:8" x14ac:dyDescent="0.2">
      <c r="A136" t="s">
        <v>135</v>
      </c>
      <c r="B136">
        <v>20276.153999999999</v>
      </c>
      <c r="C136">
        <v>83.4</v>
      </c>
      <c r="D136">
        <v>596975</v>
      </c>
      <c r="E136">
        <v>0.4</v>
      </c>
      <c r="F136">
        <v>1.5</v>
      </c>
      <c r="G136">
        <v>135.22946782142296</v>
      </c>
      <c r="H136">
        <v>12.856825396825391</v>
      </c>
    </row>
    <row r="137" spans="1:8" x14ac:dyDescent="0.2">
      <c r="A137" t="s">
        <v>136</v>
      </c>
      <c r="B137">
        <v>20304.874</v>
      </c>
      <c r="C137">
        <v>85.1</v>
      </c>
      <c r="D137">
        <v>598406</v>
      </c>
      <c r="E137">
        <v>0.5</v>
      </c>
      <c r="F137">
        <v>1.5</v>
      </c>
      <c r="G137">
        <v>134.27027717069117</v>
      </c>
      <c r="H137">
        <v>21.053650793650796</v>
      </c>
    </row>
    <row r="138" spans="1:8" x14ac:dyDescent="0.2">
      <c r="A138" t="s">
        <v>137</v>
      </c>
      <c r="B138">
        <v>20431.641</v>
      </c>
      <c r="C138">
        <v>86.1</v>
      </c>
      <c r="D138">
        <v>603121</v>
      </c>
      <c r="E138">
        <v>0.3</v>
      </c>
      <c r="F138">
        <v>1.5</v>
      </c>
      <c r="G138">
        <v>131.16969567731013</v>
      </c>
      <c r="H138">
        <v>16.47</v>
      </c>
    </row>
    <row r="139" spans="1:8" x14ac:dyDescent="0.2">
      <c r="A139" t="s">
        <v>138</v>
      </c>
      <c r="B139">
        <v>20602.275000000001</v>
      </c>
      <c r="C139">
        <v>89</v>
      </c>
      <c r="D139">
        <v>604669</v>
      </c>
      <c r="E139">
        <v>0.4</v>
      </c>
      <c r="F139">
        <v>1.4266666666666667</v>
      </c>
      <c r="G139">
        <v>130.11626275303917</v>
      </c>
      <c r="H139">
        <v>15.183015873015874</v>
      </c>
    </row>
    <row r="140" spans="1:8" x14ac:dyDescent="0.2">
      <c r="A140" t="s">
        <v>139</v>
      </c>
      <c r="B140">
        <v>20843.322</v>
      </c>
      <c r="C140">
        <v>89.8</v>
      </c>
      <c r="D140">
        <v>608155</v>
      </c>
      <c r="E140">
        <v>0.4</v>
      </c>
      <c r="F140">
        <v>1.0066666666666666</v>
      </c>
      <c r="G140">
        <v>128.67526476787475</v>
      </c>
      <c r="H140">
        <v>15.960156250000002</v>
      </c>
    </row>
    <row r="141" spans="1:8" x14ac:dyDescent="0.2">
      <c r="A141" t="s">
        <v>140</v>
      </c>
      <c r="B141">
        <v>20985.448</v>
      </c>
      <c r="C141">
        <v>85</v>
      </c>
      <c r="D141">
        <v>611732</v>
      </c>
      <c r="E141">
        <v>0.4</v>
      </c>
      <c r="F141">
        <v>0.7533333333333333</v>
      </c>
      <c r="G141">
        <v>128.22981331854919</v>
      </c>
      <c r="H141">
        <v>13.985781249999997</v>
      </c>
    </row>
    <row r="142" spans="1:8" x14ac:dyDescent="0.2">
      <c r="A142" t="s">
        <v>141</v>
      </c>
      <c r="B142">
        <v>20709.212</v>
      </c>
      <c r="C142">
        <v>85</v>
      </c>
      <c r="D142">
        <v>610772</v>
      </c>
      <c r="E142">
        <v>0.5</v>
      </c>
      <c r="F142">
        <v>0.64333333333333331</v>
      </c>
      <c r="G142">
        <v>124.0362984990514</v>
      </c>
      <c r="H142">
        <v>31.224516129032253</v>
      </c>
    </row>
    <row r="143" spans="1:8" x14ac:dyDescent="0.2">
      <c r="A143" t="s">
        <v>142</v>
      </c>
      <c r="B143">
        <v>19077.991999999998</v>
      </c>
      <c r="C143">
        <v>86.4</v>
      </c>
      <c r="D143">
        <v>569303</v>
      </c>
      <c r="E143">
        <v>0</v>
      </c>
      <c r="F143">
        <v>0.1466666666666667</v>
      </c>
      <c r="G143">
        <v>125.0594035473481</v>
      </c>
      <c r="H143">
        <v>34.493650793650787</v>
      </c>
    </row>
    <row r="144" spans="1:8" x14ac:dyDescent="0.2">
      <c r="A144" t="s">
        <v>143</v>
      </c>
      <c r="B144">
        <v>20558.879000000001</v>
      </c>
      <c r="C144">
        <v>87.3</v>
      </c>
      <c r="D144">
        <v>588877</v>
      </c>
      <c r="E144">
        <v>0.3</v>
      </c>
      <c r="F144">
        <v>0.13</v>
      </c>
      <c r="G144">
        <v>133.02608794508859</v>
      </c>
      <c r="H144">
        <v>25.808906249999986</v>
      </c>
    </row>
    <row r="145" spans="1:8" x14ac:dyDescent="0.2">
      <c r="A145" t="s">
        <v>144</v>
      </c>
      <c r="B145">
        <v>20791.917000000001</v>
      </c>
      <c r="C145">
        <v>90.3</v>
      </c>
      <c r="D145">
        <v>609061</v>
      </c>
      <c r="E145">
        <v>0.5</v>
      </c>
      <c r="F145">
        <v>7.6666666666666675E-2</v>
      </c>
      <c r="G145">
        <v>132.59731928761528</v>
      </c>
      <c r="H145">
        <v>25.621718750000003</v>
      </c>
    </row>
    <row r="146" spans="1:8" x14ac:dyDescent="0.2">
      <c r="A146" t="s">
        <v>145</v>
      </c>
      <c r="B146">
        <v>21082.133999999998</v>
      </c>
      <c r="C146">
        <v>96.7</v>
      </c>
      <c r="D146">
        <v>622761</v>
      </c>
      <c r="E146">
        <v>0.3</v>
      </c>
      <c r="F146">
        <v>0.03</v>
      </c>
      <c r="G146">
        <v>138.41453317741858</v>
      </c>
      <c r="H146">
        <v>23.202459016393444</v>
      </c>
    </row>
    <row r="147" spans="1:8" x14ac:dyDescent="0.2">
      <c r="A147" t="s">
        <v>146</v>
      </c>
      <c r="B147">
        <v>21440.929</v>
      </c>
      <c r="C147">
        <v>106.5</v>
      </c>
      <c r="D147">
        <v>627429</v>
      </c>
      <c r="E147">
        <v>0.5</v>
      </c>
      <c r="F147">
        <v>0.03</v>
      </c>
      <c r="G147">
        <v>138.40090166171925</v>
      </c>
      <c r="H147">
        <v>17.999999999999993</v>
      </c>
    </row>
    <row r="148" spans="1:8" x14ac:dyDescent="0.2">
      <c r="A148" t="s">
        <v>147</v>
      </c>
      <c r="B148">
        <v>21617.828000000001</v>
      </c>
      <c r="C148">
        <v>106.6</v>
      </c>
      <c r="D148">
        <v>616398</v>
      </c>
      <c r="E148">
        <v>0.8</v>
      </c>
      <c r="F148">
        <v>0.03</v>
      </c>
      <c r="G148">
        <v>133.64380375791066</v>
      </c>
      <c r="H148">
        <v>18.287343750000002</v>
      </c>
    </row>
    <row r="149" spans="1:8" x14ac:dyDescent="0.2">
      <c r="A149" t="s">
        <v>148</v>
      </c>
      <c r="B149">
        <v>21988.737000000001</v>
      </c>
      <c r="C149">
        <v>98.5</v>
      </c>
      <c r="D149">
        <v>639065</v>
      </c>
      <c r="E149">
        <v>1</v>
      </c>
      <c r="F149">
        <v>3.6666666666666674E-2</v>
      </c>
      <c r="G149">
        <v>133.654092796653</v>
      </c>
      <c r="H149">
        <v>19.275156250000002</v>
      </c>
    </row>
    <row r="150" spans="1:8" x14ac:dyDescent="0.2">
      <c r="A150" t="s">
        <v>149</v>
      </c>
      <c r="B150">
        <v>21932.71</v>
      </c>
      <c r="C150">
        <v>106.8</v>
      </c>
      <c r="D150">
        <v>645474</v>
      </c>
      <c r="E150">
        <v>1.5</v>
      </c>
      <c r="F150">
        <v>5.000000000000001E-2</v>
      </c>
      <c r="G150">
        <v>134.44172574947052</v>
      </c>
      <c r="H150">
        <v>25.372903225806457</v>
      </c>
    </row>
    <row r="151" spans="1:8" x14ac:dyDescent="0.2">
      <c r="A151" t="s">
        <v>150</v>
      </c>
      <c r="B151">
        <v>21967.044999999998</v>
      </c>
      <c r="C151">
        <v>115.8</v>
      </c>
      <c r="D151">
        <v>651311</v>
      </c>
      <c r="E151">
        <v>1.6</v>
      </c>
      <c r="F151">
        <v>0.34666666666666668</v>
      </c>
      <c r="G151">
        <v>139.39241100639174</v>
      </c>
      <c r="H151">
        <v>27.398437500000004</v>
      </c>
    </row>
    <row r="152" spans="1:8" x14ac:dyDescent="0.2">
      <c r="A152" t="s">
        <v>151</v>
      </c>
      <c r="B152">
        <v>22125.625</v>
      </c>
      <c r="C152">
        <v>110</v>
      </c>
      <c r="D152">
        <v>654278</v>
      </c>
      <c r="E152">
        <v>1.8</v>
      </c>
      <c r="F152">
        <v>1.74</v>
      </c>
      <c r="G152">
        <v>139.9357352620307</v>
      </c>
      <c r="H152">
        <v>24.792727272727273</v>
      </c>
    </row>
    <row r="153" spans="1:8" x14ac:dyDescent="0.2">
      <c r="A153" t="s">
        <v>152</v>
      </c>
      <c r="B153">
        <v>22278.345000000001</v>
      </c>
      <c r="C153">
        <v>106.3</v>
      </c>
      <c r="D153">
        <v>659867</v>
      </c>
      <c r="E153">
        <v>1.7</v>
      </c>
      <c r="F153">
        <v>2.7833333333333332</v>
      </c>
      <c r="G153">
        <v>138.60423185315088</v>
      </c>
      <c r="H153">
        <v>25.002656249999998</v>
      </c>
    </row>
    <row r="154" spans="1:8" x14ac:dyDescent="0.2">
      <c r="A154" t="s">
        <v>153</v>
      </c>
      <c r="B154">
        <v>22439.607</v>
      </c>
      <c r="C154">
        <v>108.4</v>
      </c>
      <c r="D154">
        <v>663632</v>
      </c>
      <c r="E154">
        <v>1.2</v>
      </c>
      <c r="F154">
        <v>3.28</v>
      </c>
      <c r="G154">
        <v>139.36090989232363</v>
      </c>
      <c r="H154">
        <v>20.684062500000003</v>
      </c>
    </row>
    <row r="155" spans="1:8" x14ac:dyDescent="0.2">
      <c r="A155" t="s">
        <v>154</v>
      </c>
      <c r="B155">
        <v>22580.499</v>
      </c>
      <c r="C155">
        <v>102.2</v>
      </c>
      <c r="D155">
        <v>665940</v>
      </c>
      <c r="E155">
        <v>0.9</v>
      </c>
      <c r="F155">
        <v>3.7966666666666664</v>
      </c>
      <c r="G155">
        <v>138.31988387372562</v>
      </c>
      <c r="H155">
        <v>16.44125</v>
      </c>
    </row>
    <row r="156" spans="1:8" x14ac:dyDescent="0.2">
      <c r="A156" t="s">
        <v>155</v>
      </c>
      <c r="B156">
        <v>22840.989000000001</v>
      </c>
      <c r="C156">
        <v>99.2</v>
      </c>
      <c r="D156">
        <v>668408</v>
      </c>
      <c r="E156">
        <v>1.2</v>
      </c>
      <c r="F156">
        <v>4.07</v>
      </c>
      <c r="G156">
        <v>139.1089671235421</v>
      </c>
      <c r="H156">
        <v>15.013230769230773</v>
      </c>
    </row>
    <row r="157" spans="1:8" x14ac:dyDescent="0.2">
      <c r="A157" t="s">
        <v>156</v>
      </c>
      <c r="B157">
        <v>23033.78</v>
      </c>
      <c r="C157">
        <v>101.6</v>
      </c>
      <c r="D157">
        <v>668625</v>
      </c>
      <c r="E157">
        <v>0.9</v>
      </c>
      <c r="F157">
        <v>4.2166666666666668</v>
      </c>
      <c r="G157">
        <v>139.82467141830077</v>
      </c>
      <c r="H157">
        <v>15.286249999999999</v>
      </c>
    </row>
    <row r="158" spans="1:8" x14ac:dyDescent="0.2">
      <c r="A158" t="s">
        <v>157</v>
      </c>
      <c r="B158">
        <v>23082.118999999999</v>
      </c>
      <c r="C158">
        <v>100.9</v>
      </c>
      <c r="D158">
        <v>670929</v>
      </c>
      <c r="E158">
        <v>1</v>
      </c>
      <c r="F158">
        <v>4.32</v>
      </c>
      <c r="G158">
        <v>141.54786613129383</v>
      </c>
      <c r="H158">
        <v>13.712539682539685</v>
      </c>
    </row>
    <row r="159" spans="1:8" x14ac:dyDescent="0.2">
      <c r="A159" t="s">
        <v>158</v>
      </c>
      <c r="B159">
        <v>23286.508000000002</v>
      </c>
      <c r="C159">
        <v>98.4</v>
      </c>
      <c r="D159">
        <v>672062</v>
      </c>
      <c r="E159">
        <v>0.9</v>
      </c>
      <c r="F159">
        <v>4.32</v>
      </c>
      <c r="G159">
        <v>144.89160189167723</v>
      </c>
      <c r="H159">
        <v>13.980307692307692</v>
      </c>
    </row>
    <row r="160" spans="1:8" x14ac:dyDescent="0.2">
      <c r="A160" t="s">
        <v>159</v>
      </c>
      <c r="B160">
        <v>23478.57</v>
      </c>
      <c r="C160">
        <v>95.5</v>
      </c>
      <c r="D160">
        <v>673895</v>
      </c>
      <c r="E160">
        <v>0.8</v>
      </c>
      <c r="F160">
        <v>4.34</v>
      </c>
      <c r="G160">
        <v>145.22303878369135</v>
      </c>
      <c r="H160">
        <v>17.06666666666667</v>
      </c>
    </row>
    <row r="161" spans="1:8" x14ac:dyDescent="0.2">
      <c r="A161" t="s">
        <v>160</v>
      </c>
      <c r="B161">
        <v>23586.542000000001</v>
      </c>
      <c r="C161">
        <v>96.7</v>
      </c>
      <c r="D161">
        <v>676864</v>
      </c>
      <c r="E161">
        <v>0.5</v>
      </c>
      <c r="F161">
        <v>4.34</v>
      </c>
      <c r="G161">
        <v>143.14555804416196</v>
      </c>
      <c r="H161">
        <v>17.363230769230771</v>
      </c>
    </row>
    <row r="162" spans="1:8" x14ac:dyDescent="0.2">
      <c r="A162" t="s">
        <v>161</v>
      </c>
      <c r="B162">
        <v>23548.21</v>
      </c>
      <c r="C162">
        <v>96.1</v>
      </c>
      <c r="D162">
        <v>679519</v>
      </c>
      <c r="E162">
        <v>0.7</v>
      </c>
      <c r="F162">
        <v>4.2233333333333336</v>
      </c>
      <c r="G162">
        <v>139.67238671145634</v>
      </c>
      <c r="H162">
        <v>18.521111111111111</v>
      </c>
    </row>
    <row r="163" spans="1:8" x14ac:dyDescent="0.2">
      <c r="A163" t="s">
        <v>162</v>
      </c>
      <c r="B163">
        <v>23770.975999999999</v>
      </c>
      <c r="C163">
        <v>95.3</v>
      </c>
      <c r="D163">
        <v>684822</v>
      </c>
      <c r="E163">
        <v>0.6</v>
      </c>
      <c r="F163">
        <v>3.9766666666666666</v>
      </c>
      <c r="G163">
        <v>139.44593590258978</v>
      </c>
      <c r="H163">
        <v>23.561406249999994</v>
      </c>
    </row>
    <row r="164" spans="1:8" x14ac:dyDescent="0.2">
      <c r="A164" t="s">
        <v>163</v>
      </c>
      <c r="B164">
        <v>24026.833999999999</v>
      </c>
      <c r="C164">
        <v>95.2</v>
      </c>
      <c r="D164">
        <v>688271</v>
      </c>
      <c r="E164">
        <v>1</v>
      </c>
      <c r="F164">
        <v>3.7099999999999995</v>
      </c>
      <c r="G164">
        <v>142.32831713496219</v>
      </c>
      <c r="H164">
        <v>15.983030303030304</v>
      </c>
    </row>
    <row r="165" spans="1:8" x14ac:dyDescent="0.2">
      <c r="A165" t="s">
        <v>164</v>
      </c>
      <c r="B165">
        <v>24055.749</v>
      </c>
      <c r="C165">
        <v>95.3</v>
      </c>
      <c r="D165">
        <v>694551</v>
      </c>
      <c r="E165">
        <v>0.9</v>
      </c>
      <c r="F165">
        <v>3.6</v>
      </c>
      <c r="G165">
        <v>144.78391947498289</v>
      </c>
      <c r="H165">
        <v>17.745230769230769</v>
      </c>
    </row>
    <row r="166" spans="1:8" x14ac:dyDescent="0.2">
      <c r="A166" t="s">
        <v>165</v>
      </c>
      <c r="B166">
        <v>24180.419000000002</v>
      </c>
      <c r="C166">
        <v>96.3</v>
      </c>
      <c r="D166">
        <v>696539</v>
      </c>
      <c r="E166">
        <v>0.8</v>
      </c>
      <c r="F166">
        <v>3.7966666666666669</v>
      </c>
      <c r="G166">
        <v>152.50811939881072</v>
      </c>
      <c r="H166">
        <v>20.429047619047616</v>
      </c>
    </row>
    <row r="167" spans="1:8" x14ac:dyDescent="0.2">
      <c r="A167" t="s">
        <v>166</v>
      </c>
      <c r="B167">
        <v>24269.613000000001</v>
      </c>
      <c r="C167">
        <v>94.8</v>
      </c>
      <c r="D167">
        <v>699461</v>
      </c>
      <c r="E167">
        <v>0.8</v>
      </c>
      <c r="F167">
        <v>4.253333333333333</v>
      </c>
      <c r="G167">
        <v>157.31890990074345</v>
      </c>
      <c r="H167">
        <v>18.312187500000007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monthly</vt:lpstr>
      <vt:lpstr>quarterly</vt:lpstr>
      <vt:lpstr>replication_manalo_et_al</vt:lpstr>
      <vt:lpstr>quarterly_data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Branesh Prakash</dc:creator>
  <cp:lastModifiedBy>Branesh Prakash</cp:lastModifiedBy>
  <dcterms:created xsi:type="dcterms:W3CDTF">2026-09-06T12:53:05Z</dcterms:created>
  <dcterms:modified xsi:type="dcterms:W3CDTF">2026-09-21T22:23:31Z</dcterms:modified>
</cp:coreProperties>
</file>